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EUROARGENTINA S.A\02. COMPRAS Y VENTAS\COMPRAS VENTAS 2026\03-2026\"/>
    </mc:Choice>
  </mc:AlternateContent>
  <xr:revisionPtr revIDLastSave="0" documentId="13_ncr:1_{A6182363-76D9-4E4D-94F9-726F99D9690F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Compras 03-2026" sheetId="1" r:id="rId1"/>
    <sheet name="Compras 03-2026 (2)" sheetId="2" r:id="rId2"/>
  </sheets>
  <definedNames>
    <definedName name="_xlnm._FilterDatabase" localSheetId="1" hidden="1">'Compras 03-2026 (2)'!$A$3:$Q$98</definedName>
  </definedNames>
  <calcPr calcId="18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102" i="2" l="1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101" i="2"/>
</calcChain>
</file>

<file path=xl/sharedStrings.xml><?xml version="1.0" encoding="utf-8"?>
<sst xmlns="http://schemas.openxmlformats.org/spreadsheetml/2006/main" count="904" uniqueCount="148">
  <si>
    <t>Informe de IVA Compras entre 01/03/26 y 31/03/26</t>
  </si>
  <si>
    <t>fecha</t>
  </si>
  <si>
    <t>razon social</t>
  </si>
  <si>
    <t>CUIT</t>
  </si>
  <si>
    <t>T.Comp.</t>
  </si>
  <si>
    <t>P.Vta</t>
  </si>
  <si>
    <t>Nro.</t>
  </si>
  <si>
    <t>Gravado</t>
  </si>
  <si>
    <t>IVA 21</t>
  </si>
  <si>
    <t>IVA 10.5</t>
  </si>
  <si>
    <t>IVA 27</t>
  </si>
  <si>
    <t>Retenc.IVA</t>
  </si>
  <si>
    <t>IIBB Caba</t>
  </si>
  <si>
    <t>IIBB BsAs</t>
  </si>
  <si>
    <t>IIBB Otros</t>
  </si>
  <si>
    <t>No Grav.</t>
  </si>
  <si>
    <t>Total</t>
  </si>
  <si>
    <t>Cuenta</t>
  </si>
  <si>
    <t>Petrolfe S.A.</t>
  </si>
  <si>
    <t>30-69613100-3</t>
  </si>
  <si>
    <t>Fac.A</t>
  </si>
  <si>
    <t>01.01.02.017 Gasto Reparto</t>
  </si>
  <si>
    <t>Telecom Personal S.A.</t>
  </si>
  <si>
    <t>30-67818644-5</t>
  </si>
  <si>
    <t>01.01.01.009 Telefonica / Telecom</t>
  </si>
  <si>
    <t>01.01.01.010 Celulares</t>
  </si>
  <si>
    <t xml:space="preserve">ALEJANDRO TRAIBER </t>
  </si>
  <si>
    <t>20-20297094-0</t>
  </si>
  <si>
    <t>01.04.02.002 Pro Productos Descartel</t>
  </si>
  <si>
    <t xml:space="preserve">OCAÑO ENRIQUE </t>
  </si>
  <si>
    <t>20-07760462-7</t>
  </si>
  <si>
    <t>01.04.03.002 Pro Envase / Serigrafia</t>
  </si>
  <si>
    <t>BI ORIENT S.A.</t>
  </si>
  <si>
    <t>30-70760312-3</t>
  </si>
  <si>
    <t>01.04.03.003 Pro Material Empaque</t>
  </si>
  <si>
    <t>Administracion gubernamental de ingresos publicos</t>
  </si>
  <si>
    <t>34-99903208-9</t>
  </si>
  <si>
    <t>01.01.01.002 A B L / Rentas Sede</t>
  </si>
  <si>
    <t>Metrogas S.A.</t>
  </si>
  <si>
    <t>30-65786367-6</t>
  </si>
  <si>
    <t>01.01.01.007 Metrogras / Gas Natural</t>
  </si>
  <si>
    <t xml:space="preserve">EDENOR </t>
  </si>
  <si>
    <t>30-65511620-2</t>
  </si>
  <si>
    <t>01.01.01.006 Edenor / Edesur</t>
  </si>
  <si>
    <t>NSS S-A</t>
  </si>
  <si>
    <t>30-70265297-5</t>
  </si>
  <si>
    <t>01.01.01.012 Servicios Internet</t>
  </si>
  <si>
    <t>Telefónica móviles Argentina S.A.</t>
  </si>
  <si>
    <t>30-67881435-7</t>
  </si>
  <si>
    <t>TECNIMAR S.R.L</t>
  </si>
  <si>
    <t>30-62986357-1</t>
  </si>
  <si>
    <t>01.04.02.001 Pro Productos Locales</t>
  </si>
  <si>
    <t>ABL Logistica Sarandi</t>
  </si>
  <si>
    <t>Municipalidad de San Martin</t>
  </si>
  <si>
    <t>Empresa Distribuidora Sur S.A.</t>
  </si>
  <si>
    <t>30-65511651-2</t>
  </si>
  <si>
    <t>Botindari Juan Carlos</t>
  </si>
  <si>
    <t>20-08627752-3</t>
  </si>
  <si>
    <t>Fac.C</t>
  </si>
  <si>
    <t>01.07.02.003 Contabilidad</t>
  </si>
  <si>
    <t xml:space="preserve">GUILLERMO DANIEL VIGORELLI </t>
  </si>
  <si>
    <t>20-30223438-9</t>
  </si>
  <si>
    <t>01.01.02.008 Gasto Comida / Bebida</t>
  </si>
  <si>
    <t>Plasticos Salta</t>
  </si>
  <si>
    <t>30-70986307-6</t>
  </si>
  <si>
    <t>01.01.02.001 Gastos Varios / General</t>
  </si>
  <si>
    <t>CHAMORRO MANUEL</t>
  </si>
  <si>
    <t>20-13120614-4</t>
  </si>
  <si>
    <t>01.01.01.001 Alquileres</t>
  </si>
  <si>
    <t>01.03.03.006 Com Material Embalaje</t>
  </si>
  <si>
    <t>13/03/26</t>
  </si>
  <si>
    <t>16/03/26</t>
  </si>
  <si>
    <t>UNTECO SAIC E I.</t>
  </si>
  <si>
    <t>30-53290555-5</t>
  </si>
  <si>
    <t>SUCURSAL QUILMES</t>
  </si>
  <si>
    <t>01.07.01.004 Imp Multas / Tasas</t>
  </si>
  <si>
    <t>AYSA S.A</t>
  </si>
  <si>
    <t>30-70956507-5</t>
  </si>
  <si>
    <t>01.01.01.008 Aguas Aysa</t>
  </si>
  <si>
    <t>NATURGY BAN S.A</t>
  </si>
  <si>
    <t>30-65786411-7</t>
  </si>
  <si>
    <t>TELECENTRO S.A.</t>
  </si>
  <si>
    <t>30-64089726-7</t>
  </si>
  <si>
    <t>17/03/26</t>
  </si>
  <si>
    <t>Fercol lubricantes SRL</t>
  </si>
  <si>
    <t>30-70870869-7</t>
  </si>
  <si>
    <t>MUNICIPALIDAD SAN ISIDRO</t>
  </si>
  <si>
    <t>Fac.B</t>
  </si>
  <si>
    <t>ENSAMBLE GRAFICO S.H.</t>
  </si>
  <si>
    <t>30-71044604-7</t>
  </si>
  <si>
    <t>19/03/26</t>
  </si>
  <si>
    <t>20/03/26</t>
  </si>
  <si>
    <t>EXPOESTETICA</t>
  </si>
  <si>
    <t>30-71588948-6</t>
  </si>
  <si>
    <t>01.03.02.001 Com Espacio Ferias</t>
  </si>
  <si>
    <t>23/03/26</t>
  </si>
  <si>
    <t>Ferrimaq SRL</t>
  </si>
  <si>
    <t>01.02.03.005 Gastos Juan M Castillo S A</t>
  </si>
  <si>
    <t>25/03/26</t>
  </si>
  <si>
    <t xml:space="preserve">EPA ENVASES SRL </t>
  </si>
  <si>
    <t>30-71809542-1</t>
  </si>
  <si>
    <t>26/03/26</t>
  </si>
  <si>
    <t>EXPOENVASES SRL</t>
  </si>
  <si>
    <t>30-70815775-5</t>
  </si>
  <si>
    <t>Di Blasio Carlos</t>
  </si>
  <si>
    <t>20-18409452-6</t>
  </si>
  <si>
    <t>01.03.02.006 Com Graduación / Otros Escuela</t>
  </si>
  <si>
    <t>HECTOR DE LUCA</t>
  </si>
  <si>
    <t>20-10306983-2</t>
  </si>
  <si>
    <t>DELISIGLASS AVELLANEDA SRL</t>
  </si>
  <si>
    <t>30-69778214-8</t>
  </si>
  <si>
    <t>CPT Integral SA</t>
  </si>
  <si>
    <t>30-69329375-4</t>
  </si>
  <si>
    <t>01.01.02.003 Gasto Papeleria Administracion</t>
  </si>
  <si>
    <t>27/03/26</t>
  </si>
  <si>
    <t>DES Romano</t>
  </si>
  <si>
    <t>20-26348646-4</t>
  </si>
  <si>
    <t xml:space="preserve">DROVER S.A </t>
  </si>
  <si>
    <t>30-69550641-0</t>
  </si>
  <si>
    <t>BLIBOX SA.</t>
  </si>
  <si>
    <t>30-70774439-8</t>
  </si>
  <si>
    <t xml:space="preserve">ENCABLE ARGENTINA </t>
  </si>
  <si>
    <t>20-31662513-5</t>
  </si>
  <si>
    <t xml:space="preserve">KU ROA COMPANY </t>
  </si>
  <si>
    <t>ESQUINA DE LAS ESCOBAS S.R</t>
  </si>
  <si>
    <t>30-718671600</t>
  </si>
  <si>
    <t>01.01.02.009 Gasto Limpieza</t>
  </si>
  <si>
    <t>30/03/26</t>
  </si>
  <si>
    <t xml:space="preserve">STENDEL ELIANA JUDITH </t>
  </si>
  <si>
    <t>27-366871336</t>
  </si>
  <si>
    <t xml:space="preserve">DE EN PIE SRL </t>
  </si>
  <si>
    <t>30-71711355-8</t>
  </si>
  <si>
    <t>VILVI SA</t>
  </si>
  <si>
    <t>30-717814319</t>
  </si>
  <si>
    <t>GARDEN-LIFE S.A.</t>
  </si>
  <si>
    <t>SMART IT SOLUTION SRL</t>
  </si>
  <si>
    <t>30-71727352-0</t>
  </si>
  <si>
    <t xml:space="preserve">VALDMAN OMAR JULIAN </t>
  </si>
  <si>
    <t>20-264714657</t>
  </si>
  <si>
    <t xml:space="preserve">PABLO DARIO CARBALLO </t>
  </si>
  <si>
    <t>20-262807402</t>
  </si>
  <si>
    <t>AWARE SOLUTIONS SRL</t>
  </si>
  <si>
    <t>30-715401467</t>
  </si>
  <si>
    <t>FIRTS LABEL S.R.L.</t>
  </si>
  <si>
    <t>30-716620634</t>
  </si>
  <si>
    <t>31/03/26</t>
  </si>
  <si>
    <t>mio</t>
  </si>
  <si>
    <t>ellos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</si>
</sst>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00000000"/>
  </numFmts>
  <fonts count="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5" fontId="2" fillId="2" borderId="1" xfId="1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165" fontId="2" fillId="4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51EBC003-FF7C-4924-8A74-31E67AC8FD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"/>
  <sheetViews>
    <sheetView topLeftCell="A31" zoomScaleNormal="100" workbookViewId="0">
      <selection activeCell="A98" sqref="A32:A98"/>
    </sheetView>
  </sheetViews>
  <sheetFormatPr baseColWidth="10" defaultColWidth="11.5703125" defaultRowHeight="12.75" x14ac:dyDescent="0.2"/>
  <cols>
    <col min="1" max="1" width="9.5703125" style="1" customWidth="1"/>
    <col min="2" max="2" width="43" customWidth="1"/>
    <col min="3" max="3" width="13.42578125" customWidth="1"/>
    <col min="4" max="4" width="8.5703125" customWidth="1"/>
    <col min="5" max="5" width="6.140625" customWidth="1"/>
    <col min="6" max="6" width="9.42578125" customWidth="1"/>
    <col min="7" max="8" width="16.7109375" style="2" customWidth="1"/>
    <col min="9" max="9" width="8.7109375" style="2" customWidth="1"/>
    <col min="10" max="14" width="16.7109375" style="2" customWidth="1"/>
    <col min="15" max="15" width="17.28515625" style="2" customWidth="1"/>
    <col min="16" max="16" width="10.85546875" style="2" customWidth="1"/>
    <col min="17" max="17" width="39.28515625" customWidth="1"/>
  </cols>
  <sheetData>
    <row r="1" spans="1:17" x14ac:dyDescent="0.2">
      <c r="A1" s="3" t="s">
        <v>0</v>
      </c>
    </row>
    <row r="3" spans="1:17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5" t="s">
        <v>17</v>
      </c>
    </row>
    <row r="4" spans="1:17" x14ac:dyDescent="0.2">
      <c r="A4" s="7">
        <v>46056</v>
      </c>
      <c r="B4" s="5" t="s">
        <v>18</v>
      </c>
      <c r="C4" s="5" t="s">
        <v>19</v>
      </c>
      <c r="D4" s="5" t="s">
        <v>20</v>
      </c>
      <c r="E4" s="5">
        <v>12</v>
      </c>
      <c r="F4" s="5">
        <v>83026</v>
      </c>
      <c r="G4" s="6">
        <v>274540</v>
      </c>
      <c r="H4" s="6">
        <v>57653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23954</v>
      </c>
      <c r="P4" s="6">
        <v>356147</v>
      </c>
      <c r="Q4" s="5" t="s">
        <v>21</v>
      </c>
    </row>
    <row r="5" spans="1:17" x14ac:dyDescent="0.2">
      <c r="A5" s="7">
        <v>46084</v>
      </c>
      <c r="B5" s="5" t="s">
        <v>22</v>
      </c>
      <c r="C5" s="5" t="s">
        <v>23</v>
      </c>
      <c r="D5" s="5" t="s">
        <v>20</v>
      </c>
      <c r="E5" s="5">
        <v>4264</v>
      </c>
      <c r="F5" s="5">
        <v>63713980</v>
      </c>
      <c r="G5" s="6">
        <v>48375.0009765625</v>
      </c>
      <c r="H5" s="6">
        <v>10158.7998046875</v>
      </c>
      <c r="I5" s="6">
        <v>0</v>
      </c>
      <c r="J5" s="6">
        <v>0</v>
      </c>
      <c r="K5" s="6">
        <v>1451.25</v>
      </c>
      <c r="L5" s="6">
        <v>1451.25</v>
      </c>
      <c r="M5" s="6">
        <v>0</v>
      </c>
      <c r="N5" s="6">
        <v>0</v>
      </c>
      <c r="O5" s="6">
        <v>0</v>
      </c>
      <c r="P5" s="6">
        <v>61436.3</v>
      </c>
      <c r="Q5" s="5" t="s">
        <v>24</v>
      </c>
    </row>
    <row r="6" spans="1:17" x14ac:dyDescent="0.2">
      <c r="A6" s="7">
        <v>46084</v>
      </c>
      <c r="B6" s="5" t="s">
        <v>22</v>
      </c>
      <c r="C6" s="5" t="s">
        <v>23</v>
      </c>
      <c r="D6" s="5" t="s">
        <v>20</v>
      </c>
      <c r="E6" s="5">
        <v>4264</v>
      </c>
      <c r="F6" s="5">
        <v>6340829</v>
      </c>
      <c r="G6" s="6">
        <v>25214.999694824201</v>
      </c>
      <c r="H6" s="6">
        <v>5295.14990234375</v>
      </c>
      <c r="I6" s="6">
        <v>0</v>
      </c>
      <c r="J6" s="6">
        <v>0</v>
      </c>
      <c r="K6" s="6">
        <v>756.45001220703102</v>
      </c>
      <c r="L6" s="6">
        <v>0</v>
      </c>
      <c r="M6" s="6">
        <v>0</v>
      </c>
      <c r="N6" s="6">
        <v>0</v>
      </c>
      <c r="O6" s="6">
        <v>0</v>
      </c>
      <c r="P6" s="6">
        <v>31266.6</v>
      </c>
      <c r="Q6" s="5" t="s">
        <v>25</v>
      </c>
    </row>
    <row r="7" spans="1:17" x14ac:dyDescent="0.2">
      <c r="A7" s="7">
        <v>46115</v>
      </c>
      <c r="B7" s="5" t="s">
        <v>26</v>
      </c>
      <c r="C7" s="5" t="s">
        <v>27</v>
      </c>
      <c r="D7" s="5" t="s">
        <v>20</v>
      </c>
      <c r="E7" s="5">
        <v>3</v>
      </c>
      <c r="F7" s="5">
        <v>518</v>
      </c>
      <c r="G7" s="6">
        <v>4015000</v>
      </c>
      <c r="H7" s="6">
        <v>843150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4858150</v>
      </c>
      <c r="Q7" s="5" t="s">
        <v>28</v>
      </c>
    </row>
    <row r="8" spans="1:17" x14ac:dyDescent="0.2">
      <c r="A8" s="7">
        <v>46145</v>
      </c>
      <c r="B8" s="5" t="s">
        <v>29</v>
      </c>
      <c r="C8" s="5" t="s">
        <v>30</v>
      </c>
      <c r="D8" s="5" t="s">
        <v>20</v>
      </c>
      <c r="E8" s="5">
        <v>1</v>
      </c>
      <c r="F8" s="5">
        <v>393</v>
      </c>
      <c r="G8" s="6">
        <v>811460.03125</v>
      </c>
      <c r="H8" s="6">
        <v>170406.59375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981867</v>
      </c>
      <c r="Q8" s="5" t="s">
        <v>31</v>
      </c>
    </row>
    <row r="9" spans="1:17" x14ac:dyDescent="0.2">
      <c r="A9" s="7">
        <v>46176</v>
      </c>
      <c r="B9" s="5" t="s">
        <v>32</v>
      </c>
      <c r="C9" s="5" t="s">
        <v>33</v>
      </c>
      <c r="D9" s="5" t="s">
        <v>20</v>
      </c>
      <c r="E9" s="5">
        <v>6</v>
      </c>
      <c r="F9" s="5">
        <v>11230</v>
      </c>
      <c r="G9" s="6">
        <v>2972200</v>
      </c>
      <c r="H9" s="6">
        <v>624162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3596360</v>
      </c>
      <c r="Q9" s="5" t="s">
        <v>34</v>
      </c>
    </row>
    <row r="10" spans="1:17" x14ac:dyDescent="0.2">
      <c r="A10" s="7">
        <v>46176</v>
      </c>
      <c r="B10" s="5" t="s">
        <v>35</v>
      </c>
      <c r="C10" s="5" t="s">
        <v>36</v>
      </c>
      <c r="D10" s="5" t="s">
        <v>20</v>
      </c>
      <c r="E10" s="5">
        <v>3</v>
      </c>
      <c r="F10" s="5">
        <v>1095498</v>
      </c>
      <c r="G10" s="6">
        <v>83390.5078125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83390.5</v>
      </c>
      <c r="Q10" s="5" t="s">
        <v>37</v>
      </c>
    </row>
    <row r="11" spans="1:17" x14ac:dyDescent="0.2">
      <c r="A11" s="7">
        <v>46176</v>
      </c>
      <c r="B11" s="5" t="s">
        <v>38</v>
      </c>
      <c r="C11" s="5" t="s">
        <v>39</v>
      </c>
      <c r="D11" s="5" t="s">
        <v>20</v>
      </c>
      <c r="E11" s="5">
        <v>64</v>
      </c>
      <c r="F11" s="5">
        <v>57684036</v>
      </c>
      <c r="G11" s="6">
        <v>16272.4600830078</v>
      </c>
      <c r="H11" s="6">
        <v>4030.93994140625</v>
      </c>
      <c r="I11" s="6">
        <v>0</v>
      </c>
      <c r="J11" s="6">
        <v>0</v>
      </c>
      <c r="K11" s="6">
        <v>0</v>
      </c>
      <c r="L11" s="6">
        <v>0</v>
      </c>
      <c r="M11" s="6">
        <v>765.14001464843795</v>
      </c>
      <c r="N11" s="6">
        <v>0</v>
      </c>
      <c r="O11" s="6">
        <v>2416.3701171875</v>
      </c>
      <c r="P11" s="6">
        <v>23484.9</v>
      </c>
      <c r="Q11" s="5" t="s">
        <v>40</v>
      </c>
    </row>
    <row r="12" spans="1:17" x14ac:dyDescent="0.2">
      <c r="A12" s="7">
        <v>46176</v>
      </c>
      <c r="B12" s="5" t="s">
        <v>41</v>
      </c>
      <c r="C12" s="5" t="s">
        <v>42</v>
      </c>
      <c r="D12" s="5" t="s">
        <v>20</v>
      </c>
      <c r="E12" s="5">
        <v>27</v>
      </c>
      <c r="F12" s="5">
        <v>17784952</v>
      </c>
      <c r="G12" s="6">
        <v>112563.053222656</v>
      </c>
      <c r="H12" s="6">
        <v>0</v>
      </c>
      <c r="I12" s="6">
        <v>0</v>
      </c>
      <c r="J12" s="6">
        <v>30091.140625</v>
      </c>
      <c r="K12" s="6">
        <v>19113.439453125</v>
      </c>
      <c r="L12" s="6">
        <v>0</v>
      </c>
      <c r="M12" s="6">
        <v>0</v>
      </c>
      <c r="N12" s="6">
        <v>0</v>
      </c>
      <c r="O12" s="6">
        <v>7160.56982421875</v>
      </c>
      <c r="P12" s="6">
        <v>168928</v>
      </c>
      <c r="Q12" s="5" t="s">
        <v>43</v>
      </c>
    </row>
    <row r="13" spans="1:17" x14ac:dyDescent="0.2">
      <c r="A13" s="7">
        <v>46176</v>
      </c>
      <c r="B13" s="5" t="s">
        <v>44</v>
      </c>
      <c r="C13" s="5" t="s">
        <v>45</v>
      </c>
      <c r="D13" s="5" t="s">
        <v>20</v>
      </c>
      <c r="E13" s="5">
        <v>5</v>
      </c>
      <c r="F13" s="5">
        <v>3498881</v>
      </c>
      <c r="G13" s="6">
        <v>39776.3984375</v>
      </c>
      <c r="H13" s="6">
        <v>8353.0498046875</v>
      </c>
      <c r="I13" s="6">
        <v>0</v>
      </c>
      <c r="J13" s="6">
        <v>0</v>
      </c>
      <c r="K13" s="6">
        <v>0</v>
      </c>
      <c r="L13" s="6">
        <v>1193.2900390625</v>
      </c>
      <c r="M13" s="6">
        <v>0</v>
      </c>
      <c r="N13" s="6">
        <v>0</v>
      </c>
      <c r="O13" s="6">
        <v>0</v>
      </c>
      <c r="P13" s="6">
        <v>49322.7</v>
      </c>
      <c r="Q13" s="5" t="s">
        <v>46</v>
      </c>
    </row>
    <row r="14" spans="1:17" x14ac:dyDescent="0.2">
      <c r="A14" s="7">
        <v>46176</v>
      </c>
      <c r="B14" s="5" t="s">
        <v>22</v>
      </c>
      <c r="C14" s="5" t="s">
        <v>23</v>
      </c>
      <c r="D14" s="5" t="s">
        <v>20</v>
      </c>
      <c r="E14" s="5">
        <v>3950</v>
      </c>
      <c r="F14" s="5">
        <v>63116264</v>
      </c>
      <c r="G14" s="6">
        <v>22391.419921875</v>
      </c>
      <c r="H14" s="6">
        <v>4425</v>
      </c>
      <c r="I14" s="6">
        <v>0</v>
      </c>
      <c r="J14" s="6">
        <v>271</v>
      </c>
      <c r="K14" s="6">
        <v>675</v>
      </c>
      <c r="L14" s="6">
        <v>675</v>
      </c>
      <c r="M14" s="6">
        <v>0</v>
      </c>
      <c r="N14" s="6">
        <v>0</v>
      </c>
      <c r="O14" s="6">
        <v>0</v>
      </c>
      <c r="P14" s="6">
        <v>28437.4</v>
      </c>
      <c r="Q14" s="5" t="s">
        <v>24</v>
      </c>
    </row>
    <row r="15" spans="1:17" x14ac:dyDescent="0.2">
      <c r="A15" s="7">
        <v>46176</v>
      </c>
      <c r="B15" s="5" t="s">
        <v>22</v>
      </c>
      <c r="C15" s="5" t="s">
        <v>23</v>
      </c>
      <c r="D15" s="5" t="s">
        <v>20</v>
      </c>
      <c r="E15" s="5">
        <v>3950</v>
      </c>
      <c r="F15" s="5">
        <v>6317299</v>
      </c>
      <c r="G15" s="6">
        <v>23996.539184570302</v>
      </c>
      <c r="H15" s="6">
        <v>5039.27001953125</v>
      </c>
      <c r="I15" s="6">
        <v>0</v>
      </c>
      <c r="J15" s="6">
        <v>0</v>
      </c>
      <c r="K15" s="6">
        <v>719.89001464843795</v>
      </c>
      <c r="L15" s="6">
        <v>0</v>
      </c>
      <c r="M15" s="6">
        <v>0</v>
      </c>
      <c r="N15" s="6">
        <v>0</v>
      </c>
      <c r="O15" s="6">
        <v>0</v>
      </c>
      <c r="P15" s="6">
        <v>29755.7</v>
      </c>
      <c r="Q15" s="5" t="s">
        <v>24</v>
      </c>
    </row>
    <row r="16" spans="1:17" x14ac:dyDescent="0.2">
      <c r="A16" s="7">
        <v>46176</v>
      </c>
      <c r="B16" s="5" t="s">
        <v>47</v>
      </c>
      <c r="C16" s="5" t="s">
        <v>48</v>
      </c>
      <c r="D16" s="5" t="s">
        <v>20</v>
      </c>
      <c r="E16" s="5">
        <v>3107</v>
      </c>
      <c r="F16" s="5">
        <v>4528884</v>
      </c>
      <c r="G16" s="6">
        <v>49338.83984375</v>
      </c>
      <c r="H16" s="6">
        <v>10361.16015625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59700</v>
      </c>
      <c r="Q16" s="5" t="s">
        <v>24</v>
      </c>
    </row>
    <row r="17" spans="1:17" x14ac:dyDescent="0.2">
      <c r="A17" s="7">
        <v>46176</v>
      </c>
      <c r="B17" s="5" t="s">
        <v>41</v>
      </c>
      <c r="C17" s="5" t="s">
        <v>42</v>
      </c>
      <c r="D17" s="5" t="s">
        <v>20</v>
      </c>
      <c r="E17" s="5">
        <v>27</v>
      </c>
      <c r="F17" s="5">
        <v>19264259</v>
      </c>
      <c r="G17" s="6">
        <v>72166.056793212905</v>
      </c>
      <c r="H17" s="6">
        <v>13989.9296875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4020.1697692871098</v>
      </c>
      <c r="P17" s="6">
        <v>90176.2</v>
      </c>
      <c r="Q17" s="5" t="s">
        <v>43</v>
      </c>
    </row>
    <row r="18" spans="1:17" x14ac:dyDescent="0.2">
      <c r="A18" s="7">
        <v>46268</v>
      </c>
      <c r="B18" s="5" t="s">
        <v>29</v>
      </c>
      <c r="C18" s="5" t="s">
        <v>30</v>
      </c>
      <c r="D18" s="5" t="s">
        <v>20</v>
      </c>
      <c r="E18" s="5">
        <v>1</v>
      </c>
      <c r="F18" s="5">
        <v>392</v>
      </c>
      <c r="G18" s="6">
        <v>753160.03125</v>
      </c>
      <c r="H18" s="6">
        <v>158163.59375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911324</v>
      </c>
      <c r="Q18" s="5" t="s">
        <v>31</v>
      </c>
    </row>
    <row r="19" spans="1:17" x14ac:dyDescent="0.2">
      <c r="A19" s="7">
        <v>46268</v>
      </c>
      <c r="B19" s="5" t="s">
        <v>49</v>
      </c>
      <c r="C19" s="5" t="s">
        <v>50</v>
      </c>
      <c r="D19" s="5" t="s">
        <v>20</v>
      </c>
      <c r="E19" s="5">
        <v>2</v>
      </c>
      <c r="F19" s="5">
        <v>4270</v>
      </c>
      <c r="G19" s="6">
        <v>680851</v>
      </c>
      <c r="H19" s="6">
        <v>142979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823830</v>
      </c>
      <c r="Q19" s="5" t="s">
        <v>51</v>
      </c>
    </row>
    <row r="20" spans="1:17" x14ac:dyDescent="0.2">
      <c r="A20" s="7">
        <v>46268</v>
      </c>
      <c r="B20" s="5" t="s">
        <v>49</v>
      </c>
      <c r="C20" s="5" t="s">
        <v>50</v>
      </c>
      <c r="D20" s="5" t="s">
        <v>20</v>
      </c>
      <c r="E20" s="5">
        <v>2</v>
      </c>
      <c r="F20" s="5">
        <v>4268</v>
      </c>
      <c r="G20" s="6">
        <v>671098.03125</v>
      </c>
      <c r="H20" s="6">
        <v>140930.59375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812029</v>
      </c>
      <c r="Q20" s="5" t="s">
        <v>51</v>
      </c>
    </row>
    <row r="21" spans="1:17" x14ac:dyDescent="0.2">
      <c r="A21" s="7">
        <v>46268</v>
      </c>
      <c r="B21" s="5" t="s">
        <v>49</v>
      </c>
      <c r="C21" s="5" t="s">
        <v>50</v>
      </c>
      <c r="D21" s="5" t="s">
        <v>20</v>
      </c>
      <c r="E21" s="5">
        <v>2</v>
      </c>
      <c r="F21" s="5">
        <v>4269</v>
      </c>
      <c r="G21" s="6">
        <v>2065281</v>
      </c>
      <c r="H21" s="6">
        <v>433709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2498990</v>
      </c>
      <c r="Q21" s="5" t="s">
        <v>51</v>
      </c>
    </row>
    <row r="22" spans="1:17" x14ac:dyDescent="0.2">
      <c r="A22" s="7">
        <v>46268</v>
      </c>
      <c r="B22" s="5" t="s">
        <v>49</v>
      </c>
      <c r="C22" s="5" t="s">
        <v>50</v>
      </c>
      <c r="D22" s="5" t="s">
        <v>20</v>
      </c>
      <c r="E22" s="5">
        <v>2</v>
      </c>
      <c r="F22" s="5">
        <v>4264</v>
      </c>
      <c r="G22" s="6">
        <v>7349675</v>
      </c>
      <c r="H22" s="6">
        <v>1543431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8893110</v>
      </c>
      <c r="Q22" s="5" t="s">
        <v>51</v>
      </c>
    </row>
    <row r="23" spans="1:17" x14ac:dyDescent="0.2">
      <c r="A23" s="7">
        <v>46268</v>
      </c>
      <c r="B23" s="5" t="s">
        <v>49</v>
      </c>
      <c r="C23" s="5" t="s">
        <v>50</v>
      </c>
      <c r="D23" s="5" t="s">
        <v>20</v>
      </c>
      <c r="E23" s="5">
        <v>2</v>
      </c>
      <c r="F23" s="5">
        <v>4263</v>
      </c>
      <c r="G23" s="6">
        <v>1482202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1482200</v>
      </c>
      <c r="Q23" s="5" t="s">
        <v>51</v>
      </c>
    </row>
    <row r="24" spans="1:17" x14ac:dyDescent="0.2">
      <c r="A24" s="7">
        <v>46268</v>
      </c>
      <c r="B24" s="5" t="s">
        <v>52</v>
      </c>
      <c r="C24" s="5"/>
      <c r="D24" s="5" t="s">
        <v>20</v>
      </c>
      <c r="E24" s="5">
        <v>3</v>
      </c>
      <c r="F24" s="5">
        <v>34151565</v>
      </c>
      <c r="G24" s="6">
        <v>533341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533341</v>
      </c>
      <c r="Q24" s="5" t="s">
        <v>37</v>
      </c>
    </row>
    <row r="25" spans="1:17" x14ac:dyDescent="0.2">
      <c r="A25" s="7">
        <v>46268</v>
      </c>
      <c r="B25" s="5" t="s">
        <v>53</v>
      </c>
      <c r="C25" s="5"/>
      <c r="D25" s="5" t="s">
        <v>20</v>
      </c>
      <c r="E25" s="5">
        <v>3</v>
      </c>
      <c r="F25" s="5">
        <v>7587169</v>
      </c>
      <c r="G25" s="6">
        <v>267237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267237</v>
      </c>
      <c r="Q25" s="5" t="s">
        <v>37</v>
      </c>
    </row>
    <row r="26" spans="1:17" x14ac:dyDescent="0.2">
      <c r="A26" s="7">
        <v>46329</v>
      </c>
      <c r="B26" s="5" t="s">
        <v>54</v>
      </c>
      <c r="C26" s="5" t="s">
        <v>55</v>
      </c>
      <c r="D26" s="5" t="s">
        <v>20</v>
      </c>
      <c r="E26" s="5">
        <v>501</v>
      </c>
      <c r="F26" s="5">
        <v>75245862</v>
      </c>
      <c r="G26" s="6">
        <v>328459.23681640602</v>
      </c>
      <c r="H26" s="6">
        <v>0</v>
      </c>
      <c r="I26" s="6">
        <v>0</v>
      </c>
      <c r="J26" s="6">
        <v>88684</v>
      </c>
      <c r="K26" s="6">
        <v>56314.33984375</v>
      </c>
      <c r="L26" s="6">
        <v>0</v>
      </c>
      <c r="M26" s="6">
        <v>0</v>
      </c>
      <c r="N26" s="6">
        <v>0</v>
      </c>
      <c r="O26" s="6">
        <v>33258.610839843801</v>
      </c>
      <c r="P26" s="6">
        <v>506716</v>
      </c>
      <c r="Q26" s="5" t="s">
        <v>43</v>
      </c>
    </row>
    <row r="27" spans="1:17" x14ac:dyDescent="0.2">
      <c r="A27" s="7">
        <v>46329</v>
      </c>
      <c r="B27" s="5" t="s">
        <v>56</v>
      </c>
      <c r="C27" s="5" t="s">
        <v>57</v>
      </c>
      <c r="D27" s="5" t="s">
        <v>58</v>
      </c>
      <c r="E27" s="5">
        <v>4</v>
      </c>
      <c r="F27" s="5">
        <v>132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400000</v>
      </c>
      <c r="P27" s="6">
        <v>400000</v>
      </c>
      <c r="Q27" s="5" t="s">
        <v>59</v>
      </c>
    </row>
    <row r="28" spans="1:17" x14ac:dyDescent="0.2">
      <c r="A28" s="7">
        <v>46359</v>
      </c>
      <c r="B28" s="5" t="s">
        <v>60</v>
      </c>
      <c r="C28" s="5" t="s">
        <v>61</v>
      </c>
      <c r="D28" s="5" t="s">
        <v>58</v>
      </c>
      <c r="E28" s="5">
        <v>10</v>
      </c>
      <c r="F28" s="5">
        <v>338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350000</v>
      </c>
      <c r="P28" s="6">
        <v>350000</v>
      </c>
      <c r="Q28" s="5" t="s">
        <v>62</v>
      </c>
    </row>
    <row r="29" spans="1:17" x14ac:dyDescent="0.2">
      <c r="A29" s="7">
        <v>46359</v>
      </c>
      <c r="B29" s="5" t="s">
        <v>63</v>
      </c>
      <c r="C29" s="5" t="s">
        <v>64</v>
      </c>
      <c r="D29" s="5" t="s">
        <v>20</v>
      </c>
      <c r="E29" s="5">
        <v>4</v>
      </c>
      <c r="F29" s="5">
        <v>52669</v>
      </c>
      <c r="G29" s="6">
        <v>1403533.09375</v>
      </c>
      <c r="H29" s="6">
        <v>294741.90625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1698280</v>
      </c>
      <c r="Q29" s="5" t="s">
        <v>65</v>
      </c>
    </row>
    <row r="30" spans="1:17" x14ac:dyDescent="0.2">
      <c r="A30" s="7">
        <v>46359</v>
      </c>
      <c r="B30" s="5" t="s">
        <v>66</v>
      </c>
      <c r="C30" s="5" t="s">
        <v>67</v>
      </c>
      <c r="D30" s="5" t="s">
        <v>20</v>
      </c>
      <c r="E30" s="5">
        <v>1</v>
      </c>
      <c r="F30" s="5">
        <v>690</v>
      </c>
      <c r="G30" s="6">
        <v>1348074.5</v>
      </c>
      <c r="H30" s="6">
        <v>283095.5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1631170</v>
      </c>
      <c r="Q30" s="5" t="s">
        <v>68</v>
      </c>
    </row>
    <row r="31" spans="1:17" x14ac:dyDescent="0.2">
      <c r="A31" s="7">
        <v>46359</v>
      </c>
      <c r="B31" s="5" t="s">
        <v>63</v>
      </c>
      <c r="C31" s="5" t="s">
        <v>64</v>
      </c>
      <c r="D31" s="5" t="s">
        <v>20</v>
      </c>
      <c r="E31" s="5">
        <v>4</v>
      </c>
      <c r="F31" s="5">
        <v>52676</v>
      </c>
      <c r="G31" s="6">
        <v>2522866.875</v>
      </c>
      <c r="H31" s="6">
        <v>529802.125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3052670</v>
      </c>
      <c r="Q31" s="5" t="s">
        <v>69</v>
      </c>
    </row>
    <row r="32" spans="1:17" x14ac:dyDescent="0.2">
      <c r="A32" s="4" t="s">
        <v>70</v>
      </c>
      <c r="B32" s="5" t="s">
        <v>35</v>
      </c>
      <c r="C32" s="5" t="s">
        <v>36</v>
      </c>
      <c r="D32" s="5" t="s">
        <v>20</v>
      </c>
      <c r="E32" s="5">
        <v>3</v>
      </c>
      <c r="F32" s="5">
        <v>3504537</v>
      </c>
      <c r="G32" s="6">
        <v>116292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116292</v>
      </c>
      <c r="Q32" s="5" t="s">
        <v>37</v>
      </c>
    </row>
    <row r="33" spans="1:17" x14ac:dyDescent="0.2">
      <c r="A33" s="4" t="s">
        <v>70</v>
      </c>
      <c r="B33" s="5" t="s">
        <v>35</v>
      </c>
      <c r="C33" s="5" t="s">
        <v>36</v>
      </c>
      <c r="D33" s="5" t="s">
        <v>20</v>
      </c>
      <c r="E33" s="5">
        <v>3</v>
      </c>
      <c r="F33" s="5">
        <v>3504543</v>
      </c>
      <c r="G33" s="6">
        <v>61235.26171875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61235.3</v>
      </c>
      <c r="Q33" s="5" t="s">
        <v>37</v>
      </c>
    </row>
    <row r="34" spans="1:17" x14ac:dyDescent="0.2">
      <c r="A34" s="4" t="s">
        <v>70</v>
      </c>
      <c r="B34" s="5" t="s">
        <v>54</v>
      </c>
      <c r="C34" s="5" t="s">
        <v>55</v>
      </c>
      <c r="D34" s="5" t="s">
        <v>20</v>
      </c>
      <c r="E34" s="5">
        <v>501</v>
      </c>
      <c r="F34" s="5">
        <v>3681550</v>
      </c>
      <c r="G34" s="6">
        <v>146322.40625</v>
      </c>
      <c r="H34" s="6">
        <v>0</v>
      </c>
      <c r="I34" s="6">
        <v>0</v>
      </c>
      <c r="J34" s="6">
        <v>39507.05859375</v>
      </c>
      <c r="K34" s="6">
        <v>4389.669921875</v>
      </c>
      <c r="L34" s="6">
        <v>0</v>
      </c>
      <c r="M34" s="6">
        <v>0</v>
      </c>
      <c r="N34" s="6">
        <v>0</v>
      </c>
      <c r="O34" s="6">
        <v>69604.458984375</v>
      </c>
      <c r="P34" s="6">
        <v>259824</v>
      </c>
      <c r="Q34" s="5" t="s">
        <v>43</v>
      </c>
    </row>
    <row r="35" spans="1:17" x14ac:dyDescent="0.2">
      <c r="A35" s="4" t="s">
        <v>70</v>
      </c>
      <c r="B35" s="5" t="s">
        <v>47</v>
      </c>
      <c r="C35" s="5" t="s">
        <v>48</v>
      </c>
      <c r="D35" s="5" t="s">
        <v>20</v>
      </c>
      <c r="E35" s="5">
        <v>3099</v>
      </c>
      <c r="F35" s="5">
        <v>705524</v>
      </c>
      <c r="G35" s="6">
        <v>98463.982421875</v>
      </c>
      <c r="H35" s="6">
        <v>0</v>
      </c>
      <c r="I35" s="6">
        <v>0</v>
      </c>
      <c r="J35" s="6">
        <v>26585.279296875</v>
      </c>
      <c r="K35" s="6">
        <v>2953.919921875</v>
      </c>
      <c r="L35" s="6">
        <v>2953.919921875</v>
      </c>
      <c r="M35" s="6">
        <v>0</v>
      </c>
      <c r="N35" s="6">
        <v>0</v>
      </c>
      <c r="O35" s="6">
        <v>0</v>
      </c>
      <c r="P35" s="6">
        <v>130957</v>
      </c>
      <c r="Q35" s="5" t="s">
        <v>24</v>
      </c>
    </row>
    <row r="36" spans="1:17" x14ac:dyDescent="0.2">
      <c r="A36" s="4" t="s">
        <v>71</v>
      </c>
      <c r="B36" s="5" t="s">
        <v>72</v>
      </c>
      <c r="C36" s="5" t="s">
        <v>73</v>
      </c>
      <c r="D36" s="5" t="s">
        <v>20</v>
      </c>
      <c r="E36" s="5">
        <v>5</v>
      </c>
      <c r="F36" s="5">
        <v>25928</v>
      </c>
      <c r="G36" s="6">
        <v>652696.07421875</v>
      </c>
      <c r="H36" s="6">
        <v>137066</v>
      </c>
      <c r="I36" s="6">
        <v>0</v>
      </c>
      <c r="J36" s="6">
        <v>0</v>
      </c>
      <c r="K36" s="6">
        <v>19580.900390625</v>
      </c>
      <c r="L36" s="6">
        <v>19580.900390625</v>
      </c>
      <c r="M36" s="6">
        <v>0</v>
      </c>
      <c r="N36" s="6">
        <v>0</v>
      </c>
      <c r="O36" s="6">
        <v>0</v>
      </c>
      <c r="P36" s="6">
        <v>828924</v>
      </c>
      <c r="Q36" s="5" t="s">
        <v>28</v>
      </c>
    </row>
    <row r="37" spans="1:17" x14ac:dyDescent="0.2">
      <c r="A37" s="4" t="s">
        <v>71</v>
      </c>
      <c r="B37" s="5" t="s">
        <v>18</v>
      </c>
      <c r="C37" s="5" t="s">
        <v>19</v>
      </c>
      <c r="D37" s="5" t="s">
        <v>20</v>
      </c>
      <c r="E37" s="5">
        <v>12</v>
      </c>
      <c r="F37" s="5">
        <v>83363</v>
      </c>
      <c r="G37" s="6">
        <v>305522.4140625</v>
      </c>
      <c r="H37" s="6">
        <v>64159.69921875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33610.19921875</v>
      </c>
      <c r="P37" s="6">
        <v>403292</v>
      </c>
      <c r="Q37" s="5" t="s">
        <v>21</v>
      </c>
    </row>
    <row r="38" spans="1:17" x14ac:dyDescent="0.2">
      <c r="A38" s="4" t="s">
        <v>71</v>
      </c>
      <c r="B38" s="5" t="s">
        <v>18</v>
      </c>
      <c r="C38" s="5" t="s">
        <v>19</v>
      </c>
      <c r="D38" s="5" t="s">
        <v>20</v>
      </c>
      <c r="E38" s="5">
        <v>12</v>
      </c>
      <c r="F38" s="5">
        <v>83711</v>
      </c>
      <c r="G38" s="6">
        <v>319903.703125</v>
      </c>
      <c r="H38" s="6">
        <v>67179.703125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33745.5</v>
      </c>
      <c r="P38" s="6">
        <v>420829</v>
      </c>
      <c r="Q38" s="5" t="s">
        <v>21</v>
      </c>
    </row>
    <row r="39" spans="1:17" x14ac:dyDescent="0.2">
      <c r="A39" s="4" t="s">
        <v>71</v>
      </c>
      <c r="B39" s="5" t="s">
        <v>49</v>
      </c>
      <c r="C39" s="5" t="s">
        <v>50</v>
      </c>
      <c r="D39" s="5" t="s">
        <v>20</v>
      </c>
      <c r="E39" s="5">
        <v>2</v>
      </c>
      <c r="F39" s="5">
        <v>4272</v>
      </c>
      <c r="G39" s="6">
        <v>5345042</v>
      </c>
      <c r="H39" s="6">
        <v>1122458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6467500</v>
      </c>
      <c r="Q39" s="5" t="s">
        <v>51</v>
      </c>
    </row>
    <row r="40" spans="1:17" x14ac:dyDescent="0.2">
      <c r="A40" s="4" t="s">
        <v>71</v>
      </c>
      <c r="B40" s="5" t="s">
        <v>74</v>
      </c>
      <c r="C40" s="5"/>
      <c r="D40" s="5" t="s">
        <v>20</v>
      </c>
      <c r="E40" s="5">
        <v>3</v>
      </c>
      <c r="F40" s="5">
        <v>4002566</v>
      </c>
      <c r="G40" s="6">
        <v>90719.890625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90719.9</v>
      </c>
      <c r="Q40" s="5" t="s">
        <v>75</v>
      </c>
    </row>
    <row r="41" spans="1:17" x14ac:dyDescent="0.2">
      <c r="A41" s="4" t="s">
        <v>71</v>
      </c>
      <c r="B41" s="5" t="s">
        <v>54</v>
      </c>
      <c r="C41" s="5" t="s">
        <v>55</v>
      </c>
      <c r="D41" s="5" t="s">
        <v>20</v>
      </c>
      <c r="E41" s="5">
        <v>501</v>
      </c>
      <c r="F41" s="5">
        <v>3683277</v>
      </c>
      <c r="G41" s="6">
        <v>380336.5703125</v>
      </c>
      <c r="H41" s="6">
        <v>0</v>
      </c>
      <c r="I41" s="6">
        <v>0</v>
      </c>
      <c r="J41" s="6">
        <v>103110.1015625</v>
      </c>
      <c r="K41" s="6">
        <v>0</v>
      </c>
      <c r="L41" s="6">
        <v>0</v>
      </c>
      <c r="M41" s="6">
        <v>0</v>
      </c>
      <c r="N41" s="6">
        <v>0</v>
      </c>
      <c r="O41" s="6">
        <v>177015.703125</v>
      </c>
      <c r="P41" s="6">
        <v>660462</v>
      </c>
      <c r="Q41" s="5" t="s">
        <v>43</v>
      </c>
    </row>
    <row r="42" spans="1:17" x14ac:dyDescent="0.2">
      <c r="A42" s="4" t="s">
        <v>71</v>
      </c>
      <c r="B42" s="5" t="s">
        <v>54</v>
      </c>
      <c r="C42" s="5" t="s">
        <v>55</v>
      </c>
      <c r="D42" s="5" t="s">
        <v>20</v>
      </c>
      <c r="E42" s="5">
        <v>501</v>
      </c>
      <c r="F42" s="5">
        <v>75696338</v>
      </c>
      <c r="G42" s="6">
        <v>134887.30303955101</v>
      </c>
      <c r="H42" s="6">
        <v>28326.330078125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13846.070007324201</v>
      </c>
      <c r="P42" s="6">
        <v>177060</v>
      </c>
      <c r="Q42" s="5" t="s">
        <v>43</v>
      </c>
    </row>
    <row r="43" spans="1:17" x14ac:dyDescent="0.2">
      <c r="A43" s="4" t="s">
        <v>71</v>
      </c>
      <c r="B43" s="5" t="s">
        <v>76</v>
      </c>
      <c r="C43" s="5" t="s">
        <v>77</v>
      </c>
      <c r="D43" s="5" t="s">
        <v>20</v>
      </c>
      <c r="E43" s="5">
        <v>3</v>
      </c>
      <c r="F43" s="5">
        <v>2047127</v>
      </c>
      <c r="G43" s="6">
        <v>44842.55859375</v>
      </c>
      <c r="H43" s="6">
        <v>8690.240234375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590.830078125</v>
      </c>
      <c r="P43" s="6">
        <v>54123.6</v>
      </c>
      <c r="Q43" s="5" t="s">
        <v>78</v>
      </c>
    </row>
    <row r="44" spans="1:17" x14ac:dyDescent="0.2">
      <c r="A44" s="4" t="s">
        <v>71</v>
      </c>
      <c r="B44" s="5" t="s">
        <v>79</v>
      </c>
      <c r="C44" s="5" t="s">
        <v>80</v>
      </c>
      <c r="D44" s="5" t="s">
        <v>20</v>
      </c>
      <c r="E44" s="5">
        <v>3</v>
      </c>
      <c r="F44" s="5">
        <v>2526871</v>
      </c>
      <c r="G44" s="6">
        <v>26287.901855468801</v>
      </c>
      <c r="H44" s="6">
        <v>10705.1796875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1051.52001953125</v>
      </c>
      <c r="P44" s="6">
        <v>38044.6</v>
      </c>
      <c r="Q44" s="5" t="s">
        <v>40</v>
      </c>
    </row>
    <row r="45" spans="1:17" x14ac:dyDescent="0.2">
      <c r="A45" s="4" t="s">
        <v>71</v>
      </c>
      <c r="B45" s="5" t="s">
        <v>76</v>
      </c>
      <c r="C45" s="5" t="s">
        <v>77</v>
      </c>
      <c r="D45" s="5" t="s">
        <v>20</v>
      </c>
      <c r="E45" s="5">
        <v>3</v>
      </c>
      <c r="F45" s="5">
        <v>1994315</v>
      </c>
      <c r="G45" s="6">
        <v>269373.39453125</v>
      </c>
      <c r="H45" s="6">
        <v>0</v>
      </c>
      <c r="I45" s="6">
        <v>0</v>
      </c>
      <c r="J45" s="6">
        <v>67525.0390625</v>
      </c>
      <c r="K45" s="6">
        <v>42878.3984375</v>
      </c>
      <c r="L45" s="6">
        <v>0</v>
      </c>
      <c r="M45" s="6">
        <v>0</v>
      </c>
      <c r="N45" s="6">
        <v>20007.419921875</v>
      </c>
      <c r="O45" s="6">
        <v>-14803.939453125</v>
      </c>
      <c r="P45" s="6">
        <v>384980</v>
      </c>
      <c r="Q45" s="5" t="s">
        <v>78</v>
      </c>
    </row>
    <row r="46" spans="1:17" x14ac:dyDescent="0.2">
      <c r="A46" s="4" t="s">
        <v>71</v>
      </c>
      <c r="B46" s="5" t="s">
        <v>81</v>
      </c>
      <c r="C46" s="5" t="s">
        <v>82</v>
      </c>
      <c r="D46" s="5" t="s">
        <v>20</v>
      </c>
      <c r="E46" s="5">
        <v>63</v>
      </c>
      <c r="F46" s="5">
        <v>3710488</v>
      </c>
      <c r="G46" s="6">
        <v>51542.3994140625</v>
      </c>
      <c r="H46" s="6">
        <v>10823.900390625</v>
      </c>
      <c r="I46" s="6">
        <v>0</v>
      </c>
      <c r="J46" s="6">
        <v>0</v>
      </c>
      <c r="K46" s="6">
        <v>1546.27001953125</v>
      </c>
      <c r="L46" s="6">
        <v>1546.27001953125</v>
      </c>
      <c r="M46" s="6">
        <v>0</v>
      </c>
      <c r="N46" s="6">
        <v>0</v>
      </c>
      <c r="O46" s="6">
        <v>0</v>
      </c>
      <c r="P46" s="6">
        <v>65458.8</v>
      </c>
      <c r="Q46" s="5" t="s">
        <v>24</v>
      </c>
    </row>
    <row r="47" spans="1:17" x14ac:dyDescent="0.2">
      <c r="A47" s="4" t="s">
        <v>71</v>
      </c>
      <c r="B47" s="5" t="s">
        <v>81</v>
      </c>
      <c r="C47" s="5" t="s">
        <v>82</v>
      </c>
      <c r="D47" s="5" t="s">
        <v>20</v>
      </c>
      <c r="E47" s="5">
        <v>63</v>
      </c>
      <c r="F47" s="5">
        <v>3728543</v>
      </c>
      <c r="G47" s="6">
        <v>72289.996582031294</v>
      </c>
      <c r="H47" s="6">
        <v>15180.900390625</v>
      </c>
      <c r="I47" s="6">
        <v>0</v>
      </c>
      <c r="J47" s="6">
        <v>0</v>
      </c>
      <c r="K47" s="6">
        <v>2168.69995117188</v>
      </c>
      <c r="L47" s="6">
        <v>2168.69995117188</v>
      </c>
      <c r="M47" s="6">
        <v>0</v>
      </c>
      <c r="N47" s="6">
        <v>0</v>
      </c>
      <c r="O47" s="6">
        <v>0</v>
      </c>
      <c r="P47" s="6">
        <v>91808.3</v>
      </c>
      <c r="Q47" s="5" t="s">
        <v>46</v>
      </c>
    </row>
    <row r="48" spans="1:17" x14ac:dyDescent="0.2">
      <c r="A48" s="4" t="s">
        <v>83</v>
      </c>
      <c r="B48" s="5" t="s">
        <v>84</v>
      </c>
      <c r="C48" s="5" t="s">
        <v>85</v>
      </c>
      <c r="D48" s="5" t="s">
        <v>20</v>
      </c>
      <c r="E48" s="5">
        <v>3</v>
      </c>
      <c r="F48" s="5">
        <v>166249</v>
      </c>
      <c r="G48" s="6">
        <v>3387811</v>
      </c>
      <c r="H48" s="6">
        <v>711440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4099250</v>
      </c>
      <c r="Q48" s="5" t="s">
        <v>68</v>
      </c>
    </row>
    <row r="49" spans="1:17" x14ac:dyDescent="0.2">
      <c r="A49" s="4" t="s">
        <v>83</v>
      </c>
      <c r="B49" s="5" t="s">
        <v>49</v>
      </c>
      <c r="C49" s="5" t="s">
        <v>50</v>
      </c>
      <c r="D49" s="5" t="s">
        <v>20</v>
      </c>
      <c r="E49" s="5">
        <v>2</v>
      </c>
      <c r="F49" s="5">
        <v>4276</v>
      </c>
      <c r="G49" s="6">
        <v>190670.00390625</v>
      </c>
      <c r="H49" s="6">
        <v>40040.69921875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230711</v>
      </c>
      <c r="Q49" s="5" t="s">
        <v>51</v>
      </c>
    </row>
    <row r="50" spans="1:17" x14ac:dyDescent="0.2">
      <c r="A50" s="4" t="s">
        <v>83</v>
      </c>
      <c r="B50" s="5" t="s">
        <v>86</v>
      </c>
      <c r="C50" s="5"/>
      <c r="D50" s="5" t="s">
        <v>20</v>
      </c>
      <c r="E50" s="5">
        <v>5</v>
      </c>
      <c r="F50" s="5">
        <v>2828590</v>
      </c>
      <c r="G50" s="6">
        <v>72900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72900</v>
      </c>
      <c r="Q50" s="5" t="s">
        <v>37</v>
      </c>
    </row>
    <row r="51" spans="1:17" x14ac:dyDescent="0.2">
      <c r="A51" s="4" t="s">
        <v>83</v>
      </c>
      <c r="B51" s="5" t="s">
        <v>35</v>
      </c>
      <c r="C51" s="5" t="s">
        <v>36</v>
      </c>
      <c r="D51" s="5" t="s">
        <v>87</v>
      </c>
      <c r="E51" s="5">
        <v>3</v>
      </c>
      <c r="F51" s="5">
        <v>4165030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14314.75</v>
      </c>
      <c r="P51" s="6">
        <v>14314.8</v>
      </c>
      <c r="Q51" s="5" t="s">
        <v>37</v>
      </c>
    </row>
    <row r="52" spans="1:17" x14ac:dyDescent="0.2">
      <c r="A52" s="4" t="s">
        <v>83</v>
      </c>
      <c r="B52" s="5" t="s">
        <v>54</v>
      </c>
      <c r="C52" s="5" t="s">
        <v>55</v>
      </c>
      <c r="D52" s="5" t="s">
        <v>20</v>
      </c>
      <c r="E52" s="5">
        <v>501</v>
      </c>
      <c r="F52" s="5">
        <v>75839577</v>
      </c>
      <c r="G52" s="6">
        <v>99113.241943359404</v>
      </c>
      <c r="H52" s="6">
        <v>0</v>
      </c>
      <c r="I52" s="6">
        <v>0</v>
      </c>
      <c r="J52" s="6">
        <v>26760.5703125</v>
      </c>
      <c r="K52" s="6">
        <v>16992.9609375</v>
      </c>
      <c r="L52" s="6">
        <v>0</v>
      </c>
      <c r="M52" s="6">
        <v>0</v>
      </c>
      <c r="N52" s="6">
        <v>0</v>
      </c>
      <c r="O52" s="6">
        <v>5510.4299316406295</v>
      </c>
      <c r="P52" s="6">
        <v>148377</v>
      </c>
      <c r="Q52" s="5" t="s">
        <v>43</v>
      </c>
    </row>
    <row r="53" spans="1:17" x14ac:dyDescent="0.2">
      <c r="A53" s="4" t="s">
        <v>83</v>
      </c>
      <c r="B53" s="5" t="s">
        <v>76</v>
      </c>
      <c r="C53" s="5" t="s">
        <v>77</v>
      </c>
      <c r="D53" s="5" t="s">
        <v>20</v>
      </c>
      <c r="E53" s="5">
        <v>3</v>
      </c>
      <c r="F53" s="5">
        <v>483508</v>
      </c>
      <c r="G53" s="6">
        <v>67142.261047363296</v>
      </c>
      <c r="H53" s="6">
        <v>10231.0498046875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-17550.830383300799</v>
      </c>
      <c r="P53" s="6">
        <v>59822.5</v>
      </c>
      <c r="Q53" s="5" t="s">
        <v>78</v>
      </c>
    </row>
    <row r="54" spans="1:17" x14ac:dyDescent="0.2">
      <c r="A54" s="4" t="s">
        <v>83</v>
      </c>
      <c r="B54" s="5" t="s">
        <v>76</v>
      </c>
      <c r="C54" s="5" t="s">
        <v>77</v>
      </c>
      <c r="D54" s="5" t="s">
        <v>20</v>
      </c>
      <c r="E54" s="5">
        <v>3</v>
      </c>
      <c r="F54" s="5">
        <v>232789</v>
      </c>
      <c r="G54" s="6">
        <v>101044.116699219</v>
      </c>
      <c r="H54" s="6">
        <v>0</v>
      </c>
      <c r="I54" s="6">
        <v>0</v>
      </c>
      <c r="J54" s="6">
        <v>26802.16015625</v>
      </c>
      <c r="K54" s="6">
        <v>2978.02001953125</v>
      </c>
      <c r="L54" s="6">
        <v>0</v>
      </c>
      <c r="M54" s="6">
        <v>0</v>
      </c>
      <c r="N54" s="6">
        <v>0</v>
      </c>
      <c r="O54" s="6">
        <v>0</v>
      </c>
      <c r="P54" s="6">
        <v>130824</v>
      </c>
      <c r="Q54" s="5" t="s">
        <v>78</v>
      </c>
    </row>
    <row r="55" spans="1:17" x14ac:dyDescent="0.2">
      <c r="A55" s="4" t="s">
        <v>83</v>
      </c>
      <c r="B55" s="5" t="s">
        <v>47</v>
      </c>
      <c r="C55" s="5" t="s">
        <v>48</v>
      </c>
      <c r="D55" s="5" t="s">
        <v>20</v>
      </c>
      <c r="E55" s="5">
        <v>3101</v>
      </c>
      <c r="F55" s="5">
        <v>466330</v>
      </c>
      <c r="G55" s="6">
        <v>34971.997314453103</v>
      </c>
      <c r="H55" s="6">
        <v>0</v>
      </c>
      <c r="I55" s="6">
        <v>0</v>
      </c>
      <c r="J55" s="6">
        <v>9442.4404296875</v>
      </c>
      <c r="K55" s="6">
        <v>1049.16003417969</v>
      </c>
      <c r="L55" s="6">
        <v>1049.16003417969</v>
      </c>
      <c r="M55" s="6">
        <v>0</v>
      </c>
      <c r="N55" s="6">
        <v>0</v>
      </c>
      <c r="O55" s="6">
        <v>45513.9296875</v>
      </c>
      <c r="P55" s="6">
        <v>92026.7</v>
      </c>
      <c r="Q55" s="5" t="s">
        <v>24</v>
      </c>
    </row>
    <row r="56" spans="1:17" x14ac:dyDescent="0.2">
      <c r="A56" s="7">
        <v>46056</v>
      </c>
      <c r="B56" s="5" t="s">
        <v>88</v>
      </c>
      <c r="C56" s="5" t="s">
        <v>89</v>
      </c>
      <c r="D56" s="5" t="s">
        <v>20</v>
      </c>
      <c r="E56" s="5">
        <v>9</v>
      </c>
      <c r="F56" s="5">
        <v>969</v>
      </c>
      <c r="G56" s="6">
        <v>580000</v>
      </c>
      <c r="H56" s="6">
        <v>121800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701800</v>
      </c>
      <c r="Q56" s="5" t="s">
        <v>34</v>
      </c>
    </row>
    <row r="57" spans="1:17" x14ac:dyDescent="0.2">
      <c r="A57" s="4" t="s">
        <v>70</v>
      </c>
      <c r="B57" s="5" t="s">
        <v>88</v>
      </c>
      <c r="C57" s="5" t="s">
        <v>89</v>
      </c>
      <c r="D57" s="5" t="s">
        <v>20</v>
      </c>
      <c r="E57" s="5">
        <v>9</v>
      </c>
      <c r="F57" s="5">
        <v>970</v>
      </c>
      <c r="G57" s="6">
        <v>388800</v>
      </c>
      <c r="H57" s="6">
        <v>81648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470448</v>
      </c>
      <c r="Q57" s="5" t="s">
        <v>34</v>
      </c>
    </row>
    <row r="58" spans="1:17" x14ac:dyDescent="0.2">
      <c r="A58" s="4" t="s">
        <v>90</v>
      </c>
      <c r="B58" s="5" t="s">
        <v>29</v>
      </c>
      <c r="C58" s="5" t="s">
        <v>30</v>
      </c>
      <c r="D58" s="5" t="s">
        <v>20</v>
      </c>
      <c r="E58" s="5">
        <v>1</v>
      </c>
      <c r="F58" s="5">
        <v>391</v>
      </c>
      <c r="G58" s="6">
        <v>342150</v>
      </c>
      <c r="H58" s="6">
        <v>71851.5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414002</v>
      </c>
      <c r="Q58" s="5" t="s">
        <v>31</v>
      </c>
    </row>
    <row r="59" spans="1:17" x14ac:dyDescent="0.2">
      <c r="A59" s="4" t="s">
        <v>83</v>
      </c>
      <c r="B59" s="5" t="s">
        <v>63</v>
      </c>
      <c r="C59" s="5" t="s">
        <v>64</v>
      </c>
      <c r="D59" s="5" t="s">
        <v>20</v>
      </c>
      <c r="E59" s="5">
        <v>4</v>
      </c>
      <c r="F59" s="5">
        <v>52738</v>
      </c>
      <c r="G59" s="6">
        <v>360332.1640625</v>
      </c>
      <c r="H59" s="6">
        <v>75669.4296875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436002</v>
      </c>
      <c r="Q59" s="5" t="s">
        <v>69</v>
      </c>
    </row>
    <row r="60" spans="1:17" x14ac:dyDescent="0.2">
      <c r="A60" s="4" t="s">
        <v>91</v>
      </c>
      <c r="B60" s="5" t="s">
        <v>92</v>
      </c>
      <c r="C60" s="5" t="s">
        <v>93</v>
      </c>
      <c r="D60" s="5" t="s">
        <v>20</v>
      </c>
      <c r="E60" s="5">
        <v>1</v>
      </c>
      <c r="F60" s="5">
        <v>1132</v>
      </c>
      <c r="G60" s="6">
        <v>720000</v>
      </c>
      <c r="H60" s="6">
        <v>151200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871200</v>
      </c>
      <c r="Q60" s="5" t="s">
        <v>94</v>
      </c>
    </row>
    <row r="61" spans="1:17" x14ac:dyDescent="0.2">
      <c r="A61" s="4" t="s">
        <v>95</v>
      </c>
      <c r="B61" s="5" t="s">
        <v>18</v>
      </c>
      <c r="C61" s="5" t="s">
        <v>19</v>
      </c>
      <c r="D61" s="5" t="s">
        <v>20</v>
      </c>
      <c r="E61" s="5">
        <v>12</v>
      </c>
      <c r="F61" s="5">
        <v>84087</v>
      </c>
      <c r="G61" s="6">
        <v>261730.58984375</v>
      </c>
      <c r="H61" s="6">
        <v>54963.41015625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54818.5</v>
      </c>
      <c r="P61" s="6">
        <v>371512</v>
      </c>
      <c r="Q61" s="5" t="s">
        <v>21</v>
      </c>
    </row>
    <row r="62" spans="1:17" x14ac:dyDescent="0.2">
      <c r="A62" s="4" t="s">
        <v>95</v>
      </c>
      <c r="B62" s="5" t="s">
        <v>96</v>
      </c>
      <c r="C62" s="5">
        <v>30695068286</v>
      </c>
      <c r="D62" s="5" t="s">
        <v>20</v>
      </c>
      <c r="E62" s="5">
        <v>6</v>
      </c>
      <c r="F62" s="5">
        <v>168216</v>
      </c>
      <c r="G62" s="6">
        <v>86022.30078125</v>
      </c>
      <c r="H62" s="6">
        <v>18064.69921875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104087</v>
      </c>
      <c r="Q62" s="5" t="s">
        <v>97</v>
      </c>
    </row>
    <row r="63" spans="1:17" x14ac:dyDescent="0.2">
      <c r="A63" s="4" t="s">
        <v>95</v>
      </c>
      <c r="B63" s="5" t="s">
        <v>49</v>
      </c>
      <c r="C63" s="5" t="s">
        <v>50</v>
      </c>
      <c r="D63" s="5" t="s">
        <v>20</v>
      </c>
      <c r="E63" s="5">
        <v>2</v>
      </c>
      <c r="F63" s="5">
        <v>4261</v>
      </c>
      <c r="G63" s="6">
        <v>4598647.125</v>
      </c>
      <c r="H63" s="6">
        <v>965715.875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5564360</v>
      </c>
      <c r="Q63" s="5" t="s">
        <v>51</v>
      </c>
    </row>
    <row r="64" spans="1:17" x14ac:dyDescent="0.2">
      <c r="A64" s="4" t="s">
        <v>98</v>
      </c>
      <c r="B64" s="5" t="s">
        <v>99</v>
      </c>
      <c r="C64" s="5" t="s">
        <v>100</v>
      </c>
      <c r="D64" s="5" t="s">
        <v>20</v>
      </c>
      <c r="E64" s="5">
        <v>2</v>
      </c>
      <c r="F64" s="5">
        <v>1560</v>
      </c>
      <c r="G64" s="6">
        <v>1105553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1105550</v>
      </c>
      <c r="Q64" s="5" t="s">
        <v>31</v>
      </c>
    </row>
    <row r="65" spans="1:17" x14ac:dyDescent="0.2">
      <c r="A65" s="4" t="s">
        <v>98</v>
      </c>
      <c r="B65" s="5" t="s">
        <v>41</v>
      </c>
      <c r="C65" s="5" t="s">
        <v>42</v>
      </c>
      <c r="D65" s="5" t="s">
        <v>20</v>
      </c>
      <c r="E65" s="5">
        <v>14</v>
      </c>
      <c r="F65" s="5">
        <v>22233263</v>
      </c>
      <c r="G65" s="6">
        <v>118025.679199219</v>
      </c>
      <c r="H65" s="6">
        <v>0</v>
      </c>
      <c r="I65" s="6">
        <v>0</v>
      </c>
      <c r="J65" s="6">
        <v>31866.9609375</v>
      </c>
      <c r="K65" s="6">
        <v>3540.77001953125</v>
      </c>
      <c r="L65" s="6">
        <v>0</v>
      </c>
      <c r="M65" s="6">
        <v>0</v>
      </c>
      <c r="N65" s="6">
        <v>0</v>
      </c>
      <c r="O65" s="6">
        <v>7533.58984375</v>
      </c>
      <c r="P65" s="6">
        <v>160967</v>
      </c>
      <c r="Q65" s="5" t="s">
        <v>43</v>
      </c>
    </row>
    <row r="66" spans="1:17" x14ac:dyDescent="0.2">
      <c r="A66" s="4" t="s">
        <v>98</v>
      </c>
      <c r="B66" s="5" t="s">
        <v>22</v>
      </c>
      <c r="C66" s="5" t="s">
        <v>23</v>
      </c>
      <c r="D66" s="5" t="s">
        <v>20</v>
      </c>
      <c r="E66" s="5">
        <v>3950</v>
      </c>
      <c r="F66" s="5">
        <v>6515486</v>
      </c>
      <c r="G66" s="6">
        <v>411915.65332031302</v>
      </c>
      <c r="H66" s="6">
        <v>84247.671875</v>
      </c>
      <c r="I66" s="6">
        <v>0</v>
      </c>
      <c r="J66" s="6">
        <v>3771.84008789063</v>
      </c>
      <c r="K66" s="6">
        <v>12454.4697265625</v>
      </c>
      <c r="L66" s="6">
        <v>11682.7099609375</v>
      </c>
      <c r="M66" s="6">
        <v>0</v>
      </c>
      <c r="N66" s="6">
        <v>0</v>
      </c>
      <c r="O66" s="6">
        <v>3318.28002929688</v>
      </c>
      <c r="P66" s="6">
        <v>527391</v>
      </c>
      <c r="Q66" s="5" t="s">
        <v>25</v>
      </c>
    </row>
    <row r="67" spans="1:17" x14ac:dyDescent="0.2">
      <c r="A67" s="4" t="s">
        <v>98</v>
      </c>
      <c r="B67" s="5" t="s">
        <v>76</v>
      </c>
      <c r="C67" s="5" t="s">
        <v>77</v>
      </c>
      <c r="D67" s="5" t="s">
        <v>20</v>
      </c>
      <c r="E67" s="5">
        <v>3</v>
      </c>
      <c r="F67" s="5">
        <v>3263455</v>
      </c>
      <c r="G67" s="6">
        <v>31256.800292968801</v>
      </c>
      <c r="H67" s="6">
        <v>6563.93017578125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559.5</v>
      </c>
      <c r="P67" s="6">
        <v>38380.199999999997</v>
      </c>
      <c r="Q67" s="5" t="s">
        <v>78</v>
      </c>
    </row>
    <row r="68" spans="1:17" x14ac:dyDescent="0.2">
      <c r="A68" s="4" t="s">
        <v>101</v>
      </c>
      <c r="B68" s="5" t="s">
        <v>102</v>
      </c>
      <c r="C68" s="5" t="s">
        <v>103</v>
      </c>
      <c r="D68" s="5" t="s">
        <v>20</v>
      </c>
      <c r="E68" s="5">
        <v>10</v>
      </c>
      <c r="F68" s="5">
        <v>18350</v>
      </c>
      <c r="G68" s="6">
        <v>580000</v>
      </c>
      <c r="H68" s="6">
        <v>121800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701800</v>
      </c>
      <c r="Q68" s="5" t="s">
        <v>31</v>
      </c>
    </row>
    <row r="69" spans="1:17" x14ac:dyDescent="0.2">
      <c r="A69" s="4" t="s">
        <v>101</v>
      </c>
      <c r="B69" s="5" t="s">
        <v>104</v>
      </c>
      <c r="C69" s="5" t="s">
        <v>105</v>
      </c>
      <c r="D69" s="5" t="s">
        <v>20</v>
      </c>
      <c r="E69" s="5">
        <v>2</v>
      </c>
      <c r="F69" s="5">
        <v>2596</v>
      </c>
      <c r="G69" s="6">
        <v>315250</v>
      </c>
      <c r="H69" s="6">
        <v>66202.5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381452</v>
      </c>
      <c r="Q69" s="5" t="s">
        <v>106</v>
      </c>
    </row>
    <row r="70" spans="1:17" x14ac:dyDescent="0.2">
      <c r="A70" s="4" t="s">
        <v>101</v>
      </c>
      <c r="B70" s="5" t="s">
        <v>104</v>
      </c>
      <c r="C70" s="5" t="s">
        <v>105</v>
      </c>
      <c r="D70" s="5" t="s">
        <v>20</v>
      </c>
      <c r="E70" s="5">
        <v>2</v>
      </c>
      <c r="F70" s="5">
        <v>2594</v>
      </c>
      <c r="G70" s="6">
        <v>97600</v>
      </c>
      <c r="H70" s="6">
        <v>20496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118096</v>
      </c>
      <c r="Q70" s="5" t="s">
        <v>106</v>
      </c>
    </row>
    <row r="71" spans="1:17" x14ac:dyDescent="0.2">
      <c r="A71" s="4" t="s">
        <v>101</v>
      </c>
      <c r="B71" s="5" t="s">
        <v>107</v>
      </c>
      <c r="C71" s="5" t="s">
        <v>108</v>
      </c>
      <c r="D71" s="5" t="s">
        <v>20</v>
      </c>
      <c r="E71" s="5">
        <v>2</v>
      </c>
      <c r="F71" s="5">
        <v>981</v>
      </c>
      <c r="G71" s="6">
        <v>1653339.59375</v>
      </c>
      <c r="H71" s="6">
        <v>347201.40625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2000540</v>
      </c>
      <c r="Q71" s="5" t="s">
        <v>34</v>
      </c>
    </row>
    <row r="72" spans="1:17" x14ac:dyDescent="0.2">
      <c r="A72" s="4" t="s">
        <v>101</v>
      </c>
      <c r="B72" s="5" t="s">
        <v>35</v>
      </c>
      <c r="C72" s="5" t="s">
        <v>36</v>
      </c>
      <c r="D72" s="5" t="s">
        <v>20</v>
      </c>
      <c r="E72" s="5">
        <v>3</v>
      </c>
      <c r="F72" s="5">
        <v>3504536</v>
      </c>
      <c r="G72" s="6">
        <v>194693.09375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194693</v>
      </c>
      <c r="Q72" s="5" t="s">
        <v>37</v>
      </c>
    </row>
    <row r="73" spans="1:17" x14ac:dyDescent="0.2">
      <c r="A73" s="4" t="s">
        <v>101</v>
      </c>
      <c r="B73" s="5" t="s">
        <v>35</v>
      </c>
      <c r="C73" s="5" t="s">
        <v>36</v>
      </c>
      <c r="D73" s="5" t="s">
        <v>20</v>
      </c>
      <c r="E73" s="5">
        <v>3</v>
      </c>
      <c r="F73" s="5">
        <v>3504538</v>
      </c>
      <c r="G73" s="6">
        <v>140675.90625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140676</v>
      </c>
      <c r="Q73" s="5" t="s">
        <v>37</v>
      </c>
    </row>
    <row r="74" spans="1:17" x14ac:dyDescent="0.2">
      <c r="A74" s="4" t="s">
        <v>101</v>
      </c>
      <c r="B74" s="5" t="s">
        <v>35</v>
      </c>
      <c r="C74" s="5" t="s">
        <v>36</v>
      </c>
      <c r="D74" s="5" t="s">
        <v>20</v>
      </c>
      <c r="E74" s="5">
        <v>3</v>
      </c>
      <c r="F74" s="5">
        <v>4165030</v>
      </c>
      <c r="G74" s="6">
        <v>14127.3701171875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14127.4</v>
      </c>
      <c r="Q74" s="5" t="s">
        <v>37</v>
      </c>
    </row>
    <row r="75" spans="1:17" x14ac:dyDescent="0.2">
      <c r="A75" s="4" t="s">
        <v>101</v>
      </c>
      <c r="B75" s="5" t="s">
        <v>109</v>
      </c>
      <c r="C75" s="5" t="s">
        <v>110</v>
      </c>
      <c r="D75" s="5" t="s">
        <v>20</v>
      </c>
      <c r="E75" s="5">
        <v>1</v>
      </c>
      <c r="F75" s="5">
        <v>260326</v>
      </c>
      <c r="G75" s="6">
        <v>325000</v>
      </c>
      <c r="H75" s="6">
        <v>68250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393250</v>
      </c>
      <c r="Q75" s="5" t="s">
        <v>31</v>
      </c>
    </row>
    <row r="76" spans="1:17" x14ac:dyDescent="0.2">
      <c r="A76" s="4" t="s">
        <v>101</v>
      </c>
      <c r="B76" s="5" t="s">
        <v>35</v>
      </c>
      <c r="C76" s="5" t="s">
        <v>36</v>
      </c>
      <c r="D76" s="5" t="s">
        <v>20</v>
      </c>
      <c r="E76" s="5">
        <v>3</v>
      </c>
      <c r="F76" s="5">
        <v>112</v>
      </c>
      <c r="G76" s="6">
        <v>1300.19995117188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1300.2</v>
      </c>
      <c r="Q76" s="5" t="s">
        <v>37</v>
      </c>
    </row>
    <row r="77" spans="1:17" x14ac:dyDescent="0.2">
      <c r="A77" s="4" t="s">
        <v>101</v>
      </c>
      <c r="B77" s="5" t="s">
        <v>111</v>
      </c>
      <c r="C77" s="5" t="s">
        <v>112</v>
      </c>
      <c r="D77" s="5" t="s">
        <v>20</v>
      </c>
      <c r="E77" s="5">
        <v>14</v>
      </c>
      <c r="F77" s="5">
        <v>28590</v>
      </c>
      <c r="G77" s="6">
        <v>100065.48315429701</v>
      </c>
      <c r="H77" s="6">
        <v>21013.75</v>
      </c>
      <c r="I77" s="6">
        <v>0</v>
      </c>
      <c r="J77" s="6">
        <v>0</v>
      </c>
      <c r="K77" s="6">
        <v>3001.96997070313</v>
      </c>
      <c r="L77" s="6">
        <v>0</v>
      </c>
      <c r="M77" s="6">
        <v>0</v>
      </c>
      <c r="N77" s="6">
        <v>0</v>
      </c>
      <c r="O77" s="6">
        <v>0</v>
      </c>
      <c r="P77" s="6">
        <v>124081</v>
      </c>
      <c r="Q77" s="5" t="s">
        <v>113</v>
      </c>
    </row>
    <row r="78" spans="1:17" x14ac:dyDescent="0.2">
      <c r="A78" s="4" t="s">
        <v>98</v>
      </c>
      <c r="B78" s="5" t="s">
        <v>63</v>
      </c>
      <c r="C78" s="5" t="s">
        <v>64</v>
      </c>
      <c r="D78" s="5" t="s">
        <v>20</v>
      </c>
      <c r="E78" s="5">
        <v>1</v>
      </c>
      <c r="F78" s="5">
        <v>52815</v>
      </c>
      <c r="G78" s="6">
        <v>225000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225000</v>
      </c>
      <c r="Q78" s="5" t="s">
        <v>69</v>
      </c>
    </row>
    <row r="79" spans="1:17" x14ac:dyDescent="0.2">
      <c r="A79" s="4" t="s">
        <v>114</v>
      </c>
      <c r="B79" s="5" t="s">
        <v>115</v>
      </c>
      <c r="C79" s="5" t="s">
        <v>116</v>
      </c>
      <c r="D79" s="5" t="s">
        <v>20</v>
      </c>
      <c r="E79" s="5">
        <v>1</v>
      </c>
      <c r="F79" s="5">
        <v>1224</v>
      </c>
      <c r="G79" s="6">
        <v>1222100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1222100</v>
      </c>
      <c r="Q79" s="5" t="s">
        <v>28</v>
      </c>
    </row>
    <row r="80" spans="1:17" x14ac:dyDescent="0.2">
      <c r="A80" s="4" t="s">
        <v>114</v>
      </c>
      <c r="B80" s="5" t="s">
        <v>117</v>
      </c>
      <c r="C80" s="5" t="s">
        <v>118</v>
      </c>
      <c r="D80" s="5" t="s">
        <v>20</v>
      </c>
      <c r="E80" s="5">
        <v>5</v>
      </c>
      <c r="F80" s="5">
        <v>15788</v>
      </c>
      <c r="G80" s="6">
        <v>870000</v>
      </c>
      <c r="H80" s="6">
        <v>182700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1052700</v>
      </c>
      <c r="Q80" s="5" t="s">
        <v>28</v>
      </c>
    </row>
    <row r="81" spans="1:17" x14ac:dyDescent="0.2">
      <c r="A81" s="4" t="s">
        <v>114</v>
      </c>
      <c r="B81" s="5" t="s">
        <v>119</v>
      </c>
      <c r="C81" s="5" t="s">
        <v>120</v>
      </c>
      <c r="D81" s="5" t="s">
        <v>20</v>
      </c>
      <c r="E81" s="5">
        <v>1</v>
      </c>
      <c r="F81" s="5">
        <v>270326</v>
      </c>
      <c r="G81" s="6">
        <v>1960000</v>
      </c>
      <c r="H81" s="6">
        <v>411600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2371600</v>
      </c>
      <c r="Q81" s="5" t="s">
        <v>34</v>
      </c>
    </row>
    <row r="82" spans="1:17" x14ac:dyDescent="0.2">
      <c r="A82" s="4" t="s">
        <v>114</v>
      </c>
      <c r="B82" s="5" t="s">
        <v>121</v>
      </c>
      <c r="C82" s="5" t="s">
        <v>122</v>
      </c>
      <c r="D82" s="5" t="s">
        <v>20</v>
      </c>
      <c r="E82" s="5">
        <v>2</v>
      </c>
      <c r="F82" s="5">
        <v>1154</v>
      </c>
      <c r="G82" s="6">
        <v>4292.5599975585901</v>
      </c>
      <c r="H82" s="6">
        <v>901.44000244140602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5194</v>
      </c>
      <c r="Q82" s="5" t="s">
        <v>65</v>
      </c>
    </row>
    <row r="83" spans="1:17" x14ac:dyDescent="0.2">
      <c r="A83" s="4" t="s">
        <v>95</v>
      </c>
      <c r="B83" s="5" t="s">
        <v>123</v>
      </c>
      <c r="C83" s="5"/>
      <c r="D83" s="5" t="s">
        <v>20</v>
      </c>
      <c r="E83" s="5">
        <v>10</v>
      </c>
      <c r="F83" s="5">
        <v>1066</v>
      </c>
      <c r="G83" s="6">
        <v>24024.7802734375</v>
      </c>
      <c r="H83" s="6">
        <v>5045.2099609375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29070</v>
      </c>
      <c r="Q83" s="5" t="s">
        <v>65</v>
      </c>
    </row>
    <row r="84" spans="1:17" x14ac:dyDescent="0.2">
      <c r="A84" s="7">
        <v>46329</v>
      </c>
      <c r="B84" s="5" t="s">
        <v>124</v>
      </c>
      <c r="C84" s="5" t="s">
        <v>125</v>
      </c>
      <c r="D84" s="5" t="s">
        <v>20</v>
      </c>
      <c r="E84" s="5">
        <v>3</v>
      </c>
      <c r="F84" s="5">
        <v>1400</v>
      </c>
      <c r="G84" s="6">
        <v>8256.1999511718805</v>
      </c>
      <c r="H84" s="6">
        <v>1733.80004882813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9990</v>
      </c>
      <c r="Q84" s="5" t="s">
        <v>126</v>
      </c>
    </row>
    <row r="85" spans="1:17" x14ac:dyDescent="0.2">
      <c r="A85" s="4" t="s">
        <v>127</v>
      </c>
      <c r="B85" s="5" t="s">
        <v>128</v>
      </c>
      <c r="C85" s="5" t="s">
        <v>129</v>
      </c>
      <c r="D85" s="5" t="s">
        <v>20</v>
      </c>
      <c r="E85" s="5">
        <v>5</v>
      </c>
      <c r="F85" s="5">
        <v>49105</v>
      </c>
      <c r="G85" s="6">
        <v>221692.18603515599</v>
      </c>
      <c r="H85" s="6">
        <v>7759.22021484375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229451</v>
      </c>
      <c r="Q85" s="5" t="s">
        <v>126</v>
      </c>
    </row>
    <row r="86" spans="1:17" x14ac:dyDescent="0.2">
      <c r="A86" s="4" t="s">
        <v>127</v>
      </c>
      <c r="B86" s="5" t="s">
        <v>130</v>
      </c>
      <c r="C86" s="5" t="s">
        <v>131</v>
      </c>
      <c r="D86" s="5" t="s">
        <v>20</v>
      </c>
      <c r="E86" s="5">
        <v>1</v>
      </c>
      <c r="F86" s="5">
        <v>3229</v>
      </c>
      <c r="G86" s="6">
        <v>39570.3603515625</v>
      </c>
      <c r="H86" s="6">
        <v>8309.7802734375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47880.1</v>
      </c>
      <c r="Q86" s="5" t="s">
        <v>65</v>
      </c>
    </row>
    <row r="87" spans="1:17" x14ac:dyDescent="0.2">
      <c r="A87" s="7">
        <v>46359</v>
      </c>
      <c r="B87" s="5" t="s">
        <v>132</v>
      </c>
      <c r="C87" s="5" t="s">
        <v>133</v>
      </c>
      <c r="D87" s="5" t="s">
        <v>20</v>
      </c>
      <c r="E87" s="5">
        <v>2</v>
      </c>
      <c r="F87" s="5">
        <v>14141</v>
      </c>
      <c r="G87" s="6">
        <v>59423.103515625</v>
      </c>
      <c r="H87" s="6">
        <v>6239.419921875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65662.5</v>
      </c>
      <c r="Q87" s="5" t="s">
        <v>69</v>
      </c>
    </row>
    <row r="88" spans="1:17" x14ac:dyDescent="0.2">
      <c r="A88" s="7">
        <v>46329</v>
      </c>
      <c r="B88" s="5" t="s">
        <v>134</v>
      </c>
      <c r="C88" s="5"/>
      <c r="D88" s="5" t="s">
        <v>20</v>
      </c>
      <c r="E88" s="5">
        <v>10</v>
      </c>
      <c r="F88" s="5">
        <v>146073</v>
      </c>
      <c r="G88" s="6">
        <v>121734.99609375</v>
      </c>
      <c r="H88" s="6">
        <v>25564.30078125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147299</v>
      </c>
      <c r="Q88" s="5" t="s">
        <v>65</v>
      </c>
    </row>
    <row r="89" spans="1:17" x14ac:dyDescent="0.2">
      <c r="A89" s="7">
        <v>46359</v>
      </c>
      <c r="B89" s="5" t="s">
        <v>135</v>
      </c>
      <c r="C89" s="5" t="s">
        <v>136</v>
      </c>
      <c r="D89" s="5" t="s">
        <v>20</v>
      </c>
      <c r="E89" s="5">
        <v>2</v>
      </c>
      <c r="F89" s="5">
        <v>57238</v>
      </c>
      <c r="G89" s="6">
        <v>30462.798339843801</v>
      </c>
      <c r="H89" s="6">
        <v>6397.18994140625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36860</v>
      </c>
      <c r="Q89" s="5" t="s">
        <v>126</v>
      </c>
    </row>
    <row r="90" spans="1:17" x14ac:dyDescent="0.2">
      <c r="A90" s="7">
        <v>46329</v>
      </c>
      <c r="B90" s="5" t="s">
        <v>137</v>
      </c>
      <c r="C90" s="5" t="s">
        <v>138</v>
      </c>
      <c r="D90" s="5" t="s">
        <v>20</v>
      </c>
      <c r="E90" s="5">
        <v>2</v>
      </c>
      <c r="F90" s="5">
        <v>60101</v>
      </c>
      <c r="G90" s="6">
        <v>6595.0400390625</v>
      </c>
      <c r="H90" s="6">
        <v>1384.9599609375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7980</v>
      </c>
      <c r="Q90" s="5" t="s">
        <v>126</v>
      </c>
    </row>
    <row r="91" spans="1:17" x14ac:dyDescent="0.2">
      <c r="A91" s="7">
        <v>46298</v>
      </c>
      <c r="B91" s="5" t="s">
        <v>139</v>
      </c>
      <c r="C91" s="5" t="s">
        <v>140</v>
      </c>
      <c r="D91" s="5" t="s">
        <v>20</v>
      </c>
      <c r="E91" s="5">
        <v>2002</v>
      </c>
      <c r="F91" s="5">
        <v>18217</v>
      </c>
      <c r="G91" s="6">
        <v>69585.201171875</v>
      </c>
      <c r="H91" s="6">
        <v>14612.900390625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84198.1</v>
      </c>
      <c r="Q91" s="5" t="s">
        <v>65</v>
      </c>
    </row>
    <row r="92" spans="1:17" x14ac:dyDescent="0.2">
      <c r="A92" s="4" t="s">
        <v>101</v>
      </c>
      <c r="B92" s="5" t="s">
        <v>141</v>
      </c>
      <c r="C92" s="5" t="s">
        <v>142</v>
      </c>
      <c r="D92" s="5" t="s">
        <v>20</v>
      </c>
      <c r="E92" s="5">
        <v>12</v>
      </c>
      <c r="F92" s="5">
        <v>3437</v>
      </c>
      <c r="G92" s="6">
        <v>25335.740234375</v>
      </c>
      <c r="H92" s="6">
        <v>2660.25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27996</v>
      </c>
      <c r="Q92" s="5" t="s">
        <v>65</v>
      </c>
    </row>
    <row r="93" spans="1:17" x14ac:dyDescent="0.2">
      <c r="A93" s="4" t="s">
        <v>127</v>
      </c>
      <c r="B93" s="5" t="s">
        <v>117</v>
      </c>
      <c r="C93" s="5" t="s">
        <v>118</v>
      </c>
      <c r="D93" s="5" t="s">
        <v>20</v>
      </c>
      <c r="E93" s="5">
        <v>5</v>
      </c>
      <c r="F93" s="5">
        <v>15810</v>
      </c>
      <c r="G93" s="6">
        <v>108000</v>
      </c>
      <c r="H93" s="6">
        <v>22680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130680</v>
      </c>
      <c r="Q93" s="5" t="s">
        <v>28</v>
      </c>
    </row>
    <row r="94" spans="1:17" x14ac:dyDescent="0.2">
      <c r="A94" s="4" t="s">
        <v>127</v>
      </c>
      <c r="B94" s="5" t="s">
        <v>18</v>
      </c>
      <c r="C94" s="5" t="s">
        <v>19</v>
      </c>
      <c r="D94" s="5" t="s">
        <v>20</v>
      </c>
      <c r="E94" s="5">
        <v>12</v>
      </c>
      <c r="F94" s="5">
        <v>84364</v>
      </c>
      <c r="G94" s="6">
        <v>242772.40625</v>
      </c>
      <c r="H94" s="6">
        <v>50982.19921875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54240.30078125</v>
      </c>
      <c r="P94" s="6">
        <v>347995</v>
      </c>
      <c r="Q94" s="5" t="s">
        <v>21</v>
      </c>
    </row>
    <row r="95" spans="1:17" x14ac:dyDescent="0.2">
      <c r="A95" s="4" t="s">
        <v>127</v>
      </c>
      <c r="B95" s="5" t="s">
        <v>72</v>
      </c>
      <c r="C95" s="5" t="s">
        <v>73</v>
      </c>
      <c r="D95" s="5" t="s">
        <v>20</v>
      </c>
      <c r="E95" s="5">
        <v>5</v>
      </c>
      <c r="F95" s="5">
        <v>25947</v>
      </c>
      <c r="G95" s="6">
        <v>93766.991943359404</v>
      </c>
      <c r="H95" s="6">
        <v>19691.099609375</v>
      </c>
      <c r="I95" s="6">
        <v>0</v>
      </c>
      <c r="J95" s="6">
        <v>0</v>
      </c>
      <c r="K95" s="6">
        <v>0</v>
      </c>
      <c r="L95" s="6">
        <v>2813.01000976563</v>
      </c>
      <c r="M95" s="6">
        <v>0</v>
      </c>
      <c r="N95" s="6">
        <v>0</v>
      </c>
      <c r="O95" s="6">
        <v>0</v>
      </c>
      <c r="P95" s="6">
        <v>116271</v>
      </c>
      <c r="Q95" s="5" t="s">
        <v>28</v>
      </c>
    </row>
    <row r="96" spans="1:17" x14ac:dyDescent="0.2">
      <c r="A96" s="4" t="s">
        <v>127</v>
      </c>
      <c r="B96" s="5" t="s">
        <v>41</v>
      </c>
      <c r="C96" s="5" t="s">
        <v>42</v>
      </c>
      <c r="D96" s="5" t="s">
        <v>20</v>
      </c>
      <c r="E96" s="5">
        <v>27</v>
      </c>
      <c r="F96" s="5">
        <v>22741304</v>
      </c>
      <c r="G96" s="6">
        <v>92585.2939453125</v>
      </c>
      <c r="H96" s="6">
        <v>0</v>
      </c>
      <c r="I96" s="6">
        <v>0</v>
      </c>
      <c r="J96" s="6">
        <v>24750.5</v>
      </c>
      <c r="K96" s="6">
        <v>15721.099609375</v>
      </c>
      <c r="L96" s="6">
        <v>0</v>
      </c>
      <c r="M96" s="6">
        <v>0</v>
      </c>
      <c r="N96" s="6">
        <v>0</v>
      </c>
      <c r="O96" s="6">
        <v>5889.7001953125</v>
      </c>
      <c r="P96" s="6">
        <v>138947</v>
      </c>
      <c r="Q96" s="5" t="s">
        <v>43</v>
      </c>
    </row>
    <row r="97" spans="1:17" x14ac:dyDescent="0.2">
      <c r="A97" s="4" t="s">
        <v>114</v>
      </c>
      <c r="B97" s="5" t="s">
        <v>143</v>
      </c>
      <c r="C97" s="5" t="s">
        <v>144</v>
      </c>
      <c r="D97" s="5" t="s">
        <v>20</v>
      </c>
      <c r="E97" s="5">
        <v>4</v>
      </c>
      <c r="F97" s="5">
        <v>1805751</v>
      </c>
      <c r="G97" s="6">
        <v>20010.600006103501</v>
      </c>
      <c r="H97" s="6">
        <v>4202.240234375</v>
      </c>
      <c r="I97" s="6">
        <v>0</v>
      </c>
      <c r="J97" s="6">
        <v>0</v>
      </c>
      <c r="K97" s="6">
        <v>0</v>
      </c>
      <c r="L97" s="6">
        <v>600.29998779296898</v>
      </c>
      <c r="M97" s="6">
        <v>0</v>
      </c>
      <c r="N97" s="6">
        <v>200.10000610351599</v>
      </c>
      <c r="O97" s="6">
        <v>0</v>
      </c>
      <c r="P97" s="6">
        <v>25013.200000000001</v>
      </c>
      <c r="Q97" s="5" t="s">
        <v>126</v>
      </c>
    </row>
    <row r="98" spans="1:17" x14ac:dyDescent="0.2">
      <c r="A98" s="4" t="s">
        <v>145</v>
      </c>
      <c r="B98" s="5" t="s">
        <v>60</v>
      </c>
      <c r="C98" s="5" t="s">
        <v>61</v>
      </c>
      <c r="D98" s="5" t="s">
        <v>58</v>
      </c>
      <c r="E98" s="5">
        <v>10</v>
      </c>
      <c r="F98" s="5">
        <v>342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160000</v>
      </c>
      <c r="P98" s="6">
        <v>160000</v>
      </c>
      <c r="Q98" s="5" t="s">
        <v>62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0C49-512E-4494-9EE5-8E9B47A86FD2}">
  <sheetPr filterMode="1"/>
  <dimension ref="A1:Q299"/>
  <sheetViews>
    <sheetView tabSelected="1" topLeftCell="A107" zoomScale="115" zoomScaleNormal="115" workbookViewId="0">
      <selection activeCell="F120" sqref="F120"/>
    </sheetView>
  </sheetViews>
  <sheetFormatPr baseColWidth="10" defaultColWidth="11.5703125" defaultRowHeight="12.75" x14ac:dyDescent="0.2"/>
  <cols>
    <col min="1" max="1" width="9.5703125" style="1" customWidth="1"/>
    <col min="2" max="2" width="43" customWidth="1"/>
    <col min="3" max="3" width="13.42578125" customWidth="1"/>
    <col min="4" max="4" width="8.5703125" customWidth="1"/>
    <col min="5" max="5" width="6.140625" customWidth="1"/>
    <col min="6" max="6" width="9.42578125" customWidth="1"/>
    <col min="7" max="8" width="16.7109375" style="2" customWidth="1"/>
    <col min="9" max="9" width="8.7109375" style="2" customWidth="1"/>
    <col min="10" max="14" width="16.7109375" style="2" customWidth="1"/>
    <col min="15" max="15" width="17.28515625" style="2" customWidth="1"/>
    <col min="16" max="16" width="10.85546875" style="2" customWidth="1"/>
    <col min="17" max="17" width="39.28515625" customWidth="1"/>
  </cols>
  <sheetData>
    <row r="1" spans="1:17" x14ac:dyDescent="0.2">
      <c r="A1" s="3" t="s">
        <v>0</v>
      </c>
    </row>
    <row r="3" spans="1:17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5" t="s">
        <v>17</v>
      </c>
    </row>
    <row r="4" spans="1:17" x14ac:dyDescent="0.2">
      <c r="A4" s="4" t="s">
        <v>101</v>
      </c>
      <c r="B4" s="5" t="s">
        <v>35</v>
      </c>
      <c r="C4" s="5" t="s">
        <v>36</v>
      </c>
      <c r="D4" s="5" t="s">
        <v>20</v>
      </c>
      <c r="E4" s="5">
        <v>3</v>
      </c>
      <c r="F4" s="5">
        <v>112</v>
      </c>
      <c r="G4" s="6">
        <v>1300.19995117188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1300.2</v>
      </c>
      <c r="Q4" s="5" t="s">
        <v>37</v>
      </c>
    </row>
    <row r="5" spans="1:17" x14ac:dyDescent="0.2">
      <c r="A5" s="4" t="s">
        <v>90</v>
      </c>
      <c r="B5" s="5" t="s">
        <v>29</v>
      </c>
      <c r="C5" s="5" t="s">
        <v>30</v>
      </c>
      <c r="D5" s="5" t="s">
        <v>20</v>
      </c>
      <c r="E5" s="5">
        <v>1</v>
      </c>
      <c r="F5" s="5">
        <v>391</v>
      </c>
      <c r="G5" s="6">
        <v>342150</v>
      </c>
      <c r="H5" s="6">
        <v>71851.5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414002</v>
      </c>
      <c r="Q5" s="5" t="s">
        <v>31</v>
      </c>
    </row>
    <row r="6" spans="1:17" x14ac:dyDescent="0.2">
      <c r="A6" s="7">
        <v>46268</v>
      </c>
      <c r="B6" s="5" t="s">
        <v>29</v>
      </c>
      <c r="C6" s="5" t="s">
        <v>30</v>
      </c>
      <c r="D6" s="5" t="s">
        <v>20</v>
      </c>
      <c r="E6" s="5">
        <v>1</v>
      </c>
      <c r="F6" s="5">
        <v>392</v>
      </c>
      <c r="G6" s="6">
        <v>753160.03125</v>
      </c>
      <c r="H6" s="6">
        <v>158163.59375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911324</v>
      </c>
      <c r="Q6" s="5" t="s">
        <v>31</v>
      </c>
    </row>
    <row r="7" spans="1:17" x14ac:dyDescent="0.2">
      <c r="A7" s="7">
        <v>46145</v>
      </c>
      <c r="B7" s="5" t="s">
        <v>29</v>
      </c>
      <c r="C7" s="5" t="s">
        <v>30</v>
      </c>
      <c r="D7" s="5" t="s">
        <v>20</v>
      </c>
      <c r="E7" s="5">
        <v>1</v>
      </c>
      <c r="F7" s="5">
        <v>393</v>
      </c>
      <c r="G7" s="6">
        <v>811460.03125</v>
      </c>
      <c r="H7" s="6">
        <v>170406.59375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981867</v>
      </c>
      <c r="Q7" s="5" t="s">
        <v>31</v>
      </c>
    </row>
    <row r="8" spans="1:17" x14ac:dyDescent="0.2">
      <c r="A8" s="7">
        <v>46115</v>
      </c>
      <c r="B8" s="5" t="s">
        <v>26</v>
      </c>
      <c r="C8" s="5" t="s">
        <v>27</v>
      </c>
      <c r="D8" s="5" t="s">
        <v>20</v>
      </c>
      <c r="E8" s="5">
        <v>3</v>
      </c>
      <c r="F8" s="5">
        <v>518</v>
      </c>
      <c r="G8" s="6">
        <v>4015000</v>
      </c>
      <c r="H8" s="6">
        <v>843150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4858150</v>
      </c>
      <c r="Q8" s="5" t="s">
        <v>28</v>
      </c>
    </row>
    <row r="9" spans="1:17" x14ac:dyDescent="0.2">
      <c r="A9" s="7">
        <v>46359</v>
      </c>
      <c r="B9" s="5" t="s">
        <v>66</v>
      </c>
      <c r="C9" s="5" t="s">
        <v>67</v>
      </c>
      <c r="D9" s="5" t="s">
        <v>20</v>
      </c>
      <c r="E9" s="5">
        <v>1</v>
      </c>
      <c r="F9" s="5">
        <v>690</v>
      </c>
      <c r="G9" s="6">
        <v>1348074.5</v>
      </c>
      <c r="H9" s="6">
        <v>283095.5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1631170</v>
      </c>
      <c r="Q9" s="5" t="s">
        <v>68</v>
      </c>
    </row>
    <row r="10" spans="1:17" x14ac:dyDescent="0.2">
      <c r="A10" s="7">
        <v>46056</v>
      </c>
      <c r="B10" s="5" t="s">
        <v>88</v>
      </c>
      <c r="C10" s="5" t="s">
        <v>89</v>
      </c>
      <c r="D10" s="5" t="s">
        <v>20</v>
      </c>
      <c r="E10" s="5">
        <v>9</v>
      </c>
      <c r="F10" s="5">
        <v>969</v>
      </c>
      <c r="G10" s="6">
        <v>580000</v>
      </c>
      <c r="H10" s="6">
        <v>121800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701800</v>
      </c>
      <c r="Q10" s="5" t="s">
        <v>34</v>
      </c>
    </row>
    <row r="11" spans="1:17" x14ac:dyDescent="0.2">
      <c r="A11" s="4" t="s">
        <v>70</v>
      </c>
      <c r="B11" s="5" t="s">
        <v>88</v>
      </c>
      <c r="C11" s="5" t="s">
        <v>89</v>
      </c>
      <c r="D11" s="5" t="s">
        <v>20</v>
      </c>
      <c r="E11" s="5">
        <v>9</v>
      </c>
      <c r="F11" s="5">
        <v>970</v>
      </c>
      <c r="G11" s="6">
        <v>388800</v>
      </c>
      <c r="H11" s="6">
        <v>81648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470448</v>
      </c>
      <c r="Q11" s="5" t="s">
        <v>34</v>
      </c>
    </row>
    <row r="12" spans="1:17" x14ac:dyDescent="0.2">
      <c r="A12" s="4" t="s">
        <v>101</v>
      </c>
      <c r="B12" s="5" t="s">
        <v>107</v>
      </c>
      <c r="C12" s="5" t="s">
        <v>108</v>
      </c>
      <c r="D12" s="5" t="s">
        <v>20</v>
      </c>
      <c r="E12" s="5">
        <v>2</v>
      </c>
      <c r="F12" s="5">
        <v>981</v>
      </c>
      <c r="G12" s="6">
        <v>1653339.59375</v>
      </c>
      <c r="H12" s="6">
        <v>347201.40625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2000540</v>
      </c>
      <c r="Q12" s="5" t="s">
        <v>34</v>
      </c>
    </row>
    <row r="13" spans="1:17" x14ac:dyDescent="0.2">
      <c r="A13" s="4" t="s">
        <v>95</v>
      </c>
      <c r="B13" s="5" t="s">
        <v>123</v>
      </c>
      <c r="C13" s="5"/>
      <c r="D13" s="5" t="s">
        <v>20</v>
      </c>
      <c r="E13" s="5">
        <v>10</v>
      </c>
      <c r="F13" s="5">
        <v>1066</v>
      </c>
      <c r="G13" s="6">
        <v>24024.7802734375</v>
      </c>
      <c r="H13" s="6">
        <v>5045.2099609375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29070</v>
      </c>
      <c r="Q13" s="5" t="s">
        <v>65</v>
      </c>
    </row>
    <row r="14" spans="1:17" x14ac:dyDescent="0.2">
      <c r="A14" s="4" t="s">
        <v>91</v>
      </c>
      <c r="B14" s="5" t="s">
        <v>92</v>
      </c>
      <c r="C14" s="5" t="s">
        <v>93</v>
      </c>
      <c r="D14" s="5" t="s">
        <v>20</v>
      </c>
      <c r="E14" s="5">
        <v>1</v>
      </c>
      <c r="F14" s="5">
        <v>1132</v>
      </c>
      <c r="G14" s="6">
        <v>720000</v>
      </c>
      <c r="H14" s="6">
        <v>151200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871200</v>
      </c>
      <c r="Q14" s="5" t="s">
        <v>94</v>
      </c>
    </row>
    <row r="15" spans="1:17" x14ac:dyDescent="0.2">
      <c r="A15" s="4" t="s">
        <v>114</v>
      </c>
      <c r="B15" s="5" t="s">
        <v>121</v>
      </c>
      <c r="C15" s="5" t="s">
        <v>122</v>
      </c>
      <c r="D15" s="5" t="s">
        <v>20</v>
      </c>
      <c r="E15" s="5">
        <v>2</v>
      </c>
      <c r="F15" s="5">
        <v>1154</v>
      </c>
      <c r="G15" s="6">
        <v>4292.5599975585901</v>
      </c>
      <c r="H15" s="6">
        <v>901.44000244140602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5194</v>
      </c>
      <c r="Q15" s="5" t="s">
        <v>65</v>
      </c>
    </row>
    <row r="16" spans="1:17" x14ac:dyDescent="0.2">
      <c r="A16" s="4" t="s">
        <v>114</v>
      </c>
      <c r="B16" s="5" t="s">
        <v>115</v>
      </c>
      <c r="C16" s="5" t="s">
        <v>116</v>
      </c>
      <c r="D16" s="5" t="s">
        <v>20</v>
      </c>
      <c r="E16" s="5">
        <v>1</v>
      </c>
      <c r="F16" s="5">
        <v>1224</v>
      </c>
      <c r="G16" s="6">
        <v>1222100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1222100</v>
      </c>
      <c r="Q16" s="5" t="s">
        <v>28</v>
      </c>
    </row>
    <row r="17" spans="1:17" x14ac:dyDescent="0.2">
      <c r="A17" s="7">
        <v>46329</v>
      </c>
      <c r="B17" s="5" t="s">
        <v>124</v>
      </c>
      <c r="C17" s="5" t="s">
        <v>125</v>
      </c>
      <c r="D17" s="5" t="s">
        <v>20</v>
      </c>
      <c r="E17" s="5">
        <v>3</v>
      </c>
      <c r="F17" s="5">
        <v>1400</v>
      </c>
      <c r="G17" s="6">
        <v>8256.1999511718805</v>
      </c>
      <c r="H17" s="6">
        <v>1733.80004882813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9990</v>
      </c>
      <c r="Q17" s="5" t="s">
        <v>126</v>
      </c>
    </row>
    <row r="18" spans="1:17" x14ac:dyDescent="0.2">
      <c r="A18" s="4" t="s">
        <v>98</v>
      </c>
      <c r="B18" s="5" t="s">
        <v>99</v>
      </c>
      <c r="C18" s="5" t="s">
        <v>100</v>
      </c>
      <c r="D18" s="5" t="s">
        <v>20</v>
      </c>
      <c r="E18" s="5">
        <v>2</v>
      </c>
      <c r="F18" s="5">
        <v>1560</v>
      </c>
      <c r="G18" s="6">
        <v>1105553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1105550</v>
      </c>
      <c r="Q18" s="5" t="s">
        <v>31</v>
      </c>
    </row>
    <row r="19" spans="1:17" x14ac:dyDescent="0.2">
      <c r="A19" s="4" t="s">
        <v>101</v>
      </c>
      <c r="B19" s="5" t="s">
        <v>104</v>
      </c>
      <c r="C19" s="5" t="s">
        <v>105</v>
      </c>
      <c r="D19" s="5" t="s">
        <v>20</v>
      </c>
      <c r="E19" s="5">
        <v>2</v>
      </c>
      <c r="F19" s="5">
        <v>2594</v>
      </c>
      <c r="G19" s="6">
        <v>97600</v>
      </c>
      <c r="H19" s="6">
        <v>20496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118096</v>
      </c>
      <c r="Q19" s="5" t="s">
        <v>106</v>
      </c>
    </row>
    <row r="20" spans="1:17" x14ac:dyDescent="0.2">
      <c r="A20" s="4" t="s">
        <v>101</v>
      </c>
      <c r="B20" s="5" t="s">
        <v>104</v>
      </c>
      <c r="C20" s="5" t="s">
        <v>105</v>
      </c>
      <c r="D20" s="5" t="s">
        <v>20</v>
      </c>
      <c r="E20" s="5">
        <v>2</v>
      </c>
      <c r="F20" s="5">
        <v>2596</v>
      </c>
      <c r="G20" s="6">
        <v>315250</v>
      </c>
      <c r="H20" s="6">
        <v>66202.5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381452</v>
      </c>
      <c r="Q20" s="5" t="s">
        <v>106</v>
      </c>
    </row>
    <row r="21" spans="1:17" x14ac:dyDescent="0.2">
      <c r="A21" s="4" t="s">
        <v>127</v>
      </c>
      <c r="B21" s="5" t="s">
        <v>130</v>
      </c>
      <c r="C21" s="5" t="s">
        <v>131</v>
      </c>
      <c r="D21" s="5" t="s">
        <v>20</v>
      </c>
      <c r="E21" s="5">
        <v>1</v>
      </c>
      <c r="F21" s="5">
        <v>3229</v>
      </c>
      <c r="G21" s="6">
        <v>39570.3603515625</v>
      </c>
      <c r="H21" s="6">
        <v>8309.7802734375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47880.1</v>
      </c>
      <c r="Q21" s="5" t="s">
        <v>65</v>
      </c>
    </row>
    <row r="22" spans="1:17" x14ac:dyDescent="0.2">
      <c r="A22" s="4" t="s">
        <v>101</v>
      </c>
      <c r="B22" s="5" t="s">
        <v>141</v>
      </c>
      <c r="C22" s="5" t="s">
        <v>142</v>
      </c>
      <c r="D22" s="5" t="s">
        <v>20</v>
      </c>
      <c r="E22" s="5">
        <v>12</v>
      </c>
      <c r="F22" s="5">
        <v>3437</v>
      </c>
      <c r="G22" s="6">
        <v>25335.740234375</v>
      </c>
      <c r="H22" s="6">
        <v>2660.25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27996</v>
      </c>
      <c r="Q22" s="5" t="s">
        <v>65</v>
      </c>
    </row>
    <row r="23" spans="1:17" x14ac:dyDescent="0.2">
      <c r="A23" s="4" t="s">
        <v>95</v>
      </c>
      <c r="B23" s="5" t="s">
        <v>49</v>
      </c>
      <c r="C23" s="5" t="s">
        <v>50</v>
      </c>
      <c r="D23" s="5" t="s">
        <v>20</v>
      </c>
      <c r="E23" s="5">
        <v>2</v>
      </c>
      <c r="F23" s="5">
        <v>4261</v>
      </c>
      <c r="G23" s="6">
        <v>4598647.125</v>
      </c>
      <c r="H23" s="6">
        <v>965715.875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5564360</v>
      </c>
      <c r="Q23" s="5" t="s">
        <v>51</v>
      </c>
    </row>
    <row r="24" spans="1:17" x14ac:dyDescent="0.2">
      <c r="A24" s="7">
        <v>46268</v>
      </c>
      <c r="B24" s="5" t="s">
        <v>49</v>
      </c>
      <c r="C24" s="5" t="s">
        <v>50</v>
      </c>
      <c r="D24" s="5" t="s">
        <v>20</v>
      </c>
      <c r="E24" s="5">
        <v>2</v>
      </c>
      <c r="F24" s="5">
        <v>4263</v>
      </c>
      <c r="G24" s="6">
        <v>1482202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1482200</v>
      </c>
      <c r="Q24" s="5" t="s">
        <v>51</v>
      </c>
    </row>
    <row r="25" spans="1:17" x14ac:dyDescent="0.2">
      <c r="A25" s="7">
        <v>46268</v>
      </c>
      <c r="B25" s="5" t="s">
        <v>49</v>
      </c>
      <c r="C25" s="5" t="s">
        <v>50</v>
      </c>
      <c r="D25" s="5" t="s">
        <v>20</v>
      </c>
      <c r="E25" s="5">
        <v>2</v>
      </c>
      <c r="F25" s="5">
        <v>4264</v>
      </c>
      <c r="G25" s="6">
        <v>7349675</v>
      </c>
      <c r="H25" s="6">
        <v>1543431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8893110</v>
      </c>
      <c r="Q25" s="5" t="s">
        <v>51</v>
      </c>
    </row>
    <row r="26" spans="1:17" x14ac:dyDescent="0.2">
      <c r="A26" s="7">
        <v>46268</v>
      </c>
      <c r="B26" s="5" t="s">
        <v>49</v>
      </c>
      <c r="C26" s="5" t="s">
        <v>50</v>
      </c>
      <c r="D26" s="5" t="s">
        <v>20</v>
      </c>
      <c r="E26" s="5">
        <v>2</v>
      </c>
      <c r="F26" s="5">
        <v>4268</v>
      </c>
      <c r="G26" s="6">
        <v>671098.03125</v>
      </c>
      <c r="H26" s="6">
        <v>140930.59375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812029</v>
      </c>
      <c r="Q26" s="5" t="s">
        <v>51</v>
      </c>
    </row>
    <row r="27" spans="1:17" hidden="1" x14ac:dyDescent="0.2">
      <c r="A27" s="7">
        <v>46329</v>
      </c>
      <c r="B27" s="5" t="s">
        <v>56</v>
      </c>
      <c r="C27" s="5" t="s">
        <v>57</v>
      </c>
      <c r="D27" s="5" t="s">
        <v>58</v>
      </c>
      <c r="E27" s="5">
        <v>4</v>
      </c>
      <c r="F27" s="5">
        <v>132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400000</v>
      </c>
      <c r="P27" s="6">
        <v>400000</v>
      </c>
      <c r="Q27" s="5" t="s">
        <v>59</v>
      </c>
    </row>
    <row r="28" spans="1:17" hidden="1" x14ac:dyDescent="0.2">
      <c r="A28" s="7">
        <v>46359</v>
      </c>
      <c r="B28" s="5" t="s">
        <v>60</v>
      </c>
      <c r="C28" s="5" t="s">
        <v>61</v>
      </c>
      <c r="D28" s="5" t="s">
        <v>58</v>
      </c>
      <c r="E28" s="5">
        <v>10</v>
      </c>
      <c r="F28" s="5">
        <v>338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350000</v>
      </c>
      <c r="P28" s="6">
        <v>350000</v>
      </c>
      <c r="Q28" s="5" t="s">
        <v>62</v>
      </c>
    </row>
    <row r="29" spans="1:17" x14ac:dyDescent="0.2">
      <c r="A29" s="7">
        <v>46268</v>
      </c>
      <c r="B29" s="5" t="s">
        <v>49</v>
      </c>
      <c r="C29" s="5" t="s">
        <v>50</v>
      </c>
      <c r="D29" s="5" t="s">
        <v>20</v>
      </c>
      <c r="E29" s="5">
        <v>2</v>
      </c>
      <c r="F29" s="5">
        <v>4269</v>
      </c>
      <c r="G29" s="6">
        <v>2065281</v>
      </c>
      <c r="H29" s="6">
        <v>433709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2498990</v>
      </c>
      <c r="Q29" s="5" t="s">
        <v>51</v>
      </c>
    </row>
    <row r="30" spans="1:17" x14ac:dyDescent="0.2">
      <c r="A30" s="7">
        <v>46268</v>
      </c>
      <c r="B30" s="5" t="s">
        <v>49</v>
      </c>
      <c r="C30" s="5" t="s">
        <v>50</v>
      </c>
      <c r="D30" s="5" t="s">
        <v>20</v>
      </c>
      <c r="E30" s="5">
        <v>2</v>
      </c>
      <c r="F30" s="5">
        <v>4270</v>
      </c>
      <c r="G30" s="6">
        <v>680851</v>
      </c>
      <c r="H30" s="6">
        <v>142979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823830</v>
      </c>
      <c r="Q30" s="5" t="s">
        <v>51</v>
      </c>
    </row>
    <row r="31" spans="1:17" x14ac:dyDescent="0.2">
      <c r="A31" s="4" t="s">
        <v>71</v>
      </c>
      <c r="B31" s="5" t="s">
        <v>49</v>
      </c>
      <c r="C31" s="5" t="s">
        <v>50</v>
      </c>
      <c r="D31" s="5" t="s">
        <v>20</v>
      </c>
      <c r="E31" s="5">
        <v>2</v>
      </c>
      <c r="F31" s="5">
        <v>4272</v>
      </c>
      <c r="G31" s="6">
        <v>5345042</v>
      </c>
      <c r="H31" s="6">
        <v>1122458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6467500</v>
      </c>
      <c r="Q31" s="5" t="s">
        <v>51</v>
      </c>
    </row>
    <row r="32" spans="1:17" x14ac:dyDescent="0.2">
      <c r="A32" s="4" t="s">
        <v>83</v>
      </c>
      <c r="B32" s="5" t="s">
        <v>49</v>
      </c>
      <c r="C32" s="5" t="s">
        <v>50</v>
      </c>
      <c r="D32" s="5" t="s">
        <v>20</v>
      </c>
      <c r="E32" s="5">
        <v>2</v>
      </c>
      <c r="F32" s="5">
        <v>4276</v>
      </c>
      <c r="G32" s="6">
        <v>190670.00390625</v>
      </c>
      <c r="H32" s="6">
        <v>40040.69921875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230711</v>
      </c>
      <c r="Q32" s="5" t="s">
        <v>51</v>
      </c>
    </row>
    <row r="33" spans="1:17" x14ac:dyDescent="0.2">
      <c r="A33" s="7">
        <v>46176</v>
      </c>
      <c r="B33" s="5" t="s">
        <v>32</v>
      </c>
      <c r="C33" s="5" t="s">
        <v>33</v>
      </c>
      <c r="D33" s="5" t="s">
        <v>20</v>
      </c>
      <c r="E33" s="5">
        <v>6</v>
      </c>
      <c r="F33" s="5">
        <v>11230</v>
      </c>
      <c r="G33" s="6">
        <v>2972200</v>
      </c>
      <c r="H33" s="6">
        <v>624162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3596360</v>
      </c>
      <c r="Q33" s="5" t="s">
        <v>34</v>
      </c>
    </row>
    <row r="34" spans="1:17" x14ac:dyDescent="0.2">
      <c r="A34" s="7">
        <v>46359</v>
      </c>
      <c r="B34" s="5" t="s">
        <v>132</v>
      </c>
      <c r="C34" s="5" t="s">
        <v>133</v>
      </c>
      <c r="D34" s="5" t="s">
        <v>20</v>
      </c>
      <c r="E34" s="5">
        <v>2</v>
      </c>
      <c r="F34" s="5">
        <v>14141</v>
      </c>
      <c r="G34" s="6">
        <v>59423.103515625</v>
      </c>
      <c r="H34" s="6">
        <v>6239.419921875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65662.5</v>
      </c>
      <c r="Q34" s="5" t="s">
        <v>69</v>
      </c>
    </row>
    <row r="35" spans="1:17" x14ac:dyDescent="0.2">
      <c r="A35" s="4" t="s">
        <v>114</v>
      </c>
      <c r="B35" s="5" t="s">
        <v>117</v>
      </c>
      <c r="C35" s="5" t="s">
        <v>118</v>
      </c>
      <c r="D35" s="5" t="s">
        <v>20</v>
      </c>
      <c r="E35" s="5">
        <v>5</v>
      </c>
      <c r="F35" s="5">
        <v>15788</v>
      </c>
      <c r="G35" s="6">
        <v>870000</v>
      </c>
      <c r="H35" s="6">
        <v>182700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1052700</v>
      </c>
      <c r="Q35" s="5" t="s">
        <v>28</v>
      </c>
    </row>
    <row r="36" spans="1:17" x14ac:dyDescent="0.2">
      <c r="A36" s="4" t="s">
        <v>127</v>
      </c>
      <c r="B36" s="5" t="s">
        <v>117</v>
      </c>
      <c r="C36" s="5" t="s">
        <v>118</v>
      </c>
      <c r="D36" s="5" t="s">
        <v>20</v>
      </c>
      <c r="E36" s="5">
        <v>5</v>
      </c>
      <c r="F36" s="5">
        <v>15810</v>
      </c>
      <c r="G36" s="6">
        <v>108000</v>
      </c>
      <c r="H36" s="6">
        <v>22680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130680</v>
      </c>
      <c r="Q36" s="5" t="s">
        <v>28</v>
      </c>
    </row>
    <row r="37" spans="1:17" x14ac:dyDescent="0.2">
      <c r="A37" s="7">
        <v>46298</v>
      </c>
      <c r="B37" s="5" t="s">
        <v>139</v>
      </c>
      <c r="C37" s="5" t="s">
        <v>140</v>
      </c>
      <c r="D37" s="5" t="s">
        <v>20</v>
      </c>
      <c r="E37" s="5">
        <v>2002</v>
      </c>
      <c r="F37" s="5">
        <v>18217</v>
      </c>
      <c r="G37" s="6">
        <v>69585.201171875</v>
      </c>
      <c r="H37" s="6">
        <v>14612.900390625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84198.1</v>
      </c>
      <c r="Q37" s="5" t="s">
        <v>65</v>
      </c>
    </row>
    <row r="38" spans="1:17" x14ac:dyDescent="0.2">
      <c r="A38" s="4" t="s">
        <v>101</v>
      </c>
      <c r="B38" s="5" t="s">
        <v>102</v>
      </c>
      <c r="C38" s="5" t="s">
        <v>103</v>
      </c>
      <c r="D38" s="5" t="s">
        <v>20</v>
      </c>
      <c r="E38" s="5">
        <v>10</v>
      </c>
      <c r="F38" s="5">
        <v>18350</v>
      </c>
      <c r="G38" s="6">
        <v>580000</v>
      </c>
      <c r="H38" s="6">
        <v>121800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701800</v>
      </c>
      <c r="Q38" s="5" t="s">
        <v>31</v>
      </c>
    </row>
    <row r="39" spans="1:17" x14ac:dyDescent="0.2">
      <c r="A39" s="4" t="s">
        <v>71</v>
      </c>
      <c r="B39" s="5" t="s">
        <v>72</v>
      </c>
      <c r="C39" s="5" t="s">
        <v>73</v>
      </c>
      <c r="D39" s="5" t="s">
        <v>20</v>
      </c>
      <c r="E39" s="5">
        <v>5</v>
      </c>
      <c r="F39" s="5">
        <v>25928</v>
      </c>
      <c r="G39" s="6">
        <v>652696.07421875</v>
      </c>
      <c r="H39" s="6">
        <v>137066</v>
      </c>
      <c r="I39" s="6">
        <v>0</v>
      </c>
      <c r="J39" s="6">
        <v>0</v>
      </c>
      <c r="K39" s="6">
        <v>19580.900390625</v>
      </c>
      <c r="L39" s="6">
        <v>19580.900390625</v>
      </c>
      <c r="M39" s="6">
        <v>0</v>
      </c>
      <c r="N39" s="6">
        <v>0</v>
      </c>
      <c r="O39" s="6">
        <v>0</v>
      </c>
      <c r="P39" s="6">
        <v>828924</v>
      </c>
      <c r="Q39" s="5" t="s">
        <v>28</v>
      </c>
    </row>
    <row r="40" spans="1:17" x14ac:dyDescent="0.2">
      <c r="A40" s="4" t="s">
        <v>127</v>
      </c>
      <c r="B40" s="5" t="s">
        <v>72</v>
      </c>
      <c r="C40" s="5" t="s">
        <v>73</v>
      </c>
      <c r="D40" s="5" t="s">
        <v>20</v>
      </c>
      <c r="E40" s="5">
        <v>5</v>
      </c>
      <c r="F40" s="5">
        <v>25947</v>
      </c>
      <c r="G40" s="6">
        <v>93766.991943359404</v>
      </c>
      <c r="H40" s="6">
        <v>19691.099609375</v>
      </c>
      <c r="I40" s="6">
        <v>0</v>
      </c>
      <c r="J40" s="6">
        <v>0</v>
      </c>
      <c r="K40" s="6">
        <v>0</v>
      </c>
      <c r="L40" s="6">
        <v>2813.01000976563</v>
      </c>
      <c r="M40" s="6">
        <v>0</v>
      </c>
      <c r="N40" s="6">
        <v>0</v>
      </c>
      <c r="O40" s="6">
        <v>0</v>
      </c>
      <c r="P40" s="6">
        <v>116271</v>
      </c>
      <c r="Q40" s="5" t="s">
        <v>28</v>
      </c>
    </row>
    <row r="41" spans="1:17" x14ac:dyDescent="0.2">
      <c r="A41" s="4" t="s">
        <v>101</v>
      </c>
      <c r="B41" s="5" t="s">
        <v>111</v>
      </c>
      <c r="C41" s="5" t="s">
        <v>112</v>
      </c>
      <c r="D41" s="5" t="s">
        <v>20</v>
      </c>
      <c r="E41" s="5">
        <v>14</v>
      </c>
      <c r="F41" s="5">
        <v>28590</v>
      </c>
      <c r="G41" s="6">
        <v>100065.48315429701</v>
      </c>
      <c r="H41" s="6">
        <v>21013.75</v>
      </c>
      <c r="I41" s="6">
        <v>0</v>
      </c>
      <c r="J41" s="6">
        <v>0</v>
      </c>
      <c r="K41" s="6">
        <v>3001.96997070313</v>
      </c>
      <c r="L41" s="6">
        <v>0</v>
      </c>
      <c r="M41" s="6">
        <v>0</v>
      </c>
      <c r="N41" s="6">
        <v>0</v>
      </c>
      <c r="O41" s="6">
        <v>0</v>
      </c>
      <c r="P41" s="6">
        <v>124081</v>
      </c>
      <c r="Q41" s="5" t="s">
        <v>113</v>
      </c>
    </row>
    <row r="42" spans="1:17" x14ac:dyDescent="0.2">
      <c r="A42" s="4" t="s">
        <v>127</v>
      </c>
      <c r="B42" s="5" t="s">
        <v>128</v>
      </c>
      <c r="C42" s="5" t="s">
        <v>129</v>
      </c>
      <c r="D42" s="5" t="s">
        <v>20</v>
      </c>
      <c r="E42" s="5">
        <v>5</v>
      </c>
      <c r="F42" s="5">
        <v>49105</v>
      </c>
      <c r="G42" s="6">
        <v>221692.18603515599</v>
      </c>
      <c r="H42" s="6">
        <v>7759.22021484375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229451</v>
      </c>
      <c r="Q42" s="5" t="s">
        <v>126</v>
      </c>
    </row>
    <row r="43" spans="1:17" x14ac:dyDescent="0.2">
      <c r="A43" s="7">
        <v>46359</v>
      </c>
      <c r="B43" s="5" t="s">
        <v>63</v>
      </c>
      <c r="C43" s="5" t="s">
        <v>64</v>
      </c>
      <c r="D43" s="5" t="s">
        <v>20</v>
      </c>
      <c r="E43" s="5">
        <v>4</v>
      </c>
      <c r="F43" s="5">
        <v>52669</v>
      </c>
      <c r="G43" s="6">
        <v>1403533.09375</v>
      </c>
      <c r="H43" s="6">
        <v>294741.90625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1698280</v>
      </c>
      <c r="Q43" s="5" t="s">
        <v>65</v>
      </c>
    </row>
    <row r="44" spans="1:17" x14ac:dyDescent="0.2">
      <c r="A44" s="7">
        <v>46359</v>
      </c>
      <c r="B44" s="5" t="s">
        <v>63</v>
      </c>
      <c r="C44" s="5" t="s">
        <v>64</v>
      </c>
      <c r="D44" s="5" t="s">
        <v>20</v>
      </c>
      <c r="E44" s="5">
        <v>4</v>
      </c>
      <c r="F44" s="5">
        <v>52676</v>
      </c>
      <c r="G44" s="6">
        <v>2522866.875</v>
      </c>
      <c r="H44" s="6">
        <v>529802.125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3052670</v>
      </c>
      <c r="Q44" s="5" t="s">
        <v>69</v>
      </c>
    </row>
    <row r="45" spans="1:17" x14ac:dyDescent="0.2">
      <c r="A45" s="4" t="s">
        <v>83</v>
      </c>
      <c r="B45" s="5" t="s">
        <v>63</v>
      </c>
      <c r="C45" s="5" t="s">
        <v>64</v>
      </c>
      <c r="D45" s="5" t="s">
        <v>20</v>
      </c>
      <c r="E45" s="5">
        <v>4</v>
      </c>
      <c r="F45" s="5">
        <v>52738</v>
      </c>
      <c r="G45" s="6">
        <v>360332.1640625</v>
      </c>
      <c r="H45" s="6">
        <v>75669.4296875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436002</v>
      </c>
      <c r="Q45" s="5" t="s">
        <v>69</v>
      </c>
    </row>
    <row r="46" spans="1:17" x14ac:dyDescent="0.2">
      <c r="A46" s="4" t="s">
        <v>98</v>
      </c>
      <c r="B46" s="5" t="s">
        <v>63</v>
      </c>
      <c r="C46" s="5" t="s">
        <v>64</v>
      </c>
      <c r="D46" s="5" t="s">
        <v>20</v>
      </c>
      <c r="E46" s="5">
        <v>1</v>
      </c>
      <c r="F46" s="5">
        <v>52815</v>
      </c>
      <c r="G46" s="6">
        <v>225000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225000</v>
      </c>
      <c r="Q46" s="5" t="s">
        <v>69</v>
      </c>
    </row>
    <row r="47" spans="1:17" x14ac:dyDescent="0.2">
      <c r="A47" s="7">
        <v>46359</v>
      </c>
      <c r="B47" s="5" t="s">
        <v>135</v>
      </c>
      <c r="C47" s="5" t="s">
        <v>136</v>
      </c>
      <c r="D47" s="5" t="s">
        <v>20</v>
      </c>
      <c r="E47" s="5">
        <v>2</v>
      </c>
      <c r="F47" s="5">
        <v>57238</v>
      </c>
      <c r="G47" s="6">
        <v>30462.798339843801</v>
      </c>
      <c r="H47" s="6">
        <v>6397.18994140625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36860</v>
      </c>
      <c r="Q47" s="5" t="s">
        <v>126</v>
      </c>
    </row>
    <row r="48" spans="1:17" x14ac:dyDescent="0.2">
      <c r="A48" s="7">
        <v>46329</v>
      </c>
      <c r="B48" s="5" t="s">
        <v>137</v>
      </c>
      <c r="C48" s="5" t="s">
        <v>138</v>
      </c>
      <c r="D48" s="5" t="s">
        <v>20</v>
      </c>
      <c r="E48" s="5">
        <v>2</v>
      </c>
      <c r="F48" s="5">
        <v>60101</v>
      </c>
      <c r="G48" s="6">
        <v>6595.0400390625</v>
      </c>
      <c r="H48" s="6">
        <v>1384.9599609375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7980</v>
      </c>
      <c r="Q48" s="5" t="s">
        <v>126</v>
      </c>
    </row>
    <row r="49" spans="1:17" x14ac:dyDescent="0.2">
      <c r="A49" s="7">
        <v>46056</v>
      </c>
      <c r="B49" s="5" t="s">
        <v>18</v>
      </c>
      <c r="C49" s="5" t="s">
        <v>19</v>
      </c>
      <c r="D49" s="5" t="s">
        <v>20</v>
      </c>
      <c r="E49" s="5">
        <v>12</v>
      </c>
      <c r="F49" s="5">
        <v>83026</v>
      </c>
      <c r="G49" s="6">
        <v>274540</v>
      </c>
      <c r="H49" s="6">
        <v>57653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23954</v>
      </c>
      <c r="P49" s="6">
        <v>356147</v>
      </c>
      <c r="Q49" s="5" t="s">
        <v>21</v>
      </c>
    </row>
    <row r="50" spans="1:17" x14ac:dyDescent="0.2">
      <c r="A50" s="4" t="s">
        <v>71</v>
      </c>
      <c r="B50" s="5" t="s">
        <v>18</v>
      </c>
      <c r="C50" s="5" t="s">
        <v>19</v>
      </c>
      <c r="D50" s="5" t="s">
        <v>20</v>
      </c>
      <c r="E50" s="5">
        <v>12</v>
      </c>
      <c r="F50" s="5">
        <v>83363</v>
      </c>
      <c r="G50" s="6">
        <v>305522.4140625</v>
      </c>
      <c r="H50" s="6">
        <v>64159.69921875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33610.19921875</v>
      </c>
      <c r="P50" s="6">
        <v>403292</v>
      </c>
      <c r="Q50" s="5" t="s">
        <v>21</v>
      </c>
    </row>
    <row r="51" spans="1:17" hidden="1" x14ac:dyDescent="0.2">
      <c r="A51" s="4" t="s">
        <v>83</v>
      </c>
      <c r="B51" s="5" t="s">
        <v>35</v>
      </c>
      <c r="C51" s="5" t="s">
        <v>36</v>
      </c>
      <c r="D51" s="5" t="s">
        <v>87</v>
      </c>
      <c r="E51" s="5">
        <v>3</v>
      </c>
      <c r="F51" s="5">
        <v>4165030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14314.75</v>
      </c>
      <c r="P51" s="6">
        <v>14314.8</v>
      </c>
      <c r="Q51" s="5" t="s">
        <v>37</v>
      </c>
    </row>
    <row r="52" spans="1:17" x14ac:dyDescent="0.2">
      <c r="A52" s="4" t="s">
        <v>71</v>
      </c>
      <c r="B52" s="5" t="s">
        <v>18</v>
      </c>
      <c r="C52" s="5" t="s">
        <v>19</v>
      </c>
      <c r="D52" s="5" t="s">
        <v>20</v>
      </c>
      <c r="E52" s="5">
        <v>12</v>
      </c>
      <c r="F52" s="5">
        <v>83711</v>
      </c>
      <c r="G52" s="6">
        <v>319903.703125</v>
      </c>
      <c r="H52" s="6">
        <v>67179.703125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33745.5</v>
      </c>
      <c r="P52" s="6">
        <v>420829</v>
      </c>
      <c r="Q52" s="5" t="s">
        <v>21</v>
      </c>
    </row>
    <row r="53" spans="1:17" x14ac:dyDescent="0.2">
      <c r="A53" s="4" t="s">
        <v>95</v>
      </c>
      <c r="B53" s="5" t="s">
        <v>18</v>
      </c>
      <c r="C53" s="5" t="s">
        <v>19</v>
      </c>
      <c r="D53" s="5" t="s">
        <v>20</v>
      </c>
      <c r="E53" s="5">
        <v>12</v>
      </c>
      <c r="F53" s="5">
        <v>84087</v>
      </c>
      <c r="G53" s="6">
        <v>261730.58984375</v>
      </c>
      <c r="H53" s="6">
        <v>54963.41015625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54818.5</v>
      </c>
      <c r="P53" s="6">
        <v>371512</v>
      </c>
      <c r="Q53" s="5" t="s">
        <v>21</v>
      </c>
    </row>
    <row r="54" spans="1:17" x14ac:dyDescent="0.2">
      <c r="A54" s="4" t="s">
        <v>127</v>
      </c>
      <c r="B54" s="5" t="s">
        <v>18</v>
      </c>
      <c r="C54" s="5" t="s">
        <v>19</v>
      </c>
      <c r="D54" s="5" t="s">
        <v>20</v>
      </c>
      <c r="E54" s="5">
        <v>12</v>
      </c>
      <c r="F54" s="5">
        <v>84364</v>
      </c>
      <c r="G54" s="6">
        <v>242772.40625</v>
      </c>
      <c r="H54" s="6">
        <v>50982.19921875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54240.30078125</v>
      </c>
      <c r="P54" s="6">
        <v>347995</v>
      </c>
      <c r="Q54" s="5" t="s">
        <v>21</v>
      </c>
    </row>
    <row r="55" spans="1:17" x14ac:dyDescent="0.2">
      <c r="A55" s="7">
        <v>46329</v>
      </c>
      <c r="B55" s="5" t="s">
        <v>134</v>
      </c>
      <c r="C55" s="5"/>
      <c r="D55" s="5" t="s">
        <v>20</v>
      </c>
      <c r="E55" s="5">
        <v>10</v>
      </c>
      <c r="F55" s="5">
        <v>146073</v>
      </c>
      <c r="G55" s="6">
        <v>121734.99609375</v>
      </c>
      <c r="H55" s="6">
        <v>25564.30078125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147299</v>
      </c>
      <c r="Q55" s="5" t="s">
        <v>65</v>
      </c>
    </row>
    <row r="56" spans="1:17" x14ac:dyDescent="0.2">
      <c r="A56" s="4" t="s">
        <v>83</v>
      </c>
      <c r="B56" s="5" t="s">
        <v>84</v>
      </c>
      <c r="C56" s="5" t="s">
        <v>85</v>
      </c>
      <c r="D56" s="5" t="s">
        <v>20</v>
      </c>
      <c r="E56" s="5">
        <v>3</v>
      </c>
      <c r="F56" s="5">
        <v>166249</v>
      </c>
      <c r="G56" s="6">
        <v>3387811</v>
      </c>
      <c r="H56" s="6">
        <v>711440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4099250</v>
      </c>
      <c r="Q56" s="5" t="s">
        <v>68</v>
      </c>
    </row>
    <row r="57" spans="1:17" x14ac:dyDescent="0.2">
      <c r="A57" s="4" t="s">
        <v>95</v>
      </c>
      <c r="B57" s="5" t="s">
        <v>96</v>
      </c>
      <c r="C57" s="5">
        <v>30695068286</v>
      </c>
      <c r="D57" s="5" t="s">
        <v>20</v>
      </c>
      <c r="E57" s="5">
        <v>6</v>
      </c>
      <c r="F57" s="5">
        <v>168216</v>
      </c>
      <c r="G57" s="6">
        <v>86022.30078125</v>
      </c>
      <c r="H57" s="6">
        <v>18064.69921875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104087</v>
      </c>
      <c r="Q57" s="5" t="s">
        <v>97</v>
      </c>
    </row>
    <row r="58" spans="1:17" x14ac:dyDescent="0.2">
      <c r="A58" s="4" t="s">
        <v>83</v>
      </c>
      <c r="B58" s="5" t="s">
        <v>76</v>
      </c>
      <c r="C58" s="5" t="s">
        <v>77</v>
      </c>
      <c r="D58" s="5" t="s">
        <v>20</v>
      </c>
      <c r="E58" s="5">
        <v>3</v>
      </c>
      <c r="F58" s="5">
        <v>232789</v>
      </c>
      <c r="G58" s="6">
        <v>101044.116699219</v>
      </c>
      <c r="H58" s="6">
        <v>0</v>
      </c>
      <c r="I58" s="6">
        <v>0</v>
      </c>
      <c r="J58" s="6">
        <v>26802.16015625</v>
      </c>
      <c r="K58" s="6">
        <v>2978.02001953125</v>
      </c>
      <c r="L58" s="6">
        <v>0</v>
      </c>
      <c r="M58" s="6">
        <v>0</v>
      </c>
      <c r="N58" s="6">
        <v>0</v>
      </c>
      <c r="O58" s="6">
        <v>0</v>
      </c>
      <c r="P58" s="6">
        <v>130824</v>
      </c>
      <c r="Q58" s="5" t="s">
        <v>78</v>
      </c>
    </row>
    <row r="59" spans="1:17" x14ac:dyDescent="0.2">
      <c r="A59" s="4" t="s">
        <v>101</v>
      </c>
      <c r="B59" s="5" t="s">
        <v>109</v>
      </c>
      <c r="C59" s="5" t="s">
        <v>110</v>
      </c>
      <c r="D59" s="5" t="s">
        <v>20</v>
      </c>
      <c r="E59" s="5">
        <v>1</v>
      </c>
      <c r="F59" s="5">
        <v>260326</v>
      </c>
      <c r="G59" s="6">
        <v>325000</v>
      </c>
      <c r="H59" s="6">
        <v>68250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393250</v>
      </c>
      <c r="Q59" s="5" t="s">
        <v>31</v>
      </c>
    </row>
    <row r="60" spans="1:17" x14ac:dyDescent="0.2">
      <c r="A60" s="4" t="s">
        <v>114</v>
      </c>
      <c r="B60" s="5" t="s">
        <v>119</v>
      </c>
      <c r="C60" s="5" t="s">
        <v>120</v>
      </c>
      <c r="D60" s="5" t="s">
        <v>20</v>
      </c>
      <c r="E60" s="5">
        <v>1</v>
      </c>
      <c r="F60" s="5">
        <v>270326</v>
      </c>
      <c r="G60" s="6">
        <v>1960000</v>
      </c>
      <c r="H60" s="6">
        <v>411600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2371600</v>
      </c>
      <c r="Q60" s="5" t="s">
        <v>34</v>
      </c>
    </row>
    <row r="61" spans="1:17" x14ac:dyDescent="0.2">
      <c r="A61" s="4" t="s">
        <v>83</v>
      </c>
      <c r="B61" s="5" t="s">
        <v>47</v>
      </c>
      <c r="C61" s="5" t="s">
        <v>48</v>
      </c>
      <c r="D61" s="5" t="s">
        <v>20</v>
      </c>
      <c r="E61" s="5">
        <v>3101</v>
      </c>
      <c r="F61" s="5">
        <v>466330</v>
      </c>
      <c r="G61" s="6">
        <v>34971.997314453103</v>
      </c>
      <c r="H61" s="6">
        <v>0</v>
      </c>
      <c r="I61" s="6">
        <v>0</v>
      </c>
      <c r="J61" s="6">
        <v>9442.4404296875</v>
      </c>
      <c r="K61" s="6">
        <v>1049.16003417969</v>
      </c>
      <c r="L61" s="6">
        <v>1049.16003417969</v>
      </c>
      <c r="M61" s="6">
        <v>0</v>
      </c>
      <c r="N61" s="6">
        <v>0</v>
      </c>
      <c r="O61" s="6">
        <v>45513.9296875</v>
      </c>
      <c r="P61" s="6">
        <v>92026.7</v>
      </c>
      <c r="Q61" s="5" t="s">
        <v>24</v>
      </c>
    </row>
    <row r="62" spans="1:17" x14ac:dyDescent="0.2">
      <c r="A62" s="4" t="s">
        <v>83</v>
      </c>
      <c r="B62" s="5" t="s">
        <v>76</v>
      </c>
      <c r="C62" s="5" t="s">
        <v>77</v>
      </c>
      <c r="D62" s="5" t="s">
        <v>20</v>
      </c>
      <c r="E62" s="5">
        <v>3</v>
      </c>
      <c r="F62" s="5">
        <v>483508</v>
      </c>
      <c r="G62" s="6">
        <v>67142.261047363296</v>
      </c>
      <c r="H62" s="6">
        <v>10231.0498046875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-17550.830383300799</v>
      </c>
      <c r="P62" s="6">
        <v>59822.5</v>
      </c>
      <c r="Q62" s="5" t="s">
        <v>78</v>
      </c>
    </row>
    <row r="63" spans="1:17" x14ac:dyDescent="0.2">
      <c r="A63" s="4" t="s">
        <v>70</v>
      </c>
      <c r="B63" s="5" t="s">
        <v>47</v>
      </c>
      <c r="C63" s="5" t="s">
        <v>48</v>
      </c>
      <c r="D63" s="5" t="s">
        <v>20</v>
      </c>
      <c r="E63" s="5">
        <v>3099</v>
      </c>
      <c r="F63" s="5">
        <v>705524</v>
      </c>
      <c r="G63" s="6">
        <v>98463.982421875</v>
      </c>
      <c r="H63" s="6">
        <v>0</v>
      </c>
      <c r="I63" s="6">
        <v>0</v>
      </c>
      <c r="J63" s="6">
        <v>26585.279296875</v>
      </c>
      <c r="K63" s="6">
        <v>2953.919921875</v>
      </c>
      <c r="L63" s="6">
        <v>2953.919921875</v>
      </c>
      <c r="M63" s="6">
        <v>0</v>
      </c>
      <c r="N63" s="6">
        <v>0</v>
      </c>
      <c r="O63" s="6">
        <v>0</v>
      </c>
      <c r="P63" s="6">
        <v>130957</v>
      </c>
      <c r="Q63" s="5" t="s">
        <v>24</v>
      </c>
    </row>
    <row r="64" spans="1:17" x14ac:dyDescent="0.2">
      <c r="A64" s="7">
        <v>46176</v>
      </c>
      <c r="B64" s="5" t="s">
        <v>35</v>
      </c>
      <c r="C64" s="5" t="s">
        <v>36</v>
      </c>
      <c r="D64" s="5" t="s">
        <v>20</v>
      </c>
      <c r="E64" s="5">
        <v>3</v>
      </c>
      <c r="F64" s="5">
        <v>1095498</v>
      </c>
      <c r="G64" s="6">
        <v>83390.5078125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83390.5</v>
      </c>
      <c r="Q64" s="5" t="s">
        <v>37</v>
      </c>
    </row>
    <row r="65" spans="1:17" x14ac:dyDescent="0.2">
      <c r="A65" s="4" t="s">
        <v>114</v>
      </c>
      <c r="B65" s="5" t="s">
        <v>143</v>
      </c>
      <c r="C65" s="5" t="s">
        <v>144</v>
      </c>
      <c r="D65" s="5" t="s">
        <v>20</v>
      </c>
      <c r="E65" s="5">
        <v>4</v>
      </c>
      <c r="F65" s="5">
        <v>1805751</v>
      </c>
      <c r="G65" s="6">
        <v>20010.600006103501</v>
      </c>
      <c r="H65" s="6">
        <v>4202.240234375</v>
      </c>
      <c r="I65" s="6">
        <v>0</v>
      </c>
      <c r="J65" s="6">
        <v>0</v>
      </c>
      <c r="K65" s="6">
        <v>0</v>
      </c>
      <c r="L65" s="6">
        <v>600.29998779296898</v>
      </c>
      <c r="M65" s="6">
        <v>0</v>
      </c>
      <c r="N65" s="6">
        <v>200.10000610351599</v>
      </c>
      <c r="O65" s="6">
        <v>0</v>
      </c>
      <c r="P65" s="6">
        <v>25013.200000000001</v>
      </c>
      <c r="Q65" s="5" t="s">
        <v>126</v>
      </c>
    </row>
    <row r="66" spans="1:17" x14ac:dyDescent="0.2">
      <c r="A66" s="4" t="s">
        <v>71</v>
      </c>
      <c r="B66" s="5" t="s">
        <v>76</v>
      </c>
      <c r="C66" s="5" t="s">
        <v>77</v>
      </c>
      <c r="D66" s="5" t="s">
        <v>20</v>
      </c>
      <c r="E66" s="5">
        <v>3</v>
      </c>
      <c r="F66" s="5">
        <v>1994315</v>
      </c>
      <c r="G66" s="6">
        <v>269373.39453125</v>
      </c>
      <c r="H66" s="6">
        <v>0</v>
      </c>
      <c r="I66" s="6">
        <v>0</v>
      </c>
      <c r="J66" s="6">
        <v>67525.0390625</v>
      </c>
      <c r="K66" s="6">
        <v>42878.3984375</v>
      </c>
      <c r="L66" s="6">
        <v>0</v>
      </c>
      <c r="M66" s="6">
        <v>0</v>
      </c>
      <c r="N66" s="6">
        <v>20007.419921875</v>
      </c>
      <c r="O66" s="6">
        <v>-14803.939453125</v>
      </c>
      <c r="P66" s="6">
        <v>384980</v>
      </c>
      <c r="Q66" s="5" t="s">
        <v>78</v>
      </c>
    </row>
    <row r="67" spans="1:17" x14ac:dyDescent="0.2">
      <c r="A67" s="4" t="s">
        <v>71</v>
      </c>
      <c r="B67" s="5" t="s">
        <v>76</v>
      </c>
      <c r="C67" s="5" t="s">
        <v>77</v>
      </c>
      <c r="D67" s="5" t="s">
        <v>20</v>
      </c>
      <c r="E67" s="5">
        <v>3</v>
      </c>
      <c r="F67" s="5">
        <v>2047127</v>
      </c>
      <c r="G67" s="6">
        <v>44842.55859375</v>
      </c>
      <c r="H67" s="6">
        <v>8690.240234375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590.830078125</v>
      </c>
      <c r="P67" s="6">
        <v>54123.6</v>
      </c>
      <c r="Q67" s="5" t="s">
        <v>78</v>
      </c>
    </row>
    <row r="68" spans="1:17" x14ac:dyDescent="0.2">
      <c r="A68" s="4" t="s">
        <v>71</v>
      </c>
      <c r="B68" s="5" t="s">
        <v>79</v>
      </c>
      <c r="C68" s="5" t="s">
        <v>80</v>
      </c>
      <c r="D68" s="5" t="s">
        <v>20</v>
      </c>
      <c r="E68" s="5">
        <v>3</v>
      </c>
      <c r="F68" s="5">
        <v>2526871</v>
      </c>
      <c r="G68" s="6">
        <v>26287.901855468801</v>
      </c>
      <c r="H68" s="6">
        <v>10705.1796875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1051.52001953125</v>
      </c>
      <c r="P68" s="6">
        <v>38044.6</v>
      </c>
      <c r="Q68" s="5" t="s">
        <v>40</v>
      </c>
    </row>
    <row r="69" spans="1:17" x14ac:dyDescent="0.2">
      <c r="A69" s="4" t="s">
        <v>83</v>
      </c>
      <c r="B69" s="5" t="s">
        <v>86</v>
      </c>
      <c r="C69" s="5"/>
      <c r="D69" s="5" t="s">
        <v>20</v>
      </c>
      <c r="E69" s="5">
        <v>5</v>
      </c>
      <c r="F69" s="5">
        <v>2828590</v>
      </c>
      <c r="G69" s="6">
        <v>72900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72900</v>
      </c>
      <c r="Q69" s="5" t="s">
        <v>37</v>
      </c>
    </row>
    <row r="70" spans="1:17" x14ac:dyDescent="0.2">
      <c r="A70" s="4" t="s">
        <v>98</v>
      </c>
      <c r="B70" s="5" t="s">
        <v>76</v>
      </c>
      <c r="C70" s="5" t="s">
        <v>77</v>
      </c>
      <c r="D70" s="5" t="s">
        <v>20</v>
      </c>
      <c r="E70" s="5">
        <v>3</v>
      </c>
      <c r="F70" s="5">
        <v>3263455</v>
      </c>
      <c r="G70" s="6">
        <v>31256.800292968801</v>
      </c>
      <c r="H70" s="6">
        <v>6563.93017578125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559.5</v>
      </c>
      <c r="P70" s="6">
        <v>38380.199999999997</v>
      </c>
      <c r="Q70" s="5" t="s">
        <v>78</v>
      </c>
    </row>
    <row r="71" spans="1:17" x14ac:dyDescent="0.2">
      <c r="A71" s="7">
        <v>46176</v>
      </c>
      <c r="B71" s="5" t="s">
        <v>44</v>
      </c>
      <c r="C71" s="5" t="s">
        <v>45</v>
      </c>
      <c r="D71" s="5" t="s">
        <v>20</v>
      </c>
      <c r="E71" s="5">
        <v>5</v>
      </c>
      <c r="F71" s="5">
        <v>3498881</v>
      </c>
      <c r="G71" s="6">
        <v>39776.3984375</v>
      </c>
      <c r="H71" s="6">
        <v>8353.0498046875</v>
      </c>
      <c r="I71" s="6">
        <v>0</v>
      </c>
      <c r="J71" s="6">
        <v>0</v>
      </c>
      <c r="K71" s="6">
        <v>0</v>
      </c>
      <c r="L71" s="6">
        <v>1193.2900390625</v>
      </c>
      <c r="M71" s="6">
        <v>0</v>
      </c>
      <c r="N71" s="6">
        <v>0</v>
      </c>
      <c r="O71" s="6">
        <v>0</v>
      </c>
      <c r="P71" s="6">
        <v>49322.7</v>
      </c>
      <c r="Q71" s="5" t="s">
        <v>46</v>
      </c>
    </row>
    <row r="72" spans="1:17" x14ac:dyDescent="0.2">
      <c r="A72" s="4" t="s">
        <v>101</v>
      </c>
      <c r="B72" s="5" t="s">
        <v>35</v>
      </c>
      <c r="C72" s="5" t="s">
        <v>36</v>
      </c>
      <c r="D72" s="5" t="s">
        <v>20</v>
      </c>
      <c r="E72" s="5">
        <v>3</v>
      </c>
      <c r="F72" s="5">
        <v>3504536</v>
      </c>
      <c r="G72" s="6">
        <v>194693.09375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194693</v>
      </c>
      <c r="Q72" s="5" t="s">
        <v>37</v>
      </c>
    </row>
    <row r="73" spans="1:17" x14ac:dyDescent="0.2">
      <c r="A73" s="4" t="s">
        <v>70</v>
      </c>
      <c r="B73" s="5" t="s">
        <v>35</v>
      </c>
      <c r="C73" s="5" t="s">
        <v>36</v>
      </c>
      <c r="D73" s="5" t="s">
        <v>20</v>
      </c>
      <c r="E73" s="5">
        <v>3</v>
      </c>
      <c r="F73" s="5">
        <v>3504537</v>
      </c>
      <c r="G73" s="6">
        <v>116292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116292</v>
      </c>
      <c r="Q73" s="5" t="s">
        <v>37</v>
      </c>
    </row>
    <row r="74" spans="1:17" x14ac:dyDescent="0.2">
      <c r="A74" s="4" t="s">
        <v>101</v>
      </c>
      <c r="B74" s="5" t="s">
        <v>35</v>
      </c>
      <c r="C74" s="5" t="s">
        <v>36</v>
      </c>
      <c r="D74" s="5" t="s">
        <v>20</v>
      </c>
      <c r="E74" s="5">
        <v>3</v>
      </c>
      <c r="F74" s="5">
        <v>3504538</v>
      </c>
      <c r="G74" s="6">
        <v>140675.90625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140676</v>
      </c>
      <c r="Q74" s="5" t="s">
        <v>37</v>
      </c>
    </row>
    <row r="75" spans="1:17" x14ac:dyDescent="0.2">
      <c r="A75" s="4" t="s">
        <v>70</v>
      </c>
      <c r="B75" s="5" t="s">
        <v>35</v>
      </c>
      <c r="C75" s="5" t="s">
        <v>36</v>
      </c>
      <c r="D75" s="5" t="s">
        <v>20</v>
      </c>
      <c r="E75" s="5">
        <v>3</v>
      </c>
      <c r="F75" s="5">
        <v>3504543</v>
      </c>
      <c r="G75" s="6">
        <v>61235.26171875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61235.3</v>
      </c>
      <c r="Q75" s="5" t="s">
        <v>37</v>
      </c>
    </row>
    <row r="76" spans="1:17" x14ac:dyDescent="0.2">
      <c r="A76" s="4" t="s">
        <v>70</v>
      </c>
      <c r="B76" s="5" t="s">
        <v>54</v>
      </c>
      <c r="C76" s="5" t="s">
        <v>55</v>
      </c>
      <c r="D76" s="5" t="s">
        <v>20</v>
      </c>
      <c r="E76" s="5">
        <v>501</v>
      </c>
      <c r="F76" s="5">
        <v>3681550</v>
      </c>
      <c r="G76" s="6">
        <v>146322.40625</v>
      </c>
      <c r="H76" s="6">
        <v>0</v>
      </c>
      <c r="I76" s="6">
        <v>0</v>
      </c>
      <c r="J76" s="6">
        <v>39507.05859375</v>
      </c>
      <c r="K76" s="6">
        <v>4389.669921875</v>
      </c>
      <c r="L76" s="6">
        <v>0</v>
      </c>
      <c r="M76" s="6">
        <v>0</v>
      </c>
      <c r="N76" s="6">
        <v>0</v>
      </c>
      <c r="O76" s="6">
        <v>69604.458984375</v>
      </c>
      <c r="P76" s="6">
        <v>259824</v>
      </c>
      <c r="Q76" s="5" t="s">
        <v>43</v>
      </c>
    </row>
    <row r="77" spans="1:17" x14ac:dyDescent="0.2">
      <c r="A77" s="4" t="s">
        <v>71</v>
      </c>
      <c r="B77" s="5" t="s">
        <v>54</v>
      </c>
      <c r="C77" s="5" t="s">
        <v>55</v>
      </c>
      <c r="D77" s="5" t="s">
        <v>20</v>
      </c>
      <c r="E77" s="5">
        <v>501</v>
      </c>
      <c r="F77" s="5">
        <v>3683277</v>
      </c>
      <c r="G77" s="6">
        <v>380336.5703125</v>
      </c>
      <c r="H77" s="6">
        <v>0</v>
      </c>
      <c r="I77" s="6">
        <v>0</v>
      </c>
      <c r="J77" s="6">
        <v>103110.1015625</v>
      </c>
      <c r="K77" s="6">
        <v>0</v>
      </c>
      <c r="L77" s="6">
        <v>0</v>
      </c>
      <c r="M77" s="6">
        <v>0</v>
      </c>
      <c r="N77" s="6">
        <v>0</v>
      </c>
      <c r="O77" s="6">
        <v>177015.703125</v>
      </c>
      <c r="P77" s="6">
        <v>660462</v>
      </c>
      <c r="Q77" s="5" t="s">
        <v>43</v>
      </c>
    </row>
    <row r="78" spans="1:17" x14ac:dyDescent="0.2">
      <c r="A78" s="4" t="s">
        <v>71</v>
      </c>
      <c r="B78" s="5" t="s">
        <v>81</v>
      </c>
      <c r="C78" s="5" t="s">
        <v>82</v>
      </c>
      <c r="D78" s="5" t="s">
        <v>20</v>
      </c>
      <c r="E78" s="5">
        <v>63</v>
      </c>
      <c r="F78" s="5">
        <v>3710488</v>
      </c>
      <c r="G78" s="6">
        <v>51542.3994140625</v>
      </c>
      <c r="H78" s="6">
        <v>10823.900390625</v>
      </c>
      <c r="I78" s="6">
        <v>0</v>
      </c>
      <c r="J78" s="6">
        <v>0</v>
      </c>
      <c r="K78" s="6">
        <v>1546.27001953125</v>
      </c>
      <c r="L78" s="6">
        <v>1546.27001953125</v>
      </c>
      <c r="M78" s="6">
        <v>0</v>
      </c>
      <c r="N78" s="6">
        <v>0</v>
      </c>
      <c r="O78" s="6">
        <v>0</v>
      </c>
      <c r="P78" s="6">
        <v>65458.8</v>
      </c>
      <c r="Q78" s="5" t="s">
        <v>24</v>
      </c>
    </row>
    <row r="79" spans="1:17" x14ac:dyDescent="0.2">
      <c r="A79" s="4" t="s">
        <v>71</v>
      </c>
      <c r="B79" s="5" t="s">
        <v>81</v>
      </c>
      <c r="C79" s="5" t="s">
        <v>82</v>
      </c>
      <c r="D79" s="5" t="s">
        <v>20</v>
      </c>
      <c r="E79" s="5">
        <v>63</v>
      </c>
      <c r="F79" s="5">
        <v>3728543</v>
      </c>
      <c r="G79" s="6">
        <v>72289.996582031294</v>
      </c>
      <c r="H79" s="6">
        <v>15180.900390625</v>
      </c>
      <c r="I79" s="6">
        <v>0</v>
      </c>
      <c r="J79" s="6">
        <v>0</v>
      </c>
      <c r="K79" s="6">
        <v>2168.69995117188</v>
      </c>
      <c r="L79" s="6">
        <v>2168.69995117188</v>
      </c>
      <c r="M79" s="6">
        <v>0</v>
      </c>
      <c r="N79" s="6">
        <v>0</v>
      </c>
      <c r="O79" s="6">
        <v>0</v>
      </c>
      <c r="P79" s="6">
        <v>91808.3</v>
      </c>
      <c r="Q79" s="5" t="s">
        <v>46</v>
      </c>
    </row>
    <row r="80" spans="1:17" x14ac:dyDescent="0.2">
      <c r="A80" s="4" t="s">
        <v>71</v>
      </c>
      <c r="B80" s="5" t="s">
        <v>74</v>
      </c>
      <c r="C80" s="5"/>
      <c r="D80" s="5" t="s">
        <v>20</v>
      </c>
      <c r="E80" s="5">
        <v>3</v>
      </c>
      <c r="F80" s="5">
        <v>4002566</v>
      </c>
      <c r="G80" s="6">
        <v>90719.890625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90719.9</v>
      </c>
      <c r="Q80" s="5" t="s">
        <v>75</v>
      </c>
    </row>
    <row r="81" spans="1:17" x14ac:dyDescent="0.2">
      <c r="A81" s="4" t="s">
        <v>101</v>
      </c>
      <c r="B81" s="5" t="s">
        <v>35</v>
      </c>
      <c r="C81" s="5" t="s">
        <v>36</v>
      </c>
      <c r="D81" s="5" t="s">
        <v>20</v>
      </c>
      <c r="E81" s="5">
        <v>3</v>
      </c>
      <c r="F81" s="5">
        <v>4165030</v>
      </c>
      <c r="G81" s="6">
        <v>14127.3701171875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14127.4</v>
      </c>
      <c r="Q81" s="5" t="s">
        <v>37</v>
      </c>
    </row>
    <row r="82" spans="1:17" x14ac:dyDescent="0.2">
      <c r="A82" s="7">
        <v>46176</v>
      </c>
      <c r="B82" s="5" t="s">
        <v>47</v>
      </c>
      <c r="C82" s="5" t="s">
        <v>48</v>
      </c>
      <c r="D82" s="5" t="s">
        <v>20</v>
      </c>
      <c r="E82" s="5">
        <v>3107</v>
      </c>
      <c r="F82" s="5">
        <v>4528884</v>
      </c>
      <c r="G82" s="6">
        <v>49338.83984375</v>
      </c>
      <c r="H82" s="6">
        <v>10361.16015625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59700</v>
      </c>
      <c r="Q82" s="5" t="s">
        <v>24</v>
      </c>
    </row>
    <row r="83" spans="1:17" x14ac:dyDescent="0.2">
      <c r="A83" s="7">
        <v>46176</v>
      </c>
      <c r="B83" s="5" t="s">
        <v>22</v>
      </c>
      <c r="C83" s="5" t="s">
        <v>23</v>
      </c>
      <c r="D83" s="5" t="s">
        <v>20</v>
      </c>
      <c r="E83" s="5">
        <v>3950</v>
      </c>
      <c r="F83" s="5">
        <v>6317299</v>
      </c>
      <c r="G83" s="6">
        <v>23996.539184570302</v>
      </c>
      <c r="H83" s="6">
        <v>5039.27001953125</v>
      </c>
      <c r="I83" s="6">
        <v>0</v>
      </c>
      <c r="J83" s="6">
        <v>0</v>
      </c>
      <c r="K83" s="6">
        <v>719.89001464843795</v>
      </c>
      <c r="L83" s="6">
        <v>0</v>
      </c>
      <c r="M83" s="6">
        <v>0</v>
      </c>
      <c r="N83" s="6">
        <v>0</v>
      </c>
      <c r="O83" s="6">
        <v>0</v>
      </c>
      <c r="P83" s="6">
        <v>29755.7</v>
      </c>
      <c r="Q83" s="5" t="s">
        <v>24</v>
      </c>
    </row>
    <row r="84" spans="1:17" x14ac:dyDescent="0.2">
      <c r="A84" s="7">
        <v>46084</v>
      </c>
      <c r="B84" s="5" t="s">
        <v>22</v>
      </c>
      <c r="C84" s="5" t="s">
        <v>23</v>
      </c>
      <c r="D84" s="5" t="s">
        <v>20</v>
      </c>
      <c r="E84" s="5">
        <v>4264</v>
      </c>
      <c r="F84" s="5">
        <v>6340829</v>
      </c>
      <c r="G84" s="6">
        <v>25214.999694824201</v>
      </c>
      <c r="H84" s="6">
        <v>5295.14990234375</v>
      </c>
      <c r="I84" s="6">
        <v>0</v>
      </c>
      <c r="J84" s="6">
        <v>0</v>
      </c>
      <c r="K84" s="6">
        <v>756.45001220703102</v>
      </c>
      <c r="L84" s="6">
        <v>0</v>
      </c>
      <c r="M84" s="6">
        <v>0</v>
      </c>
      <c r="N84" s="6">
        <v>0</v>
      </c>
      <c r="O84" s="6">
        <v>0</v>
      </c>
      <c r="P84" s="6">
        <v>31266.6</v>
      </c>
      <c r="Q84" s="5" t="s">
        <v>25</v>
      </c>
    </row>
    <row r="85" spans="1:17" x14ac:dyDescent="0.2">
      <c r="A85" s="4" t="s">
        <v>98</v>
      </c>
      <c r="B85" s="5" t="s">
        <v>22</v>
      </c>
      <c r="C85" s="5" t="s">
        <v>23</v>
      </c>
      <c r="D85" s="5" t="s">
        <v>20</v>
      </c>
      <c r="E85" s="5">
        <v>3950</v>
      </c>
      <c r="F85" s="5">
        <v>6515486</v>
      </c>
      <c r="G85" s="6">
        <v>411915.65332031302</v>
      </c>
      <c r="H85" s="6">
        <v>84247.671875</v>
      </c>
      <c r="I85" s="6">
        <v>0</v>
      </c>
      <c r="J85" s="6">
        <v>3771.84008789063</v>
      </c>
      <c r="K85" s="6">
        <v>12454.4697265625</v>
      </c>
      <c r="L85" s="6">
        <v>11682.7099609375</v>
      </c>
      <c r="M85" s="6">
        <v>0</v>
      </c>
      <c r="N85" s="6">
        <v>0</v>
      </c>
      <c r="O85" s="6">
        <v>3318.28002929688</v>
      </c>
      <c r="P85" s="6">
        <v>527391</v>
      </c>
      <c r="Q85" s="5" t="s">
        <v>25</v>
      </c>
    </row>
    <row r="86" spans="1:17" x14ac:dyDescent="0.2">
      <c r="A86" s="7">
        <v>46268</v>
      </c>
      <c r="B86" s="5" t="s">
        <v>53</v>
      </c>
      <c r="C86" s="5"/>
      <c r="D86" s="5" t="s">
        <v>20</v>
      </c>
      <c r="E86" s="5">
        <v>3</v>
      </c>
      <c r="F86" s="5">
        <v>7587169</v>
      </c>
      <c r="G86" s="6">
        <v>267237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267237</v>
      </c>
      <c r="Q86" s="5" t="s">
        <v>37</v>
      </c>
    </row>
    <row r="87" spans="1:17" x14ac:dyDescent="0.2">
      <c r="A87" s="7">
        <v>46176</v>
      </c>
      <c r="B87" s="5" t="s">
        <v>41</v>
      </c>
      <c r="C87" s="5" t="s">
        <v>42</v>
      </c>
      <c r="D87" s="5" t="s">
        <v>20</v>
      </c>
      <c r="E87" s="5">
        <v>27</v>
      </c>
      <c r="F87" s="5">
        <v>17784952</v>
      </c>
      <c r="G87" s="6">
        <v>112563.053222656</v>
      </c>
      <c r="H87" s="6">
        <v>0</v>
      </c>
      <c r="I87" s="6">
        <v>0</v>
      </c>
      <c r="J87" s="6">
        <v>30091.140625</v>
      </c>
      <c r="K87" s="6">
        <v>19113.439453125</v>
      </c>
      <c r="L87" s="6">
        <v>0</v>
      </c>
      <c r="M87" s="6">
        <v>0</v>
      </c>
      <c r="N87" s="6">
        <v>0</v>
      </c>
      <c r="O87" s="6">
        <v>7160.56982421875</v>
      </c>
      <c r="P87" s="6">
        <v>168928</v>
      </c>
      <c r="Q87" s="5" t="s">
        <v>43</v>
      </c>
    </row>
    <row r="88" spans="1:17" x14ac:dyDescent="0.2">
      <c r="A88" s="7">
        <v>46176</v>
      </c>
      <c r="B88" s="5" t="s">
        <v>41</v>
      </c>
      <c r="C88" s="5" t="s">
        <v>42</v>
      </c>
      <c r="D88" s="5" t="s">
        <v>20</v>
      </c>
      <c r="E88" s="5">
        <v>27</v>
      </c>
      <c r="F88" s="5">
        <v>19264259</v>
      </c>
      <c r="G88" s="6">
        <v>72166.056793212905</v>
      </c>
      <c r="H88" s="6">
        <v>13989.9296875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4020.1697692871098</v>
      </c>
      <c r="P88" s="6">
        <v>90176.2</v>
      </c>
      <c r="Q88" s="5" t="s">
        <v>43</v>
      </c>
    </row>
    <row r="89" spans="1:17" x14ac:dyDescent="0.2">
      <c r="A89" s="4" t="s">
        <v>98</v>
      </c>
      <c r="B89" s="5" t="s">
        <v>41</v>
      </c>
      <c r="C89" s="5" t="s">
        <v>42</v>
      </c>
      <c r="D89" s="5" t="s">
        <v>20</v>
      </c>
      <c r="E89" s="5">
        <v>14</v>
      </c>
      <c r="F89" s="5">
        <v>22233263</v>
      </c>
      <c r="G89" s="6">
        <v>118025.679199219</v>
      </c>
      <c r="H89" s="6">
        <v>0</v>
      </c>
      <c r="I89" s="6">
        <v>0</v>
      </c>
      <c r="J89" s="6">
        <v>31866.9609375</v>
      </c>
      <c r="K89" s="6">
        <v>3540.77001953125</v>
      </c>
      <c r="L89" s="6">
        <v>0</v>
      </c>
      <c r="M89" s="6">
        <v>0</v>
      </c>
      <c r="N89" s="6">
        <v>0</v>
      </c>
      <c r="O89" s="6">
        <v>7533.58984375</v>
      </c>
      <c r="P89" s="6">
        <v>160967</v>
      </c>
      <c r="Q89" s="5" t="s">
        <v>43</v>
      </c>
    </row>
    <row r="90" spans="1:17" x14ac:dyDescent="0.2">
      <c r="A90" s="4" t="s">
        <v>127</v>
      </c>
      <c r="B90" s="5" t="s">
        <v>41</v>
      </c>
      <c r="C90" s="5" t="s">
        <v>42</v>
      </c>
      <c r="D90" s="5" t="s">
        <v>20</v>
      </c>
      <c r="E90" s="5">
        <v>27</v>
      </c>
      <c r="F90" s="5">
        <v>22741304</v>
      </c>
      <c r="G90" s="6">
        <v>92585.2939453125</v>
      </c>
      <c r="H90" s="6">
        <v>0</v>
      </c>
      <c r="I90" s="6">
        <v>0</v>
      </c>
      <c r="J90" s="6">
        <v>24750.5</v>
      </c>
      <c r="K90" s="6">
        <v>15721.099609375</v>
      </c>
      <c r="L90" s="6">
        <v>0</v>
      </c>
      <c r="M90" s="6">
        <v>0</v>
      </c>
      <c r="N90" s="6">
        <v>0</v>
      </c>
      <c r="O90" s="6">
        <v>5889.7001953125</v>
      </c>
      <c r="P90" s="6">
        <v>138947</v>
      </c>
      <c r="Q90" s="5" t="s">
        <v>43</v>
      </c>
    </row>
    <row r="91" spans="1:17" x14ac:dyDescent="0.2">
      <c r="A91" s="7">
        <v>46268</v>
      </c>
      <c r="B91" s="5" t="s">
        <v>52</v>
      </c>
      <c r="C91" s="5"/>
      <c r="D91" s="5" t="s">
        <v>20</v>
      </c>
      <c r="E91" s="5">
        <v>3</v>
      </c>
      <c r="F91" s="5">
        <v>34151565</v>
      </c>
      <c r="G91" s="6">
        <v>533341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533341</v>
      </c>
      <c r="Q91" s="5" t="s">
        <v>37</v>
      </c>
    </row>
    <row r="92" spans="1:17" x14ac:dyDescent="0.2">
      <c r="A92" s="7">
        <v>46176</v>
      </c>
      <c r="B92" s="5" t="s">
        <v>38</v>
      </c>
      <c r="C92" s="5" t="s">
        <v>39</v>
      </c>
      <c r="D92" s="5" t="s">
        <v>20</v>
      </c>
      <c r="E92" s="5">
        <v>64</v>
      </c>
      <c r="F92" s="5">
        <v>57684036</v>
      </c>
      <c r="G92" s="6">
        <v>16272.4600830078</v>
      </c>
      <c r="H92" s="6">
        <v>4030.93994140625</v>
      </c>
      <c r="I92" s="6">
        <v>0</v>
      </c>
      <c r="J92" s="6">
        <v>0</v>
      </c>
      <c r="K92" s="6">
        <v>0</v>
      </c>
      <c r="L92" s="6">
        <v>0</v>
      </c>
      <c r="M92" s="6">
        <v>765.14001464843795</v>
      </c>
      <c r="N92" s="6">
        <v>0</v>
      </c>
      <c r="O92" s="6">
        <v>2416.3701171875</v>
      </c>
      <c r="P92" s="6">
        <v>23484.9</v>
      </c>
      <c r="Q92" s="5" t="s">
        <v>40</v>
      </c>
    </row>
    <row r="93" spans="1:17" x14ac:dyDescent="0.2">
      <c r="A93" s="7">
        <v>46176</v>
      </c>
      <c r="B93" s="5" t="s">
        <v>22</v>
      </c>
      <c r="C93" s="5" t="s">
        <v>23</v>
      </c>
      <c r="D93" s="5" t="s">
        <v>20</v>
      </c>
      <c r="E93" s="5">
        <v>3950</v>
      </c>
      <c r="F93" s="5">
        <v>63116264</v>
      </c>
      <c r="G93" s="6">
        <v>22391.419921875</v>
      </c>
      <c r="H93" s="6">
        <v>4425</v>
      </c>
      <c r="I93" s="6">
        <v>0</v>
      </c>
      <c r="J93" s="6">
        <v>271</v>
      </c>
      <c r="K93" s="6">
        <v>675</v>
      </c>
      <c r="L93" s="6">
        <v>675</v>
      </c>
      <c r="M93" s="6">
        <v>0</v>
      </c>
      <c r="N93" s="6">
        <v>0</v>
      </c>
      <c r="O93" s="6">
        <v>0</v>
      </c>
      <c r="P93" s="6">
        <v>28437.4</v>
      </c>
      <c r="Q93" s="5" t="s">
        <v>24</v>
      </c>
    </row>
    <row r="94" spans="1:17" x14ac:dyDescent="0.2">
      <c r="A94" s="7">
        <v>46084</v>
      </c>
      <c r="B94" s="5" t="s">
        <v>22</v>
      </c>
      <c r="C94" s="5" t="s">
        <v>23</v>
      </c>
      <c r="D94" s="5" t="s">
        <v>20</v>
      </c>
      <c r="E94" s="5">
        <v>4264</v>
      </c>
      <c r="F94" s="5">
        <v>63713980</v>
      </c>
      <c r="G94" s="6">
        <v>48375.0009765625</v>
      </c>
      <c r="H94" s="6">
        <v>10158.7998046875</v>
      </c>
      <c r="I94" s="6">
        <v>0</v>
      </c>
      <c r="J94" s="6">
        <v>0</v>
      </c>
      <c r="K94" s="6">
        <v>1451.25</v>
      </c>
      <c r="L94" s="6">
        <v>1451.25</v>
      </c>
      <c r="M94" s="6">
        <v>0</v>
      </c>
      <c r="N94" s="6">
        <v>0</v>
      </c>
      <c r="O94" s="6">
        <v>0</v>
      </c>
      <c r="P94" s="6">
        <v>61436.3</v>
      </c>
      <c r="Q94" s="5" t="s">
        <v>24</v>
      </c>
    </row>
    <row r="95" spans="1:17" x14ac:dyDescent="0.2">
      <c r="A95" s="7">
        <v>46329</v>
      </c>
      <c r="B95" s="5" t="s">
        <v>54</v>
      </c>
      <c r="C95" s="5" t="s">
        <v>55</v>
      </c>
      <c r="D95" s="5" t="s">
        <v>20</v>
      </c>
      <c r="E95" s="5">
        <v>501</v>
      </c>
      <c r="F95" s="5">
        <v>75245862</v>
      </c>
      <c r="G95" s="6">
        <v>328459.23681640602</v>
      </c>
      <c r="H95" s="6">
        <v>0</v>
      </c>
      <c r="I95" s="6">
        <v>0</v>
      </c>
      <c r="J95" s="6">
        <v>88684</v>
      </c>
      <c r="K95" s="6">
        <v>56314.33984375</v>
      </c>
      <c r="L95" s="6">
        <v>0</v>
      </c>
      <c r="M95" s="6">
        <v>0</v>
      </c>
      <c r="N95" s="6">
        <v>0</v>
      </c>
      <c r="O95" s="6">
        <v>33258.610839843801</v>
      </c>
      <c r="P95" s="6">
        <v>506716</v>
      </c>
      <c r="Q95" s="5" t="s">
        <v>43</v>
      </c>
    </row>
    <row r="96" spans="1:17" x14ac:dyDescent="0.2">
      <c r="A96" s="4" t="s">
        <v>71</v>
      </c>
      <c r="B96" s="5" t="s">
        <v>54</v>
      </c>
      <c r="C96" s="5" t="s">
        <v>55</v>
      </c>
      <c r="D96" s="5" t="s">
        <v>20</v>
      </c>
      <c r="E96" s="5">
        <v>501</v>
      </c>
      <c r="F96" s="5">
        <v>75696338</v>
      </c>
      <c r="G96" s="6">
        <v>134887.30303955101</v>
      </c>
      <c r="H96" s="6">
        <v>28326.330078125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13846.070007324201</v>
      </c>
      <c r="P96" s="6">
        <v>177060</v>
      </c>
      <c r="Q96" s="5" t="s">
        <v>43</v>
      </c>
    </row>
    <row r="97" spans="1:17" x14ac:dyDescent="0.2">
      <c r="A97" s="4" t="s">
        <v>83</v>
      </c>
      <c r="B97" s="5" t="s">
        <v>54</v>
      </c>
      <c r="C97" s="5" t="s">
        <v>55</v>
      </c>
      <c r="D97" s="5" t="s">
        <v>20</v>
      </c>
      <c r="E97" s="5">
        <v>501</v>
      </c>
      <c r="F97" s="5">
        <v>75839577</v>
      </c>
      <c r="G97" s="6">
        <v>99113.241943359404</v>
      </c>
      <c r="H97" s="6">
        <v>0</v>
      </c>
      <c r="I97" s="6">
        <v>0</v>
      </c>
      <c r="J97" s="6">
        <v>26760.5703125</v>
      </c>
      <c r="K97" s="6">
        <v>16992.9609375</v>
      </c>
      <c r="L97" s="6">
        <v>0</v>
      </c>
      <c r="M97" s="6">
        <v>0</v>
      </c>
      <c r="N97" s="6">
        <v>0</v>
      </c>
      <c r="O97" s="6">
        <v>5510.4299316406295</v>
      </c>
      <c r="P97" s="6">
        <v>148377</v>
      </c>
      <c r="Q97" s="5" t="s">
        <v>43</v>
      </c>
    </row>
    <row r="98" spans="1:17" hidden="1" x14ac:dyDescent="0.2">
      <c r="A98" s="4" t="s">
        <v>145</v>
      </c>
      <c r="B98" s="5" t="s">
        <v>60</v>
      </c>
      <c r="C98" s="5" t="s">
        <v>61</v>
      </c>
      <c r="D98" s="5" t="s">
        <v>58</v>
      </c>
      <c r="E98" s="5">
        <v>10</v>
      </c>
      <c r="F98" s="5">
        <v>342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160000</v>
      </c>
      <c r="P98" s="6">
        <v>160000</v>
      </c>
      <c r="Q98" s="5" t="s">
        <v>62</v>
      </c>
    </row>
    <row r="100" spans="1:17" x14ac:dyDescent="0.2">
      <c r="F100" t="s">
        <v>146</v>
      </c>
      <c r="G100" s="2" t="s">
        <v>147</v>
      </c>
    </row>
    <row r="101" spans="1:17" x14ac:dyDescent="0.2">
      <c r="F101" s="12">
        <v>86</v>
      </c>
      <c r="G101" s="10">
        <v>112</v>
      </c>
      <c r="H101" s="2">
        <f>F101-G101</f>
        <v>-26</v>
      </c>
    </row>
    <row r="102" spans="1:17" x14ac:dyDescent="0.2">
      <c r="F102" s="12">
        <v>108</v>
      </c>
      <c r="G102" s="5"/>
      <c r="H102" s="2">
        <f t="shared" ref="H102:H165" si="0">F102-G102</f>
        <v>108</v>
      </c>
    </row>
    <row r="103" spans="1:17" x14ac:dyDescent="0.2">
      <c r="F103" s="12">
        <v>109</v>
      </c>
      <c r="G103" s="5"/>
      <c r="H103" s="2">
        <f t="shared" si="0"/>
        <v>109</v>
      </c>
    </row>
    <row r="104" spans="1:17" x14ac:dyDescent="0.2">
      <c r="F104" s="12">
        <v>129</v>
      </c>
      <c r="G104" s="5"/>
      <c r="H104" s="2">
        <f t="shared" si="0"/>
        <v>129</v>
      </c>
    </row>
    <row r="105" spans="1:17" x14ac:dyDescent="0.2">
      <c r="F105" s="12">
        <v>158</v>
      </c>
      <c r="G105" s="5"/>
      <c r="H105" s="2">
        <f t="shared" si="0"/>
        <v>158</v>
      </c>
    </row>
    <row r="106" spans="1:17" x14ac:dyDescent="0.2">
      <c r="F106" s="12">
        <v>184</v>
      </c>
      <c r="G106" s="5"/>
      <c r="H106" s="2">
        <f t="shared" si="0"/>
        <v>184</v>
      </c>
    </row>
    <row r="107" spans="1:17" x14ac:dyDescent="0.2">
      <c r="F107" s="12">
        <v>238</v>
      </c>
      <c r="G107" s="5"/>
      <c r="H107" s="2">
        <f t="shared" si="0"/>
        <v>238</v>
      </c>
    </row>
    <row r="108" spans="1:17" x14ac:dyDescent="0.2">
      <c r="F108" s="12">
        <v>255</v>
      </c>
      <c r="G108" s="5"/>
      <c r="H108" s="2">
        <f t="shared" si="0"/>
        <v>255</v>
      </c>
    </row>
    <row r="109" spans="1:17" x14ac:dyDescent="0.2">
      <c r="F109" s="12">
        <v>346</v>
      </c>
      <c r="G109" s="5"/>
      <c r="H109" s="2">
        <f t="shared" si="0"/>
        <v>346</v>
      </c>
    </row>
    <row r="110" spans="1:17" x14ac:dyDescent="0.2">
      <c r="F110" s="12">
        <v>357</v>
      </c>
      <c r="G110" s="5"/>
      <c r="H110" s="2">
        <f t="shared" si="0"/>
        <v>357</v>
      </c>
    </row>
    <row r="111" spans="1:17" x14ac:dyDescent="0.2">
      <c r="F111" s="12">
        <v>364</v>
      </c>
      <c r="G111" s="5"/>
      <c r="H111" s="2">
        <f t="shared" si="0"/>
        <v>364</v>
      </c>
    </row>
    <row r="112" spans="1:17" x14ac:dyDescent="0.2">
      <c r="F112" s="12">
        <v>372</v>
      </c>
      <c r="G112" s="5"/>
      <c r="H112" s="2">
        <f t="shared" si="0"/>
        <v>372</v>
      </c>
    </row>
    <row r="113" spans="6:8" x14ac:dyDescent="0.2">
      <c r="F113" s="8">
        <v>391</v>
      </c>
      <c r="G113" s="11">
        <v>391</v>
      </c>
      <c r="H113" s="2">
        <f t="shared" si="0"/>
        <v>0</v>
      </c>
    </row>
    <row r="114" spans="6:8" x14ac:dyDescent="0.2">
      <c r="F114" s="9">
        <v>392</v>
      </c>
      <c r="G114" s="5">
        <v>392</v>
      </c>
      <c r="H114" s="2">
        <f t="shared" si="0"/>
        <v>0</v>
      </c>
    </row>
    <row r="115" spans="6:8" x14ac:dyDescent="0.2">
      <c r="F115" s="8">
        <v>393</v>
      </c>
      <c r="G115" s="5">
        <v>393</v>
      </c>
      <c r="H115" s="2">
        <f t="shared" si="0"/>
        <v>0</v>
      </c>
    </row>
    <row r="116" spans="6:8" x14ac:dyDescent="0.2">
      <c r="F116" s="12">
        <v>462</v>
      </c>
      <c r="G116" s="5"/>
      <c r="H116" s="2">
        <f t="shared" si="0"/>
        <v>462</v>
      </c>
    </row>
    <row r="117" spans="6:8" x14ac:dyDescent="0.2">
      <c r="F117" s="8">
        <v>518</v>
      </c>
      <c r="G117" s="5">
        <v>518</v>
      </c>
      <c r="H117" s="2">
        <f t="shared" si="0"/>
        <v>0</v>
      </c>
    </row>
    <row r="118" spans="6:8" x14ac:dyDescent="0.2">
      <c r="F118" s="12">
        <v>557</v>
      </c>
      <c r="G118" s="5"/>
      <c r="H118" s="2">
        <f t="shared" si="0"/>
        <v>557</v>
      </c>
    </row>
    <row r="119" spans="6:8" x14ac:dyDescent="0.2">
      <c r="F119" s="8">
        <v>690</v>
      </c>
      <c r="G119" s="5">
        <v>690</v>
      </c>
      <c r="H119" s="2">
        <f t="shared" si="0"/>
        <v>0</v>
      </c>
    </row>
    <row r="120" spans="6:8" x14ac:dyDescent="0.2">
      <c r="F120" s="9">
        <v>817</v>
      </c>
      <c r="G120" s="5">
        <v>969</v>
      </c>
      <c r="H120" s="2">
        <f t="shared" si="0"/>
        <v>-152</v>
      </c>
    </row>
    <row r="121" spans="6:8" x14ac:dyDescent="0.2">
      <c r="F121" s="8">
        <v>818</v>
      </c>
      <c r="G121" s="5">
        <v>970</v>
      </c>
      <c r="H121" s="2">
        <f t="shared" si="0"/>
        <v>-152</v>
      </c>
    </row>
    <row r="122" spans="6:8" x14ac:dyDescent="0.2">
      <c r="F122" s="9">
        <v>969</v>
      </c>
      <c r="G122" s="5">
        <v>981</v>
      </c>
      <c r="H122" s="2">
        <f t="shared" si="0"/>
        <v>-12</v>
      </c>
    </row>
    <row r="123" spans="6:8" x14ac:dyDescent="0.2">
      <c r="F123" s="8">
        <v>970</v>
      </c>
      <c r="G123" s="5">
        <v>1066</v>
      </c>
      <c r="H123" s="2">
        <f t="shared" si="0"/>
        <v>-96</v>
      </c>
    </row>
    <row r="124" spans="6:8" x14ac:dyDescent="0.2">
      <c r="F124" s="9">
        <v>971</v>
      </c>
      <c r="G124" s="5">
        <v>1132</v>
      </c>
      <c r="H124" s="2">
        <f t="shared" si="0"/>
        <v>-161</v>
      </c>
    </row>
    <row r="125" spans="6:8" x14ac:dyDescent="0.2">
      <c r="F125" s="8">
        <v>981</v>
      </c>
      <c r="G125" s="5">
        <v>1154</v>
      </c>
      <c r="H125" s="2">
        <f t="shared" si="0"/>
        <v>-173</v>
      </c>
    </row>
    <row r="126" spans="6:8" x14ac:dyDescent="0.2">
      <c r="F126" s="9">
        <v>1066</v>
      </c>
      <c r="G126" s="5">
        <v>1224</v>
      </c>
      <c r="H126" s="2">
        <f t="shared" si="0"/>
        <v>-158</v>
      </c>
    </row>
    <row r="127" spans="6:8" x14ac:dyDescent="0.2">
      <c r="F127" s="8">
        <v>1108</v>
      </c>
      <c r="G127" s="5">
        <v>1400</v>
      </c>
      <c r="H127" s="2">
        <f t="shared" si="0"/>
        <v>-292</v>
      </c>
    </row>
    <row r="128" spans="6:8" x14ac:dyDescent="0.2">
      <c r="F128" s="9">
        <v>1132</v>
      </c>
      <c r="G128" s="5">
        <v>1560</v>
      </c>
      <c r="H128" s="2">
        <f t="shared" si="0"/>
        <v>-428</v>
      </c>
    </row>
    <row r="129" spans="6:8" x14ac:dyDescent="0.2">
      <c r="F129" s="8">
        <v>1154</v>
      </c>
      <c r="G129" s="5">
        <v>2594</v>
      </c>
      <c r="H129" s="2">
        <f t="shared" si="0"/>
        <v>-1440</v>
      </c>
    </row>
    <row r="130" spans="6:8" x14ac:dyDescent="0.2">
      <c r="F130" s="9">
        <v>1224</v>
      </c>
      <c r="G130" s="5">
        <v>2596</v>
      </c>
      <c r="H130" s="2">
        <f t="shared" si="0"/>
        <v>-1372</v>
      </c>
    </row>
    <row r="131" spans="6:8" x14ac:dyDescent="0.2">
      <c r="F131" s="8">
        <v>1258</v>
      </c>
      <c r="G131" s="5">
        <v>3229</v>
      </c>
      <c r="H131" s="2">
        <f t="shared" si="0"/>
        <v>-1971</v>
      </c>
    </row>
    <row r="132" spans="6:8" x14ac:dyDescent="0.2">
      <c r="F132" s="9">
        <v>1259</v>
      </c>
      <c r="G132" s="5">
        <v>3437</v>
      </c>
      <c r="H132" s="2">
        <f t="shared" si="0"/>
        <v>-2178</v>
      </c>
    </row>
    <row r="133" spans="6:8" x14ac:dyDescent="0.2">
      <c r="F133" s="8">
        <v>1393</v>
      </c>
      <c r="G133" s="5">
        <v>4261</v>
      </c>
      <c r="H133" s="2">
        <f t="shared" si="0"/>
        <v>-2868</v>
      </c>
    </row>
    <row r="134" spans="6:8" x14ac:dyDescent="0.2">
      <c r="F134" s="9">
        <v>1394</v>
      </c>
      <c r="G134" s="5">
        <v>4263</v>
      </c>
      <c r="H134" s="2">
        <f t="shared" si="0"/>
        <v>-2869</v>
      </c>
    </row>
    <row r="135" spans="6:8" x14ac:dyDescent="0.2">
      <c r="F135" s="8">
        <v>1395</v>
      </c>
      <c r="G135" s="5">
        <v>4264</v>
      </c>
      <c r="H135" s="2">
        <f t="shared" si="0"/>
        <v>-2869</v>
      </c>
    </row>
    <row r="136" spans="6:8" x14ac:dyDescent="0.2">
      <c r="F136" s="9">
        <v>1396</v>
      </c>
      <c r="G136" s="5">
        <v>4268</v>
      </c>
      <c r="H136" s="2">
        <f t="shared" si="0"/>
        <v>-2872</v>
      </c>
    </row>
    <row r="137" spans="6:8" x14ac:dyDescent="0.2">
      <c r="F137" s="8">
        <v>1397</v>
      </c>
      <c r="G137" s="5">
        <v>4269</v>
      </c>
      <c r="H137" s="2">
        <f t="shared" si="0"/>
        <v>-2872</v>
      </c>
    </row>
    <row r="138" spans="6:8" x14ac:dyDescent="0.2">
      <c r="F138" s="9">
        <v>1398</v>
      </c>
      <c r="G138" s="5">
        <v>4270</v>
      </c>
      <c r="H138" s="2">
        <f t="shared" si="0"/>
        <v>-2872</v>
      </c>
    </row>
    <row r="139" spans="6:8" x14ac:dyDescent="0.2">
      <c r="F139" s="8">
        <v>1399</v>
      </c>
      <c r="G139" s="5">
        <v>4272</v>
      </c>
      <c r="H139" s="2">
        <f t="shared" si="0"/>
        <v>-2873</v>
      </c>
    </row>
    <row r="140" spans="6:8" x14ac:dyDescent="0.2">
      <c r="F140" s="9">
        <v>1400</v>
      </c>
      <c r="G140" s="5">
        <v>4276</v>
      </c>
      <c r="H140" s="2">
        <f t="shared" si="0"/>
        <v>-2876</v>
      </c>
    </row>
    <row r="141" spans="6:8" x14ac:dyDescent="0.2">
      <c r="F141" s="8">
        <v>1401</v>
      </c>
      <c r="G141" s="5">
        <v>11230</v>
      </c>
      <c r="H141" s="2">
        <f t="shared" si="0"/>
        <v>-9829</v>
      </c>
    </row>
    <row r="142" spans="6:8" x14ac:dyDescent="0.2">
      <c r="F142" s="9">
        <v>1402</v>
      </c>
      <c r="G142" s="5">
        <v>14141</v>
      </c>
      <c r="H142" s="2">
        <f t="shared" si="0"/>
        <v>-12739</v>
      </c>
    </row>
    <row r="143" spans="6:8" x14ac:dyDescent="0.2">
      <c r="F143" s="8">
        <v>1475</v>
      </c>
      <c r="G143" s="5">
        <v>15788</v>
      </c>
      <c r="H143" s="2">
        <f t="shared" si="0"/>
        <v>-14313</v>
      </c>
    </row>
    <row r="144" spans="6:8" x14ac:dyDescent="0.2">
      <c r="F144" s="9">
        <v>1545</v>
      </c>
      <c r="G144" s="5">
        <v>15810</v>
      </c>
      <c r="H144" s="2">
        <f t="shared" si="0"/>
        <v>-14265</v>
      </c>
    </row>
    <row r="145" spans="6:8" x14ac:dyDescent="0.2">
      <c r="F145" s="8">
        <v>1560</v>
      </c>
      <c r="G145" s="5">
        <v>18217</v>
      </c>
      <c r="H145" s="2">
        <f t="shared" si="0"/>
        <v>-16657</v>
      </c>
    </row>
    <row r="146" spans="6:8" x14ac:dyDescent="0.2">
      <c r="F146" s="9">
        <v>1754</v>
      </c>
      <c r="G146" s="5">
        <v>18350</v>
      </c>
      <c r="H146" s="2">
        <f t="shared" si="0"/>
        <v>-16596</v>
      </c>
    </row>
    <row r="147" spans="6:8" x14ac:dyDescent="0.2">
      <c r="F147" s="8">
        <v>1850</v>
      </c>
      <c r="G147" s="5">
        <v>25928</v>
      </c>
      <c r="H147" s="2">
        <f t="shared" si="0"/>
        <v>-24078</v>
      </c>
    </row>
    <row r="148" spans="6:8" x14ac:dyDescent="0.2">
      <c r="F148" s="9">
        <v>1871</v>
      </c>
      <c r="G148" s="5">
        <v>25947</v>
      </c>
      <c r="H148" s="2">
        <f t="shared" si="0"/>
        <v>-24076</v>
      </c>
    </row>
    <row r="149" spans="6:8" x14ac:dyDescent="0.2">
      <c r="F149" s="8">
        <v>1876</v>
      </c>
      <c r="G149" s="5">
        <v>28590</v>
      </c>
      <c r="H149" s="2">
        <f t="shared" si="0"/>
        <v>-26714</v>
      </c>
    </row>
    <row r="150" spans="6:8" x14ac:dyDescent="0.2">
      <c r="F150" s="9">
        <v>1905</v>
      </c>
      <c r="G150" s="5">
        <v>49105</v>
      </c>
      <c r="H150" s="2">
        <f t="shared" si="0"/>
        <v>-47200</v>
      </c>
    </row>
    <row r="151" spans="6:8" x14ac:dyDescent="0.2">
      <c r="F151" s="8">
        <v>2211</v>
      </c>
      <c r="G151" s="5">
        <v>52669</v>
      </c>
      <c r="H151" s="2">
        <f t="shared" si="0"/>
        <v>-50458</v>
      </c>
    </row>
    <row r="152" spans="6:8" x14ac:dyDescent="0.2">
      <c r="F152" s="9">
        <v>2510</v>
      </c>
      <c r="G152" s="5">
        <v>52676</v>
      </c>
      <c r="H152" s="2">
        <f t="shared" si="0"/>
        <v>-50166</v>
      </c>
    </row>
    <row r="153" spans="6:8" x14ac:dyDescent="0.2">
      <c r="F153" s="8">
        <v>2594</v>
      </c>
      <c r="G153" s="5">
        <v>52738</v>
      </c>
      <c r="H153" s="2">
        <f t="shared" si="0"/>
        <v>-50144</v>
      </c>
    </row>
    <row r="154" spans="6:8" x14ac:dyDescent="0.2">
      <c r="F154" s="9">
        <v>2596</v>
      </c>
      <c r="G154" s="5">
        <v>52815</v>
      </c>
      <c r="H154" s="2">
        <f t="shared" si="0"/>
        <v>-50219</v>
      </c>
    </row>
    <row r="155" spans="6:8" x14ac:dyDescent="0.2">
      <c r="F155" s="8">
        <v>2657</v>
      </c>
      <c r="G155" s="5">
        <v>57238</v>
      </c>
      <c r="H155" s="2">
        <f t="shared" si="0"/>
        <v>-54581</v>
      </c>
    </row>
    <row r="156" spans="6:8" x14ac:dyDescent="0.2">
      <c r="F156" s="9">
        <v>2658</v>
      </c>
      <c r="G156" s="5">
        <v>60101</v>
      </c>
      <c r="H156" s="2">
        <f t="shared" si="0"/>
        <v>-57443</v>
      </c>
    </row>
    <row r="157" spans="6:8" x14ac:dyDescent="0.2">
      <c r="F157" s="8">
        <v>2859</v>
      </c>
      <c r="G157" s="5">
        <v>83026</v>
      </c>
      <c r="H157" s="2">
        <f t="shared" si="0"/>
        <v>-80167</v>
      </c>
    </row>
    <row r="158" spans="6:8" x14ac:dyDescent="0.2">
      <c r="F158" s="9">
        <v>2973</v>
      </c>
      <c r="G158" s="5">
        <v>83363</v>
      </c>
      <c r="H158" s="2">
        <f t="shared" si="0"/>
        <v>-80390</v>
      </c>
    </row>
    <row r="159" spans="6:8" x14ac:dyDescent="0.2">
      <c r="F159" s="8">
        <v>3104</v>
      </c>
      <c r="G159" s="5">
        <v>83711</v>
      </c>
      <c r="H159" s="2">
        <f t="shared" si="0"/>
        <v>-80607</v>
      </c>
    </row>
    <row r="160" spans="6:8" x14ac:dyDescent="0.2">
      <c r="F160" s="9">
        <v>3346</v>
      </c>
      <c r="G160" s="5">
        <v>84087</v>
      </c>
      <c r="H160" s="2">
        <f t="shared" si="0"/>
        <v>-80741</v>
      </c>
    </row>
    <row r="161" spans="6:8" x14ac:dyDescent="0.2">
      <c r="F161" s="8">
        <v>3437</v>
      </c>
      <c r="G161" s="5">
        <v>84364</v>
      </c>
      <c r="H161" s="2">
        <f t="shared" si="0"/>
        <v>-80927</v>
      </c>
    </row>
    <row r="162" spans="6:8" x14ac:dyDescent="0.2">
      <c r="F162" s="9">
        <v>3448</v>
      </c>
      <c r="G162" s="5">
        <v>146073</v>
      </c>
      <c r="H162" s="2">
        <f t="shared" si="0"/>
        <v>-142625</v>
      </c>
    </row>
    <row r="163" spans="6:8" x14ac:dyDescent="0.2">
      <c r="F163" s="8">
        <v>3650</v>
      </c>
      <c r="G163" s="5">
        <v>166249</v>
      </c>
      <c r="H163" s="2">
        <f t="shared" si="0"/>
        <v>-162599</v>
      </c>
    </row>
    <row r="164" spans="6:8" x14ac:dyDescent="0.2">
      <c r="F164" s="9">
        <v>3651</v>
      </c>
      <c r="G164" s="5">
        <v>168216</v>
      </c>
      <c r="H164" s="2">
        <f t="shared" si="0"/>
        <v>-164565</v>
      </c>
    </row>
    <row r="165" spans="6:8" x14ac:dyDescent="0.2">
      <c r="F165" s="8">
        <v>3652</v>
      </c>
      <c r="G165" s="5">
        <v>232789</v>
      </c>
      <c r="H165" s="2">
        <f t="shared" si="0"/>
        <v>-229137</v>
      </c>
    </row>
    <row r="166" spans="6:8" x14ac:dyDescent="0.2">
      <c r="F166" s="9">
        <v>3688</v>
      </c>
      <c r="G166" s="5">
        <v>260326</v>
      </c>
      <c r="H166" s="2">
        <f t="shared" ref="H166:H229" si="1">F166-G166</f>
        <v>-256638</v>
      </c>
    </row>
    <row r="167" spans="6:8" x14ac:dyDescent="0.2">
      <c r="F167" s="8">
        <v>3804</v>
      </c>
      <c r="G167" s="5">
        <v>270326</v>
      </c>
      <c r="H167" s="2">
        <f t="shared" si="1"/>
        <v>-266522</v>
      </c>
    </row>
    <row r="168" spans="6:8" x14ac:dyDescent="0.2">
      <c r="F168" s="9">
        <v>3838</v>
      </c>
      <c r="G168" s="5">
        <v>466330</v>
      </c>
      <c r="H168" s="2">
        <f t="shared" si="1"/>
        <v>-462492</v>
      </c>
    </row>
    <row r="169" spans="6:8" x14ac:dyDescent="0.2">
      <c r="F169" s="8">
        <v>4005</v>
      </c>
      <c r="G169" s="5">
        <v>483508</v>
      </c>
      <c r="H169" s="2">
        <f t="shared" si="1"/>
        <v>-479503</v>
      </c>
    </row>
    <row r="170" spans="6:8" x14ac:dyDescent="0.2">
      <c r="F170" s="9">
        <v>4088</v>
      </c>
      <c r="G170" s="5">
        <v>705524</v>
      </c>
      <c r="H170" s="2">
        <f t="shared" si="1"/>
        <v>-701436</v>
      </c>
    </row>
    <row r="171" spans="6:8" x14ac:dyDescent="0.2">
      <c r="F171" s="8">
        <v>4120</v>
      </c>
      <c r="G171" s="5">
        <v>1095498</v>
      </c>
      <c r="H171" s="2">
        <f t="shared" si="1"/>
        <v>-1091378</v>
      </c>
    </row>
    <row r="172" spans="6:8" x14ac:dyDescent="0.2">
      <c r="F172" s="9">
        <v>4127</v>
      </c>
      <c r="G172" s="5">
        <v>1805751</v>
      </c>
      <c r="H172" s="2">
        <f t="shared" si="1"/>
        <v>-1801624</v>
      </c>
    </row>
    <row r="173" spans="6:8" x14ac:dyDescent="0.2">
      <c r="F173" s="8">
        <v>4167</v>
      </c>
      <c r="G173" s="5">
        <v>1994315</v>
      </c>
      <c r="H173" s="2">
        <f t="shared" si="1"/>
        <v>-1990148</v>
      </c>
    </row>
    <row r="174" spans="6:8" x14ac:dyDescent="0.2">
      <c r="F174" s="9">
        <v>4230</v>
      </c>
      <c r="G174" s="5">
        <v>2047127</v>
      </c>
      <c r="H174" s="2">
        <f t="shared" si="1"/>
        <v>-2042897</v>
      </c>
    </row>
    <row r="175" spans="6:8" x14ac:dyDescent="0.2">
      <c r="F175" s="8">
        <v>4263</v>
      </c>
      <c r="G175" s="5">
        <v>2526871</v>
      </c>
      <c r="H175" s="2">
        <f t="shared" si="1"/>
        <v>-2522608</v>
      </c>
    </row>
    <row r="176" spans="6:8" x14ac:dyDescent="0.2">
      <c r="F176" s="9">
        <v>4264</v>
      </c>
      <c r="G176" s="5">
        <v>2828590</v>
      </c>
      <c r="H176" s="2">
        <f t="shared" si="1"/>
        <v>-2824326</v>
      </c>
    </row>
    <row r="177" spans="6:8" x14ac:dyDescent="0.2">
      <c r="F177" s="8">
        <v>4268</v>
      </c>
      <c r="G177" s="5">
        <v>3263455</v>
      </c>
      <c r="H177" s="2">
        <f t="shared" si="1"/>
        <v>-3259187</v>
      </c>
    </row>
    <row r="178" spans="6:8" x14ac:dyDescent="0.2">
      <c r="F178" s="9">
        <v>4269</v>
      </c>
      <c r="G178" s="5">
        <v>3498881</v>
      </c>
      <c r="H178" s="2">
        <f t="shared" si="1"/>
        <v>-3494612</v>
      </c>
    </row>
    <row r="179" spans="6:8" x14ac:dyDescent="0.2">
      <c r="F179" s="8">
        <v>4270</v>
      </c>
      <c r="G179" s="5">
        <v>3504536</v>
      </c>
      <c r="H179" s="2">
        <f t="shared" si="1"/>
        <v>-3500266</v>
      </c>
    </row>
    <row r="180" spans="6:8" x14ac:dyDescent="0.2">
      <c r="F180" s="9">
        <v>4272</v>
      </c>
      <c r="G180" s="5">
        <v>3504537</v>
      </c>
      <c r="H180" s="2">
        <f t="shared" si="1"/>
        <v>-3500265</v>
      </c>
    </row>
    <row r="181" spans="6:8" x14ac:dyDescent="0.2">
      <c r="F181" s="8">
        <v>4276</v>
      </c>
      <c r="G181" s="5">
        <v>3504538</v>
      </c>
      <c r="H181" s="2">
        <f t="shared" si="1"/>
        <v>-3500262</v>
      </c>
    </row>
    <row r="182" spans="6:8" x14ac:dyDescent="0.2">
      <c r="F182" s="9">
        <v>4281</v>
      </c>
      <c r="G182" s="5">
        <v>3504543</v>
      </c>
      <c r="H182" s="2">
        <f t="shared" si="1"/>
        <v>-3500262</v>
      </c>
    </row>
    <row r="183" spans="6:8" x14ac:dyDescent="0.2">
      <c r="F183" s="8">
        <v>4815</v>
      </c>
      <c r="G183" s="5">
        <v>3681550</v>
      </c>
      <c r="H183" s="2">
        <f t="shared" si="1"/>
        <v>-3676735</v>
      </c>
    </row>
    <row r="184" spans="6:8" x14ac:dyDescent="0.2">
      <c r="F184" s="9">
        <v>4816</v>
      </c>
      <c r="G184" s="5">
        <v>3683277</v>
      </c>
      <c r="H184" s="2">
        <f t="shared" si="1"/>
        <v>-3678461</v>
      </c>
    </row>
    <row r="185" spans="6:8" x14ac:dyDescent="0.2">
      <c r="F185" s="8">
        <v>5373</v>
      </c>
      <c r="G185" s="5">
        <v>3710488</v>
      </c>
      <c r="H185" s="2">
        <f t="shared" si="1"/>
        <v>-3705115</v>
      </c>
    </row>
    <row r="186" spans="6:8" x14ac:dyDescent="0.2">
      <c r="F186" s="9">
        <v>5566</v>
      </c>
      <c r="G186" s="5">
        <v>3728543</v>
      </c>
      <c r="H186" s="2">
        <f t="shared" si="1"/>
        <v>-3722977</v>
      </c>
    </row>
    <row r="187" spans="6:8" x14ac:dyDescent="0.2">
      <c r="F187" s="8">
        <v>5643</v>
      </c>
      <c r="G187" s="5">
        <v>4002566</v>
      </c>
      <c r="H187" s="2">
        <f t="shared" si="1"/>
        <v>-3996923</v>
      </c>
    </row>
    <row r="188" spans="6:8" x14ac:dyDescent="0.2">
      <c r="F188" s="9">
        <v>5646</v>
      </c>
      <c r="G188" s="5">
        <v>4165030</v>
      </c>
      <c r="H188" s="2">
        <f t="shared" si="1"/>
        <v>-4159384</v>
      </c>
    </row>
    <row r="189" spans="6:8" x14ac:dyDescent="0.2">
      <c r="F189" s="8">
        <v>6003</v>
      </c>
      <c r="G189" s="5">
        <v>4528884</v>
      </c>
      <c r="H189" s="2">
        <f t="shared" si="1"/>
        <v>-4522881</v>
      </c>
    </row>
    <row r="190" spans="6:8" x14ac:dyDescent="0.2">
      <c r="F190" s="9">
        <v>6875</v>
      </c>
      <c r="G190" s="5">
        <v>6317299</v>
      </c>
      <c r="H190" s="2">
        <f t="shared" si="1"/>
        <v>-6310424</v>
      </c>
    </row>
    <row r="191" spans="6:8" x14ac:dyDescent="0.2">
      <c r="F191" s="8">
        <v>8016</v>
      </c>
      <c r="G191" s="5">
        <v>6340829</v>
      </c>
      <c r="H191" s="2">
        <f t="shared" si="1"/>
        <v>-6332813</v>
      </c>
    </row>
    <row r="192" spans="6:8" x14ac:dyDescent="0.2">
      <c r="F192" s="9">
        <v>9790</v>
      </c>
      <c r="G192" s="5">
        <v>6515486</v>
      </c>
      <c r="H192" s="2">
        <f t="shared" si="1"/>
        <v>-6505696</v>
      </c>
    </row>
    <row r="193" spans="6:8" x14ac:dyDescent="0.2">
      <c r="F193" s="8">
        <v>11230</v>
      </c>
      <c r="G193" s="5">
        <v>7587169</v>
      </c>
      <c r="H193" s="2">
        <f t="shared" si="1"/>
        <v>-7575939</v>
      </c>
    </row>
    <row r="194" spans="6:8" x14ac:dyDescent="0.2">
      <c r="F194" s="9">
        <v>11619</v>
      </c>
      <c r="G194" s="5">
        <v>17784952</v>
      </c>
      <c r="H194" s="2">
        <f t="shared" si="1"/>
        <v>-17773333</v>
      </c>
    </row>
    <row r="195" spans="6:8" x14ac:dyDescent="0.2">
      <c r="F195" s="8">
        <v>11620</v>
      </c>
      <c r="G195" s="5">
        <v>19264259</v>
      </c>
      <c r="H195" s="2">
        <f t="shared" si="1"/>
        <v>-19252639</v>
      </c>
    </row>
    <row r="196" spans="6:8" x14ac:dyDescent="0.2">
      <c r="F196" s="9">
        <v>11647</v>
      </c>
      <c r="G196" s="5">
        <v>22233263</v>
      </c>
      <c r="H196" s="2">
        <f t="shared" si="1"/>
        <v>-22221616</v>
      </c>
    </row>
    <row r="197" spans="6:8" x14ac:dyDescent="0.2">
      <c r="F197" s="8">
        <v>11650</v>
      </c>
      <c r="G197" s="5">
        <v>22741304</v>
      </c>
      <c r="H197" s="2">
        <f t="shared" si="1"/>
        <v>-22729654</v>
      </c>
    </row>
    <row r="198" spans="6:8" x14ac:dyDescent="0.2">
      <c r="F198" s="9">
        <v>11756</v>
      </c>
      <c r="G198" s="5">
        <v>34151565</v>
      </c>
      <c r="H198" s="2">
        <f t="shared" si="1"/>
        <v>-34139809</v>
      </c>
    </row>
    <row r="199" spans="6:8" x14ac:dyDescent="0.2">
      <c r="F199" s="8">
        <v>11926</v>
      </c>
      <c r="G199" s="5">
        <v>57684036</v>
      </c>
      <c r="H199" s="2">
        <f t="shared" si="1"/>
        <v>-57672110</v>
      </c>
    </row>
    <row r="200" spans="6:8" x14ac:dyDescent="0.2">
      <c r="F200" s="9">
        <v>12028</v>
      </c>
      <c r="G200" s="5">
        <v>63116264</v>
      </c>
      <c r="H200" s="2">
        <f t="shared" si="1"/>
        <v>-63104236</v>
      </c>
    </row>
    <row r="201" spans="6:8" x14ac:dyDescent="0.2">
      <c r="F201" s="8">
        <v>13651</v>
      </c>
      <c r="G201" s="5">
        <v>63713980</v>
      </c>
      <c r="H201" s="2">
        <f t="shared" si="1"/>
        <v>-63700329</v>
      </c>
    </row>
    <row r="202" spans="6:8" x14ac:dyDescent="0.2">
      <c r="F202" s="9">
        <v>14141</v>
      </c>
      <c r="G202" s="5">
        <v>75245862</v>
      </c>
      <c r="H202" s="2">
        <f t="shared" si="1"/>
        <v>-75231721</v>
      </c>
    </row>
    <row r="203" spans="6:8" x14ac:dyDescent="0.2">
      <c r="F203" s="8">
        <v>15788</v>
      </c>
      <c r="G203" s="5">
        <v>75696338</v>
      </c>
      <c r="H203" s="2">
        <f t="shared" si="1"/>
        <v>-75680550</v>
      </c>
    </row>
    <row r="204" spans="6:8" x14ac:dyDescent="0.2">
      <c r="F204" s="9">
        <v>15810</v>
      </c>
      <c r="G204" s="5">
        <v>75839577</v>
      </c>
      <c r="H204" s="2">
        <f t="shared" si="1"/>
        <v>-75823767</v>
      </c>
    </row>
    <row r="205" spans="6:8" x14ac:dyDescent="0.2">
      <c r="F205" s="8">
        <v>16847</v>
      </c>
      <c r="H205" s="2">
        <f t="shared" si="1"/>
        <v>16847</v>
      </c>
    </row>
    <row r="206" spans="6:8" x14ac:dyDescent="0.2">
      <c r="F206" s="9">
        <v>18217</v>
      </c>
      <c r="H206" s="2">
        <f t="shared" si="1"/>
        <v>18217</v>
      </c>
    </row>
    <row r="207" spans="6:8" x14ac:dyDescent="0.2">
      <c r="F207" s="8">
        <v>18350</v>
      </c>
      <c r="H207" s="2">
        <f t="shared" si="1"/>
        <v>18350</v>
      </c>
    </row>
    <row r="208" spans="6:8" x14ac:dyDescent="0.2">
      <c r="F208" s="9">
        <v>21080</v>
      </c>
      <c r="H208" s="2">
        <f t="shared" si="1"/>
        <v>21080</v>
      </c>
    </row>
    <row r="209" spans="6:8" x14ac:dyDescent="0.2">
      <c r="F209" s="8">
        <v>21225</v>
      </c>
      <c r="H209" s="2">
        <f t="shared" si="1"/>
        <v>21225</v>
      </c>
    </row>
    <row r="210" spans="6:8" x14ac:dyDescent="0.2">
      <c r="F210" s="9">
        <v>21341</v>
      </c>
      <c r="H210" s="2">
        <f t="shared" si="1"/>
        <v>21341</v>
      </c>
    </row>
    <row r="211" spans="6:8" x14ac:dyDescent="0.2">
      <c r="F211" s="8">
        <v>23422</v>
      </c>
      <c r="H211" s="2">
        <f t="shared" si="1"/>
        <v>23422</v>
      </c>
    </row>
    <row r="212" spans="6:8" x14ac:dyDescent="0.2">
      <c r="F212" s="9">
        <v>24505</v>
      </c>
      <c r="H212" s="2">
        <f t="shared" si="1"/>
        <v>24505</v>
      </c>
    </row>
    <row r="213" spans="6:8" x14ac:dyDescent="0.2">
      <c r="F213" s="8">
        <v>25928</v>
      </c>
      <c r="H213" s="2">
        <f t="shared" si="1"/>
        <v>25928</v>
      </c>
    </row>
    <row r="214" spans="6:8" x14ac:dyDescent="0.2">
      <c r="F214" s="9">
        <v>25947</v>
      </c>
      <c r="H214" s="2">
        <f t="shared" si="1"/>
        <v>25947</v>
      </c>
    </row>
    <row r="215" spans="6:8" x14ac:dyDescent="0.2">
      <c r="F215" s="8">
        <v>28590</v>
      </c>
      <c r="H215" s="2">
        <f t="shared" si="1"/>
        <v>28590</v>
      </c>
    </row>
    <row r="216" spans="6:8" x14ac:dyDescent="0.2">
      <c r="F216" s="9">
        <v>29865</v>
      </c>
      <c r="H216" s="2">
        <f t="shared" si="1"/>
        <v>29865</v>
      </c>
    </row>
    <row r="217" spans="6:8" x14ac:dyDescent="0.2">
      <c r="F217" s="8">
        <v>30080</v>
      </c>
      <c r="H217" s="2">
        <f t="shared" si="1"/>
        <v>30080</v>
      </c>
    </row>
    <row r="218" spans="6:8" x14ac:dyDescent="0.2">
      <c r="F218" s="9">
        <v>30326</v>
      </c>
      <c r="H218" s="2">
        <f t="shared" si="1"/>
        <v>30326</v>
      </c>
    </row>
    <row r="219" spans="6:8" x14ac:dyDescent="0.2">
      <c r="F219" s="8">
        <v>31500</v>
      </c>
      <c r="H219" s="2">
        <f t="shared" si="1"/>
        <v>31500</v>
      </c>
    </row>
    <row r="220" spans="6:8" x14ac:dyDescent="0.2">
      <c r="F220" s="9">
        <v>32694</v>
      </c>
      <c r="H220" s="2">
        <f t="shared" si="1"/>
        <v>32694</v>
      </c>
    </row>
    <row r="221" spans="6:8" x14ac:dyDescent="0.2">
      <c r="F221" s="8">
        <v>32949</v>
      </c>
      <c r="H221" s="2">
        <f t="shared" si="1"/>
        <v>32949</v>
      </c>
    </row>
    <row r="222" spans="6:8" x14ac:dyDescent="0.2">
      <c r="F222" s="9">
        <v>33024</v>
      </c>
      <c r="H222" s="2">
        <f t="shared" si="1"/>
        <v>33024</v>
      </c>
    </row>
    <row r="223" spans="6:8" x14ac:dyDescent="0.2">
      <c r="F223" s="8">
        <v>35107</v>
      </c>
      <c r="H223" s="2">
        <f t="shared" si="1"/>
        <v>35107</v>
      </c>
    </row>
    <row r="224" spans="6:8" x14ac:dyDescent="0.2">
      <c r="F224" s="9">
        <v>35907</v>
      </c>
      <c r="H224" s="2">
        <f t="shared" si="1"/>
        <v>35907</v>
      </c>
    </row>
    <row r="225" spans="6:8" x14ac:dyDescent="0.2">
      <c r="F225" s="8">
        <v>42311</v>
      </c>
      <c r="H225" s="2">
        <f t="shared" si="1"/>
        <v>42311</v>
      </c>
    </row>
    <row r="226" spans="6:8" x14ac:dyDescent="0.2">
      <c r="F226" s="9">
        <v>42405</v>
      </c>
      <c r="H226" s="2">
        <f t="shared" si="1"/>
        <v>42405</v>
      </c>
    </row>
    <row r="227" spans="6:8" x14ac:dyDescent="0.2">
      <c r="F227" s="8">
        <v>42516</v>
      </c>
      <c r="H227" s="2">
        <f t="shared" si="1"/>
        <v>42516</v>
      </c>
    </row>
    <row r="228" spans="6:8" x14ac:dyDescent="0.2">
      <c r="F228" s="9">
        <v>42634</v>
      </c>
      <c r="H228" s="2">
        <f t="shared" si="1"/>
        <v>42634</v>
      </c>
    </row>
    <row r="229" spans="6:8" x14ac:dyDescent="0.2">
      <c r="F229" s="8">
        <v>42704</v>
      </c>
      <c r="H229" s="2">
        <f t="shared" si="1"/>
        <v>42704</v>
      </c>
    </row>
    <row r="230" spans="6:8" x14ac:dyDescent="0.2">
      <c r="F230" s="9">
        <v>44215</v>
      </c>
      <c r="H230" s="2">
        <f t="shared" ref="H230:H293" si="2">F230-G230</f>
        <v>44215</v>
      </c>
    </row>
    <row r="231" spans="6:8" x14ac:dyDescent="0.2">
      <c r="F231" s="8">
        <v>49033</v>
      </c>
      <c r="H231" s="2">
        <f t="shared" si="2"/>
        <v>49033</v>
      </c>
    </row>
    <row r="232" spans="6:8" x14ac:dyDescent="0.2">
      <c r="F232" s="9">
        <v>49090</v>
      </c>
      <c r="H232" s="2">
        <f t="shared" si="2"/>
        <v>49090</v>
      </c>
    </row>
    <row r="233" spans="6:8" x14ac:dyDescent="0.2">
      <c r="F233" s="8">
        <v>49105</v>
      </c>
      <c r="H233" s="2">
        <f t="shared" si="2"/>
        <v>49105</v>
      </c>
    </row>
    <row r="234" spans="6:8" x14ac:dyDescent="0.2">
      <c r="F234" s="9">
        <v>49356</v>
      </c>
      <c r="H234" s="2">
        <f t="shared" si="2"/>
        <v>49356</v>
      </c>
    </row>
    <row r="235" spans="6:8" x14ac:dyDescent="0.2">
      <c r="F235" s="8">
        <v>49448</v>
      </c>
      <c r="H235" s="2">
        <f t="shared" si="2"/>
        <v>49448</v>
      </c>
    </row>
    <row r="236" spans="6:8" x14ac:dyDescent="0.2">
      <c r="F236" s="9">
        <v>49502</v>
      </c>
      <c r="H236" s="2">
        <f t="shared" si="2"/>
        <v>49502</v>
      </c>
    </row>
    <row r="237" spans="6:8" x14ac:dyDescent="0.2">
      <c r="F237" s="8">
        <v>52669</v>
      </c>
      <c r="H237" s="2">
        <f t="shared" si="2"/>
        <v>52669</v>
      </c>
    </row>
    <row r="238" spans="6:8" x14ac:dyDescent="0.2">
      <c r="F238" s="9">
        <v>52676</v>
      </c>
      <c r="H238" s="2">
        <f t="shared" si="2"/>
        <v>52676</v>
      </c>
    </row>
    <row r="239" spans="6:8" x14ac:dyDescent="0.2">
      <c r="F239" s="8">
        <v>52738</v>
      </c>
      <c r="H239" s="2">
        <f t="shared" si="2"/>
        <v>52738</v>
      </c>
    </row>
    <row r="240" spans="6:8" x14ac:dyDescent="0.2">
      <c r="F240" s="9">
        <v>52815</v>
      </c>
      <c r="H240" s="2">
        <f t="shared" si="2"/>
        <v>52815</v>
      </c>
    </row>
    <row r="241" spans="6:8" x14ac:dyDescent="0.2">
      <c r="F241" s="8">
        <v>54588</v>
      </c>
      <c r="H241" s="2">
        <f t="shared" si="2"/>
        <v>54588</v>
      </c>
    </row>
    <row r="242" spans="6:8" x14ac:dyDescent="0.2">
      <c r="F242" s="9">
        <v>57238</v>
      </c>
      <c r="H242" s="2">
        <f t="shared" si="2"/>
        <v>57238</v>
      </c>
    </row>
    <row r="243" spans="6:8" x14ac:dyDescent="0.2">
      <c r="F243" s="8">
        <v>60092</v>
      </c>
      <c r="H243" s="2">
        <f t="shared" si="2"/>
        <v>60092</v>
      </c>
    </row>
    <row r="244" spans="6:8" x14ac:dyDescent="0.2">
      <c r="F244" s="9">
        <v>60101</v>
      </c>
      <c r="H244" s="2">
        <f t="shared" si="2"/>
        <v>60101</v>
      </c>
    </row>
    <row r="245" spans="6:8" x14ac:dyDescent="0.2">
      <c r="F245" s="8">
        <v>70192</v>
      </c>
      <c r="H245" s="2">
        <f t="shared" si="2"/>
        <v>70192</v>
      </c>
    </row>
    <row r="246" spans="6:8" x14ac:dyDescent="0.2">
      <c r="F246" s="9">
        <v>83363</v>
      </c>
      <c r="H246" s="2">
        <f t="shared" si="2"/>
        <v>83363</v>
      </c>
    </row>
    <row r="247" spans="6:8" x14ac:dyDescent="0.2">
      <c r="F247" s="8">
        <v>83711</v>
      </c>
      <c r="H247" s="2">
        <f t="shared" si="2"/>
        <v>83711</v>
      </c>
    </row>
    <row r="248" spans="6:8" x14ac:dyDescent="0.2">
      <c r="F248" s="9">
        <v>84087</v>
      </c>
      <c r="H248" s="2">
        <f t="shared" si="2"/>
        <v>84087</v>
      </c>
    </row>
    <row r="249" spans="6:8" x14ac:dyDescent="0.2">
      <c r="F249" s="8">
        <v>84364</v>
      </c>
      <c r="H249" s="2">
        <f t="shared" si="2"/>
        <v>84364</v>
      </c>
    </row>
    <row r="250" spans="6:8" x14ac:dyDescent="0.2">
      <c r="F250" s="9">
        <v>90043</v>
      </c>
      <c r="H250" s="2">
        <f t="shared" si="2"/>
        <v>90043</v>
      </c>
    </row>
    <row r="251" spans="6:8" x14ac:dyDescent="0.2">
      <c r="F251" s="8">
        <v>92970</v>
      </c>
      <c r="H251" s="2">
        <f t="shared" si="2"/>
        <v>92970</v>
      </c>
    </row>
    <row r="252" spans="6:8" x14ac:dyDescent="0.2">
      <c r="F252" s="9">
        <v>95810</v>
      </c>
      <c r="H252" s="2">
        <f t="shared" si="2"/>
        <v>95810</v>
      </c>
    </row>
    <row r="253" spans="6:8" x14ac:dyDescent="0.2">
      <c r="F253" s="8">
        <v>105625</v>
      </c>
      <c r="H253" s="2">
        <f t="shared" si="2"/>
        <v>105625</v>
      </c>
    </row>
    <row r="254" spans="6:8" x14ac:dyDescent="0.2">
      <c r="F254" s="9">
        <v>105713</v>
      </c>
      <c r="H254" s="2">
        <f t="shared" si="2"/>
        <v>105713</v>
      </c>
    </row>
    <row r="255" spans="6:8" x14ac:dyDescent="0.2">
      <c r="F255" s="8">
        <v>137760</v>
      </c>
      <c r="H255" s="2">
        <f t="shared" si="2"/>
        <v>137760</v>
      </c>
    </row>
    <row r="256" spans="6:8" x14ac:dyDescent="0.2">
      <c r="F256" s="9">
        <v>146073</v>
      </c>
      <c r="H256" s="2">
        <f t="shared" si="2"/>
        <v>146073</v>
      </c>
    </row>
    <row r="257" spans="6:8" x14ac:dyDescent="0.2">
      <c r="F257" s="8">
        <v>146277</v>
      </c>
      <c r="H257" s="2">
        <f t="shared" si="2"/>
        <v>146277</v>
      </c>
    </row>
    <row r="258" spans="6:8" x14ac:dyDescent="0.2">
      <c r="F258" s="9">
        <v>154622</v>
      </c>
      <c r="H258" s="2">
        <f t="shared" si="2"/>
        <v>154622</v>
      </c>
    </row>
    <row r="259" spans="6:8" x14ac:dyDescent="0.2">
      <c r="F259" s="8">
        <v>166249</v>
      </c>
      <c r="H259" s="2">
        <f t="shared" si="2"/>
        <v>166249</v>
      </c>
    </row>
    <row r="260" spans="6:8" x14ac:dyDescent="0.2">
      <c r="F260" s="9">
        <v>168216</v>
      </c>
      <c r="H260" s="2">
        <f t="shared" si="2"/>
        <v>168216</v>
      </c>
    </row>
    <row r="261" spans="6:8" x14ac:dyDescent="0.2">
      <c r="F261" s="8">
        <v>170284</v>
      </c>
      <c r="H261" s="2">
        <f t="shared" si="2"/>
        <v>170284</v>
      </c>
    </row>
    <row r="262" spans="6:8" x14ac:dyDescent="0.2">
      <c r="F262" s="9">
        <v>170606</v>
      </c>
      <c r="H262" s="2">
        <f t="shared" si="2"/>
        <v>170606</v>
      </c>
    </row>
    <row r="263" spans="6:8" x14ac:dyDescent="0.2">
      <c r="F263" s="8">
        <v>171119</v>
      </c>
      <c r="H263" s="2">
        <f t="shared" si="2"/>
        <v>171119</v>
      </c>
    </row>
    <row r="264" spans="6:8" x14ac:dyDescent="0.2">
      <c r="F264" s="9">
        <v>171651</v>
      </c>
      <c r="H264" s="2">
        <f t="shared" si="2"/>
        <v>171651</v>
      </c>
    </row>
    <row r="265" spans="6:8" x14ac:dyDescent="0.2">
      <c r="F265" s="8">
        <v>172150</v>
      </c>
      <c r="H265" s="2">
        <f t="shared" si="2"/>
        <v>172150</v>
      </c>
    </row>
    <row r="266" spans="6:8" x14ac:dyDescent="0.2">
      <c r="F266" s="9">
        <v>245522</v>
      </c>
      <c r="H266" s="2">
        <f t="shared" si="2"/>
        <v>245522</v>
      </c>
    </row>
    <row r="267" spans="6:8" x14ac:dyDescent="0.2">
      <c r="F267" s="8">
        <v>466330</v>
      </c>
      <c r="H267" s="2">
        <f t="shared" si="2"/>
        <v>466330</v>
      </c>
    </row>
    <row r="268" spans="6:8" x14ac:dyDescent="0.2">
      <c r="F268" s="9">
        <v>473748</v>
      </c>
      <c r="H268" s="2">
        <f t="shared" si="2"/>
        <v>473748</v>
      </c>
    </row>
    <row r="269" spans="6:8" x14ac:dyDescent="0.2">
      <c r="F269" s="8">
        <v>500596</v>
      </c>
      <c r="H269" s="2">
        <f t="shared" si="2"/>
        <v>500596</v>
      </c>
    </row>
    <row r="270" spans="6:8" x14ac:dyDescent="0.2">
      <c r="F270" s="9">
        <v>501863</v>
      </c>
      <c r="H270" s="2">
        <f t="shared" si="2"/>
        <v>501863</v>
      </c>
    </row>
    <row r="271" spans="6:8" x14ac:dyDescent="0.2">
      <c r="F271" s="8">
        <v>644945</v>
      </c>
      <c r="H271" s="2">
        <f t="shared" si="2"/>
        <v>644945</v>
      </c>
    </row>
    <row r="272" spans="6:8" x14ac:dyDescent="0.2">
      <c r="F272" s="9">
        <v>705524</v>
      </c>
      <c r="H272" s="2">
        <f t="shared" si="2"/>
        <v>705524</v>
      </c>
    </row>
    <row r="273" spans="6:8" x14ac:dyDescent="0.2">
      <c r="F273" s="8">
        <v>862926</v>
      </c>
      <c r="H273" s="2">
        <f t="shared" si="2"/>
        <v>862926</v>
      </c>
    </row>
    <row r="274" spans="6:8" x14ac:dyDescent="0.2">
      <c r="F274" s="9">
        <v>1171999</v>
      </c>
      <c r="H274" s="2">
        <f t="shared" si="2"/>
        <v>1171999</v>
      </c>
    </row>
    <row r="275" spans="6:8" x14ac:dyDescent="0.2">
      <c r="F275" s="8">
        <v>1180680</v>
      </c>
      <c r="H275" s="2">
        <f t="shared" si="2"/>
        <v>1180680</v>
      </c>
    </row>
    <row r="276" spans="6:8" x14ac:dyDescent="0.2">
      <c r="F276" s="9">
        <v>1187213</v>
      </c>
      <c r="H276" s="2">
        <f t="shared" si="2"/>
        <v>1187213</v>
      </c>
    </row>
    <row r="277" spans="6:8" x14ac:dyDescent="0.2">
      <c r="F277" s="8">
        <v>1195920</v>
      </c>
      <c r="H277" s="2">
        <f t="shared" si="2"/>
        <v>1195920</v>
      </c>
    </row>
    <row r="278" spans="6:8" x14ac:dyDescent="0.2">
      <c r="F278" s="9">
        <v>1207973</v>
      </c>
      <c r="H278" s="2">
        <f t="shared" si="2"/>
        <v>1207973</v>
      </c>
    </row>
    <row r="279" spans="6:8" x14ac:dyDescent="0.2">
      <c r="F279" s="8">
        <v>1296878</v>
      </c>
      <c r="H279" s="2">
        <f t="shared" si="2"/>
        <v>1296878</v>
      </c>
    </row>
    <row r="280" spans="6:8" x14ac:dyDescent="0.2">
      <c r="F280" s="9">
        <v>1791413</v>
      </c>
      <c r="H280" s="2">
        <f t="shared" si="2"/>
        <v>1791413</v>
      </c>
    </row>
    <row r="281" spans="6:8" x14ac:dyDescent="0.2">
      <c r="F281" s="8">
        <v>1791697</v>
      </c>
      <c r="H281" s="2">
        <f t="shared" si="2"/>
        <v>1791697</v>
      </c>
    </row>
    <row r="282" spans="6:8" x14ac:dyDescent="0.2">
      <c r="F282" s="9">
        <v>1805751</v>
      </c>
      <c r="H282" s="2">
        <f t="shared" si="2"/>
        <v>1805751</v>
      </c>
    </row>
    <row r="283" spans="6:8" x14ac:dyDescent="0.2">
      <c r="F283" s="8">
        <v>3116208</v>
      </c>
      <c r="H283" s="2">
        <f t="shared" si="2"/>
        <v>3116208</v>
      </c>
    </row>
    <row r="284" spans="6:8" x14ac:dyDescent="0.2">
      <c r="F284" s="9">
        <v>3521041</v>
      </c>
      <c r="H284" s="2">
        <f t="shared" si="2"/>
        <v>3521041</v>
      </c>
    </row>
    <row r="285" spans="6:8" x14ac:dyDescent="0.2">
      <c r="F285" s="8">
        <v>3710488</v>
      </c>
      <c r="H285" s="2">
        <f t="shared" si="2"/>
        <v>3710488</v>
      </c>
    </row>
    <row r="286" spans="6:8" x14ac:dyDescent="0.2">
      <c r="F286" s="9">
        <v>3728543</v>
      </c>
      <c r="H286" s="2">
        <f t="shared" si="2"/>
        <v>3728543</v>
      </c>
    </row>
    <row r="287" spans="6:8" x14ac:dyDescent="0.2">
      <c r="F287" s="8">
        <v>5056896</v>
      </c>
      <c r="H287" s="2">
        <f t="shared" si="2"/>
        <v>5056896</v>
      </c>
    </row>
    <row r="288" spans="6:8" x14ac:dyDescent="0.2">
      <c r="F288" s="9">
        <v>5094606</v>
      </c>
      <c r="H288" s="2">
        <f t="shared" si="2"/>
        <v>5094606</v>
      </c>
    </row>
    <row r="289" spans="6:8" x14ac:dyDescent="0.2">
      <c r="F289" s="8">
        <v>6414427</v>
      </c>
      <c r="H289" s="2">
        <f t="shared" si="2"/>
        <v>6414427</v>
      </c>
    </row>
    <row r="290" spans="6:8" x14ac:dyDescent="0.2">
      <c r="F290" s="9">
        <v>6446328</v>
      </c>
      <c r="H290" s="2">
        <f t="shared" si="2"/>
        <v>6446328</v>
      </c>
    </row>
    <row r="291" spans="6:8" x14ac:dyDescent="0.2">
      <c r="F291" s="8">
        <v>6515486</v>
      </c>
      <c r="H291" s="2">
        <f t="shared" si="2"/>
        <v>6515486</v>
      </c>
    </row>
    <row r="292" spans="6:8" x14ac:dyDescent="0.2">
      <c r="F292" s="9">
        <v>6597888</v>
      </c>
      <c r="H292" s="2">
        <f t="shared" si="2"/>
        <v>6597888</v>
      </c>
    </row>
    <row r="293" spans="6:8" x14ac:dyDescent="0.2">
      <c r="F293" s="8">
        <v>6598289</v>
      </c>
      <c r="H293" s="2">
        <f t="shared" si="2"/>
        <v>6598289</v>
      </c>
    </row>
    <row r="294" spans="6:8" x14ac:dyDescent="0.2">
      <c r="F294" s="9">
        <v>6931318</v>
      </c>
      <c r="H294" s="2">
        <f t="shared" ref="H294:H299" si="3">F294-G294</f>
        <v>6931318</v>
      </c>
    </row>
    <row r="295" spans="6:8" x14ac:dyDescent="0.2">
      <c r="F295" s="8">
        <v>6971098</v>
      </c>
      <c r="H295" s="2">
        <f t="shared" si="3"/>
        <v>6971098</v>
      </c>
    </row>
    <row r="296" spans="6:8" x14ac:dyDescent="0.2">
      <c r="F296" s="9">
        <v>8301042</v>
      </c>
      <c r="H296" s="2">
        <f t="shared" si="3"/>
        <v>8301042</v>
      </c>
    </row>
    <row r="297" spans="6:8" x14ac:dyDescent="0.2">
      <c r="F297" s="8">
        <v>8361398</v>
      </c>
      <c r="H297" s="2">
        <f t="shared" si="3"/>
        <v>8361398</v>
      </c>
    </row>
    <row r="298" spans="6:8" x14ac:dyDescent="0.2">
      <c r="F298" s="9">
        <v>9390865</v>
      </c>
      <c r="H298" s="2">
        <f t="shared" si="3"/>
        <v>9390865</v>
      </c>
    </row>
    <row r="299" spans="6:8" x14ac:dyDescent="0.2">
      <c r="F299" s="8">
        <v>10555298</v>
      </c>
      <c r="H299" s="2">
        <f t="shared" si="3"/>
        <v>10555298</v>
      </c>
    </row>
  </sheetData>
  <autoFilter ref="A3:Q98" xr:uid="{9A1C0C49-512E-4494-9EE5-8E9B47A86FD2}">
    <filterColumn colId="3">
      <filters>
        <filter val="Fac.A"/>
      </filters>
    </filterColumn>
    <sortState xmlns:xlrd2="http://schemas.microsoft.com/office/spreadsheetml/2017/richdata2" ref="A4:Q97">
      <sortCondition ref="F3:F98"/>
    </sortState>
  </autoFilter>
  <dataValidations count="1">
    <dataValidation type="whole" allowBlank="1" showInputMessage="1" showErrorMessage="1" sqref="F101:F299" xr:uid="{104B5FCE-A2BD-47C3-8720-D1D29F325F17}">
      <formula1>1</formula1>
      <formula2>99999999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Compras 03-2026</vt:lpstr>
      <vt:lpstr>Compras 03-2026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Usuario</cp:lastModifiedBy>
  <cp:revision>1</cp:revision>
  <dcterms:modified xsi:type="dcterms:W3CDTF">2026-04-14T15:29:24Z</dcterms:modified>
  <dc:language>es-AR</dc:language>
</cp:coreProperties>
</file>