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drawings/drawing3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drawings/drawing4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drawings/drawing5.xml" ContentType="application/vnd.openxmlformats-officedocument.drawing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drawings/drawing6.xml" ContentType="application/vnd.openxmlformats-officedocument.drawing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drawings/drawing7.xml" ContentType="application/vnd.openxmlformats-officedocument.drawing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drawings/drawing8.xml" ContentType="application/vnd.openxmlformats-officedocument.drawing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drawings/drawing9.xml" ContentType="application/vnd.openxmlformats-officedocument.drawing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drawings/drawing10.xml" ContentType="application/vnd.openxmlformats-officedocument.drawing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drawings/drawing11.xml" ContentType="application/vnd.openxmlformats-officedocument.drawing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drawings/drawing12.xml" ContentType="application/vnd.openxmlformats-officedocument.drawing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drawings/drawing13.xml" ContentType="application/vnd.openxmlformats-officedocument.drawing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01. EMPRESAS\EUROARGENTINA S.A\02. COMPRAS Y VENTAS\COMPRAS VENTAS 2026\"/>
    </mc:Choice>
  </mc:AlternateContent>
  <xr:revisionPtr revIDLastSave="0" documentId="13_ncr:1_{BC6EDC87-6471-4D77-B522-7BBF29337C6E}" xr6:coauthVersionLast="47" xr6:coauthVersionMax="47" xr10:uidLastSave="{00000000-0000-0000-0000-000000000000}"/>
  <bookViews>
    <workbookView xWindow="-120" yWindow="-120" windowWidth="29040" windowHeight="15840" firstSheet="5" activeTab="12" xr2:uid="{00000000-000D-0000-FFFF-FFFF00000000}"/>
  </bookViews>
  <sheets>
    <sheet name="01-2025" sheetId="18" r:id="rId1"/>
    <sheet name="02-2025" sheetId="20" r:id="rId2"/>
    <sheet name="03-2025" sheetId="21" r:id="rId3"/>
    <sheet name="04-2025" sheetId="22" r:id="rId4"/>
    <sheet name="05-2025" sheetId="24" r:id="rId5"/>
    <sheet name="06-2025" sheetId="25" r:id="rId6"/>
    <sheet name="07-2025" sheetId="26" r:id="rId7"/>
    <sheet name="08-2025" sheetId="27" r:id="rId8"/>
    <sheet name="09-2025" sheetId="28" r:id="rId9"/>
    <sheet name="10-2025" sheetId="29" r:id="rId10"/>
    <sheet name="11-2025" sheetId="30" r:id="rId11"/>
    <sheet name="12-2025" sheetId="31" r:id="rId12"/>
    <sheet name="01-2026" sheetId="3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32" l="1"/>
  <c r="J13" i="32"/>
  <c r="K12" i="32"/>
  <c r="K78" i="32"/>
  <c r="M78" i="32"/>
  <c r="L78" i="32"/>
  <c r="I78" i="32"/>
  <c r="S77" i="32"/>
  <c r="R77" i="32"/>
  <c r="O77" i="32"/>
  <c r="J77" i="32"/>
  <c r="P76" i="32"/>
  <c r="J76" i="32"/>
  <c r="P75" i="32"/>
  <c r="J75" i="32"/>
  <c r="P74" i="32"/>
  <c r="J74" i="32"/>
  <c r="P73" i="32"/>
  <c r="J73" i="32"/>
  <c r="P72" i="32"/>
  <c r="J72" i="32"/>
  <c r="P71" i="32"/>
  <c r="J71" i="32"/>
  <c r="P70" i="32"/>
  <c r="J70" i="32"/>
  <c r="P69" i="32"/>
  <c r="J69" i="32"/>
  <c r="P68" i="32"/>
  <c r="J68" i="32"/>
  <c r="P67" i="32"/>
  <c r="J67" i="32"/>
  <c r="P66" i="32"/>
  <c r="J66" i="32"/>
  <c r="P65" i="32"/>
  <c r="J65" i="32"/>
  <c r="P64" i="32"/>
  <c r="J64" i="32"/>
  <c r="P63" i="32"/>
  <c r="J63" i="32"/>
  <c r="P62" i="32"/>
  <c r="J62" i="32"/>
  <c r="P61" i="32"/>
  <c r="J61" i="32"/>
  <c r="P60" i="32"/>
  <c r="J60" i="32"/>
  <c r="P59" i="32"/>
  <c r="J59" i="32"/>
  <c r="P58" i="32"/>
  <c r="J58" i="32"/>
  <c r="P57" i="32"/>
  <c r="J57" i="32"/>
  <c r="F57" i="32"/>
  <c r="E57" i="32"/>
  <c r="B57" i="32"/>
  <c r="P56" i="32"/>
  <c r="J56" i="32"/>
  <c r="C56" i="32"/>
  <c r="P55" i="32"/>
  <c r="J55" i="32"/>
  <c r="C55" i="32"/>
  <c r="P54" i="32"/>
  <c r="J54" i="32"/>
  <c r="C54" i="32"/>
  <c r="P53" i="32"/>
  <c r="J53" i="32"/>
  <c r="C53" i="32"/>
  <c r="P52" i="32"/>
  <c r="J52" i="32"/>
  <c r="C52" i="32"/>
  <c r="Y51" i="32"/>
  <c r="X51" i="32"/>
  <c r="W51" i="32"/>
  <c r="U51" i="32"/>
  <c r="P51" i="32"/>
  <c r="J51" i="32"/>
  <c r="C51" i="32"/>
  <c r="V50" i="32"/>
  <c r="P50" i="32"/>
  <c r="J50" i="32"/>
  <c r="C50" i="32"/>
  <c r="V49" i="32"/>
  <c r="P49" i="32"/>
  <c r="J49" i="32"/>
  <c r="C49" i="32"/>
  <c r="V48" i="32"/>
  <c r="P48" i="32"/>
  <c r="J48" i="32"/>
  <c r="C48" i="32"/>
  <c r="V47" i="32"/>
  <c r="P47" i="32"/>
  <c r="J47" i="32"/>
  <c r="C47" i="32"/>
  <c r="V46" i="32"/>
  <c r="P46" i="32"/>
  <c r="J46" i="32"/>
  <c r="C46" i="32"/>
  <c r="V45" i="32"/>
  <c r="P45" i="32"/>
  <c r="J45" i="32"/>
  <c r="C45" i="32"/>
  <c r="V44" i="32"/>
  <c r="P44" i="32"/>
  <c r="J44" i="32"/>
  <c r="C44" i="32"/>
  <c r="V43" i="32"/>
  <c r="P43" i="32"/>
  <c r="J43" i="32"/>
  <c r="C43" i="32"/>
  <c r="V42" i="32"/>
  <c r="P42" i="32"/>
  <c r="J42" i="32"/>
  <c r="C42" i="32"/>
  <c r="V41" i="32"/>
  <c r="P41" i="32"/>
  <c r="J41" i="32"/>
  <c r="C41" i="32"/>
  <c r="V40" i="32"/>
  <c r="P40" i="32"/>
  <c r="J40" i="32"/>
  <c r="C40" i="32"/>
  <c r="V39" i="32"/>
  <c r="P39" i="32"/>
  <c r="J39" i="32"/>
  <c r="C39" i="32"/>
  <c r="V38" i="32"/>
  <c r="P38" i="32"/>
  <c r="J38" i="32"/>
  <c r="C38" i="32"/>
  <c r="V37" i="32"/>
  <c r="P37" i="32"/>
  <c r="J37" i="32"/>
  <c r="C37" i="32"/>
  <c r="V36" i="32"/>
  <c r="P36" i="32"/>
  <c r="J36" i="32"/>
  <c r="C36" i="32"/>
  <c r="V35" i="32"/>
  <c r="P35" i="32"/>
  <c r="J35" i="32"/>
  <c r="C35" i="32"/>
  <c r="V34" i="32"/>
  <c r="P34" i="32"/>
  <c r="J34" i="32"/>
  <c r="C34" i="32"/>
  <c r="V33" i="32"/>
  <c r="P33" i="32"/>
  <c r="J33" i="32"/>
  <c r="C33" i="32"/>
  <c r="V32" i="32"/>
  <c r="P32" i="32"/>
  <c r="J32" i="32"/>
  <c r="C32" i="32"/>
  <c r="V31" i="32"/>
  <c r="P31" i="32"/>
  <c r="J31" i="32"/>
  <c r="C31" i="32"/>
  <c r="V30" i="32"/>
  <c r="P30" i="32"/>
  <c r="J30" i="32"/>
  <c r="C30" i="32"/>
  <c r="V29" i="32"/>
  <c r="P29" i="32"/>
  <c r="J29" i="32"/>
  <c r="C29" i="32"/>
  <c r="V28" i="32"/>
  <c r="P28" i="32"/>
  <c r="J28" i="32"/>
  <c r="C28" i="32"/>
  <c r="AE27" i="32"/>
  <c r="AD27" i="32"/>
  <c r="AC27" i="32"/>
  <c r="AA27" i="32"/>
  <c r="V27" i="32"/>
  <c r="P27" i="32"/>
  <c r="J27" i="32"/>
  <c r="C27" i="32"/>
  <c r="AB26" i="32"/>
  <c r="V26" i="32"/>
  <c r="P26" i="32"/>
  <c r="J26" i="32"/>
  <c r="C26" i="32"/>
  <c r="AB25" i="32"/>
  <c r="V25" i="32"/>
  <c r="P25" i="32"/>
  <c r="J25" i="32"/>
  <c r="C25" i="32"/>
  <c r="AB24" i="32"/>
  <c r="V24" i="32"/>
  <c r="P24" i="32"/>
  <c r="J24" i="32"/>
  <c r="C24" i="32"/>
  <c r="AB23" i="32"/>
  <c r="V23" i="32"/>
  <c r="P23" i="32"/>
  <c r="J23" i="32"/>
  <c r="C23" i="32"/>
  <c r="AB22" i="32"/>
  <c r="V22" i="32"/>
  <c r="P22" i="32"/>
  <c r="J22" i="32"/>
  <c r="C22" i="32"/>
  <c r="AB21" i="32"/>
  <c r="V21" i="32"/>
  <c r="P21" i="32"/>
  <c r="J21" i="32"/>
  <c r="C21" i="32"/>
  <c r="AB20" i="32"/>
  <c r="V20" i="32"/>
  <c r="P20" i="32"/>
  <c r="J20" i="32"/>
  <c r="C20" i="32"/>
  <c r="AB19" i="32"/>
  <c r="V19" i="32"/>
  <c r="P19" i="32"/>
  <c r="J19" i="32"/>
  <c r="C19" i="32"/>
  <c r="AB18" i="32"/>
  <c r="V18" i="32"/>
  <c r="P18" i="32"/>
  <c r="J18" i="32"/>
  <c r="C18" i="32"/>
  <c r="AB17" i="32"/>
  <c r="V17" i="32"/>
  <c r="P17" i="32"/>
  <c r="J17" i="32"/>
  <c r="C17" i="32"/>
  <c r="AB16" i="32"/>
  <c r="V16" i="32"/>
  <c r="P16" i="32"/>
  <c r="J16" i="32"/>
  <c r="C16" i="32"/>
  <c r="AB15" i="32"/>
  <c r="V15" i="32"/>
  <c r="P15" i="32"/>
  <c r="J15" i="32"/>
  <c r="C15" i="32"/>
  <c r="AB14" i="32"/>
  <c r="V14" i="32"/>
  <c r="P14" i="32"/>
  <c r="C14" i="32"/>
  <c r="AB13" i="32"/>
  <c r="V13" i="32"/>
  <c r="Q13" i="32"/>
  <c r="Q77" i="32" s="1"/>
  <c r="D13" i="32"/>
  <c r="D57" i="32" s="1"/>
  <c r="AB12" i="32"/>
  <c r="V12" i="32"/>
  <c r="P12" i="32"/>
  <c r="C12" i="32"/>
  <c r="G8" i="32"/>
  <c r="F8" i="32"/>
  <c r="E8" i="32"/>
  <c r="D8" i="32"/>
  <c r="C8" i="32"/>
  <c r="B4" i="32"/>
  <c r="B3" i="32"/>
  <c r="K13" i="31"/>
  <c r="K131" i="31"/>
  <c r="Q13" i="31"/>
  <c r="Q77" i="31"/>
  <c r="D13" i="31"/>
  <c r="D57" i="31"/>
  <c r="J12" i="31"/>
  <c r="C14" i="31"/>
  <c r="M131" i="31"/>
  <c r="L131" i="31"/>
  <c r="I131" i="31"/>
  <c r="J130" i="31"/>
  <c r="J118" i="31"/>
  <c r="J117" i="31"/>
  <c r="J116" i="31"/>
  <c r="J115" i="31"/>
  <c r="J114" i="31"/>
  <c r="J113" i="31"/>
  <c r="J112" i="31"/>
  <c r="J111" i="31"/>
  <c r="J110" i="31"/>
  <c r="J109" i="31"/>
  <c r="J108" i="31"/>
  <c r="J107" i="31"/>
  <c r="J106" i="31"/>
  <c r="J105" i="31"/>
  <c r="J104" i="31"/>
  <c r="J103" i="31"/>
  <c r="J102" i="31"/>
  <c r="J101" i="31"/>
  <c r="J100" i="31"/>
  <c r="J99" i="31"/>
  <c r="J98" i="31"/>
  <c r="J97" i="31"/>
  <c r="J96" i="31"/>
  <c r="J95" i="31"/>
  <c r="J94" i="31"/>
  <c r="J93" i="31"/>
  <c r="J92" i="31"/>
  <c r="J91" i="31"/>
  <c r="J90" i="31"/>
  <c r="J89" i="31"/>
  <c r="J88" i="31"/>
  <c r="J87" i="31"/>
  <c r="J86" i="31"/>
  <c r="J85" i="31"/>
  <c r="J84" i="31"/>
  <c r="J83" i="31"/>
  <c r="J82" i="31"/>
  <c r="J81" i="31"/>
  <c r="J80" i="31"/>
  <c r="J79" i="31"/>
  <c r="J78" i="31"/>
  <c r="S77" i="31"/>
  <c r="R77" i="31"/>
  <c r="J77" i="31"/>
  <c r="P76" i="31"/>
  <c r="J76" i="31"/>
  <c r="P75" i="31"/>
  <c r="J75" i="31"/>
  <c r="P74" i="31"/>
  <c r="J74" i="31"/>
  <c r="P73" i="31"/>
  <c r="J73" i="31"/>
  <c r="P72" i="31"/>
  <c r="J72" i="31"/>
  <c r="P71" i="31"/>
  <c r="J71" i="31"/>
  <c r="P70" i="31"/>
  <c r="J70" i="31"/>
  <c r="P69" i="31"/>
  <c r="J69" i="31"/>
  <c r="P68" i="31"/>
  <c r="J68" i="31"/>
  <c r="P67" i="31"/>
  <c r="J67" i="31"/>
  <c r="P66" i="31"/>
  <c r="J66" i="31"/>
  <c r="P65" i="31"/>
  <c r="J65" i="31"/>
  <c r="P64" i="31"/>
  <c r="J64" i="31"/>
  <c r="P63" i="31"/>
  <c r="J63" i="31"/>
  <c r="P62" i="31"/>
  <c r="J62" i="31"/>
  <c r="P61" i="31"/>
  <c r="J61" i="31"/>
  <c r="P60" i="31"/>
  <c r="J60" i="31"/>
  <c r="P59" i="31"/>
  <c r="J59" i="31"/>
  <c r="P58" i="31"/>
  <c r="J58" i="31"/>
  <c r="P57" i="31"/>
  <c r="J57" i="31"/>
  <c r="F57" i="31"/>
  <c r="E57" i="31"/>
  <c r="B57" i="31"/>
  <c r="P56" i="31"/>
  <c r="J56" i="31"/>
  <c r="C56" i="31"/>
  <c r="P55" i="31"/>
  <c r="J55" i="31"/>
  <c r="C55" i="31"/>
  <c r="P54" i="31"/>
  <c r="J54" i="31"/>
  <c r="C54" i="31"/>
  <c r="P53" i="31"/>
  <c r="J53" i="31"/>
  <c r="C53" i="31"/>
  <c r="P52" i="31"/>
  <c r="J52" i="31"/>
  <c r="C52" i="31"/>
  <c r="Y51" i="31"/>
  <c r="X51" i="31"/>
  <c r="W51" i="31"/>
  <c r="U51" i="31"/>
  <c r="P51" i="31"/>
  <c r="J51" i="31"/>
  <c r="C51" i="31"/>
  <c r="V50" i="31"/>
  <c r="P50" i="31"/>
  <c r="J50" i="31"/>
  <c r="C50" i="31"/>
  <c r="V49" i="31"/>
  <c r="P49" i="31"/>
  <c r="J49" i="31"/>
  <c r="C49" i="31"/>
  <c r="V48" i="31"/>
  <c r="P48" i="31"/>
  <c r="J48" i="31"/>
  <c r="C48" i="31"/>
  <c r="V47" i="31"/>
  <c r="P47" i="31"/>
  <c r="J47" i="31"/>
  <c r="C47" i="31"/>
  <c r="V46" i="31"/>
  <c r="P46" i="31"/>
  <c r="J46" i="31"/>
  <c r="C46" i="31"/>
  <c r="V45" i="31"/>
  <c r="P45" i="31"/>
  <c r="J45" i="31"/>
  <c r="C45" i="31"/>
  <c r="V44" i="31"/>
  <c r="P44" i="31"/>
  <c r="J44" i="31"/>
  <c r="C44" i="31"/>
  <c r="V43" i="31"/>
  <c r="P43" i="31"/>
  <c r="J43" i="31"/>
  <c r="C43" i="31"/>
  <c r="V42" i="31"/>
  <c r="P42" i="31"/>
  <c r="J42" i="31"/>
  <c r="C42" i="31"/>
  <c r="V41" i="31"/>
  <c r="P41" i="31"/>
  <c r="J41" i="31"/>
  <c r="C41" i="31"/>
  <c r="V40" i="31"/>
  <c r="P40" i="31"/>
  <c r="J40" i="31"/>
  <c r="C40" i="31"/>
  <c r="V39" i="31"/>
  <c r="P39" i="31"/>
  <c r="J39" i="31"/>
  <c r="C39" i="31"/>
  <c r="V38" i="31"/>
  <c r="P38" i="31"/>
  <c r="J38" i="31"/>
  <c r="C38" i="31"/>
  <c r="V37" i="31"/>
  <c r="P37" i="31"/>
  <c r="J37" i="31"/>
  <c r="C37" i="31"/>
  <c r="V36" i="31"/>
  <c r="P36" i="31"/>
  <c r="J36" i="31"/>
  <c r="C36" i="31"/>
  <c r="V35" i="31"/>
  <c r="P35" i="31"/>
  <c r="J35" i="31"/>
  <c r="C35" i="31"/>
  <c r="V34" i="31"/>
  <c r="P34" i="31"/>
  <c r="J34" i="31"/>
  <c r="C34" i="31"/>
  <c r="V33" i="31"/>
  <c r="P33" i="31"/>
  <c r="J33" i="31"/>
  <c r="C33" i="31"/>
  <c r="V32" i="31"/>
  <c r="P32" i="31"/>
  <c r="J32" i="31"/>
  <c r="C32" i="31"/>
  <c r="V31" i="31"/>
  <c r="P31" i="31"/>
  <c r="J31" i="31"/>
  <c r="C31" i="31"/>
  <c r="V30" i="31"/>
  <c r="P30" i="31"/>
  <c r="J30" i="31"/>
  <c r="C30" i="31"/>
  <c r="V29" i="31"/>
  <c r="P29" i="31"/>
  <c r="J29" i="31"/>
  <c r="C29" i="31"/>
  <c r="V28" i="31"/>
  <c r="P28" i="31"/>
  <c r="J28" i="31"/>
  <c r="C28" i="31"/>
  <c r="AE27" i="31"/>
  <c r="AD27" i="31"/>
  <c r="AC27" i="31"/>
  <c r="AA27" i="31"/>
  <c r="V27" i="31"/>
  <c r="P27" i="31"/>
  <c r="J27" i="31"/>
  <c r="C27" i="31"/>
  <c r="AB26" i="31"/>
  <c r="V26" i="31"/>
  <c r="P26" i="31"/>
  <c r="J26" i="31"/>
  <c r="C26" i="31"/>
  <c r="AB25" i="31"/>
  <c r="V25" i="31"/>
  <c r="P25" i="31"/>
  <c r="J25" i="31"/>
  <c r="C25" i="31"/>
  <c r="AB24" i="31"/>
  <c r="V24" i="31"/>
  <c r="P24" i="31"/>
  <c r="J24" i="31"/>
  <c r="C24" i="31"/>
  <c r="AB23" i="31"/>
  <c r="V23" i="31"/>
  <c r="P23" i="31"/>
  <c r="J23" i="31"/>
  <c r="C23" i="31"/>
  <c r="AB22" i="31"/>
  <c r="V22" i="31"/>
  <c r="P22" i="31"/>
  <c r="J22" i="31"/>
  <c r="C22" i="31"/>
  <c r="AB21" i="31"/>
  <c r="V21" i="31"/>
  <c r="P21" i="31"/>
  <c r="J21" i="31"/>
  <c r="C21" i="31"/>
  <c r="AB20" i="31"/>
  <c r="V20" i="31"/>
  <c r="P20" i="31"/>
  <c r="J20" i="31"/>
  <c r="C20" i="31"/>
  <c r="AB19" i="31"/>
  <c r="V19" i="31"/>
  <c r="P19" i="31"/>
  <c r="J19" i="31"/>
  <c r="C19" i="31"/>
  <c r="AB18" i="31"/>
  <c r="V18" i="31"/>
  <c r="P18" i="31"/>
  <c r="J18" i="31"/>
  <c r="C18" i="31"/>
  <c r="AB17" i="31"/>
  <c r="V17" i="31"/>
  <c r="P17" i="31"/>
  <c r="J17" i="31"/>
  <c r="C17" i="31"/>
  <c r="AB16" i="31"/>
  <c r="V16" i="31"/>
  <c r="P16" i="31"/>
  <c r="J16" i="31"/>
  <c r="C16" i="31"/>
  <c r="AB15" i="31"/>
  <c r="V15" i="31"/>
  <c r="P15" i="31"/>
  <c r="J15" i="31"/>
  <c r="C15" i="31"/>
  <c r="AB14" i="31"/>
  <c r="V14" i="31"/>
  <c r="P14" i="31"/>
  <c r="J14" i="31"/>
  <c r="AB13" i="31"/>
  <c r="V13" i="31"/>
  <c r="O77" i="31"/>
  <c r="AB12" i="31"/>
  <c r="V12" i="31"/>
  <c r="V51" i="31" s="1"/>
  <c r="P12" i="31"/>
  <c r="C12" i="31"/>
  <c r="G8" i="31"/>
  <c r="F8" i="31"/>
  <c r="E8" i="31"/>
  <c r="D8" i="31"/>
  <c r="C8" i="31"/>
  <c r="B4" i="31"/>
  <c r="B3" i="31"/>
  <c r="G8" i="30"/>
  <c r="F8" i="30"/>
  <c r="K12" i="30"/>
  <c r="K131" i="30" s="1"/>
  <c r="O13" i="30"/>
  <c r="B13" i="30"/>
  <c r="C15" i="30"/>
  <c r="M131" i="30"/>
  <c r="L131" i="30"/>
  <c r="I131" i="30"/>
  <c r="J130" i="30"/>
  <c r="J118" i="30"/>
  <c r="J117" i="30"/>
  <c r="J116" i="30"/>
  <c r="J115" i="30"/>
  <c r="J114" i="30"/>
  <c r="J113" i="30"/>
  <c r="J112" i="30"/>
  <c r="J111" i="30"/>
  <c r="J110" i="30"/>
  <c r="J109" i="30"/>
  <c r="J108" i="30"/>
  <c r="J107" i="30"/>
  <c r="J106" i="30"/>
  <c r="J105" i="30"/>
  <c r="J104" i="30"/>
  <c r="J103" i="30"/>
  <c r="J102" i="30"/>
  <c r="J101" i="30"/>
  <c r="J100" i="30"/>
  <c r="J99" i="30"/>
  <c r="J98" i="30"/>
  <c r="J97" i="30"/>
  <c r="J96" i="30"/>
  <c r="J95" i="30"/>
  <c r="J94" i="30"/>
  <c r="J93" i="30"/>
  <c r="J92" i="30"/>
  <c r="J91" i="30"/>
  <c r="J90" i="30"/>
  <c r="J89" i="30"/>
  <c r="J88" i="30"/>
  <c r="J87" i="30"/>
  <c r="J86" i="30"/>
  <c r="J85" i="30"/>
  <c r="J84" i="30"/>
  <c r="J83" i="30"/>
  <c r="J82" i="30"/>
  <c r="J81" i="30"/>
  <c r="J80" i="30"/>
  <c r="J79" i="30"/>
  <c r="J78" i="30"/>
  <c r="S77" i="30"/>
  <c r="R77" i="30"/>
  <c r="O77" i="30"/>
  <c r="J77" i="30"/>
  <c r="P76" i="30"/>
  <c r="J76" i="30"/>
  <c r="P75" i="30"/>
  <c r="J75" i="30"/>
  <c r="P74" i="30"/>
  <c r="J74" i="30"/>
  <c r="P73" i="30"/>
  <c r="J73" i="30"/>
  <c r="P72" i="30"/>
  <c r="J72" i="30"/>
  <c r="P71" i="30"/>
  <c r="J71" i="30"/>
  <c r="P70" i="30"/>
  <c r="J70" i="30"/>
  <c r="P69" i="30"/>
  <c r="J69" i="30"/>
  <c r="P68" i="30"/>
  <c r="J68" i="30"/>
  <c r="P67" i="30"/>
  <c r="J67" i="30"/>
  <c r="P66" i="30"/>
  <c r="J66" i="30"/>
  <c r="P65" i="30"/>
  <c r="J65" i="30"/>
  <c r="P64" i="30"/>
  <c r="J64" i="30"/>
  <c r="P63" i="30"/>
  <c r="J63" i="30"/>
  <c r="P62" i="30"/>
  <c r="J62" i="30"/>
  <c r="P61" i="30"/>
  <c r="J61" i="30"/>
  <c r="P60" i="30"/>
  <c r="J60" i="30"/>
  <c r="P59" i="30"/>
  <c r="J59" i="30"/>
  <c r="P58" i="30"/>
  <c r="J58" i="30"/>
  <c r="P57" i="30"/>
  <c r="J57" i="30"/>
  <c r="F57" i="30"/>
  <c r="E57" i="30"/>
  <c r="B57" i="30"/>
  <c r="P56" i="30"/>
  <c r="J56" i="30"/>
  <c r="C56" i="30"/>
  <c r="P55" i="30"/>
  <c r="J55" i="30"/>
  <c r="C55" i="30"/>
  <c r="P54" i="30"/>
  <c r="J54" i="30"/>
  <c r="C54" i="30"/>
  <c r="P53" i="30"/>
  <c r="J53" i="30"/>
  <c r="C53" i="30"/>
  <c r="P52" i="30"/>
  <c r="J52" i="30"/>
  <c r="C52" i="30"/>
  <c r="Y51" i="30"/>
  <c r="X51" i="30"/>
  <c r="W51" i="30"/>
  <c r="U51" i="30"/>
  <c r="P51" i="30"/>
  <c r="J51" i="30"/>
  <c r="C51" i="30"/>
  <c r="V50" i="30"/>
  <c r="P50" i="30"/>
  <c r="J50" i="30"/>
  <c r="C50" i="30"/>
  <c r="V49" i="30"/>
  <c r="P49" i="30"/>
  <c r="J49" i="30"/>
  <c r="C49" i="30"/>
  <c r="V48" i="30"/>
  <c r="P48" i="30"/>
  <c r="J48" i="30"/>
  <c r="C48" i="30"/>
  <c r="V47" i="30"/>
  <c r="P47" i="30"/>
  <c r="J47" i="30"/>
  <c r="C47" i="30"/>
  <c r="V46" i="30"/>
  <c r="P46" i="30"/>
  <c r="J46" i="30"/>
  <c r="C46" i="30"/>
  <c r="V45" i="30"/>
  <c r="P45" i="30"/>
  <c r="J45" i="30"/>
  <c r="C45" i="30"/>
  <c r="V44" i="30"/>
  <c r="P44" i="30"/>
  <c r="J44" i="30"/>
  <c r="C44" i="30"/>
  <c r="V43" i="30"/>
  <c r="P43" i="30"/>
  <c r="J43" i="30"/>
  <c r="C43" i="30"/>
  <c r="V42" i="30"/>
  <c r="P42" i="30"/>
  <c r="J42" i="30"/>
  <c r="C42" i="30"/>
  <c r="V41" i="30"/>
  <c r="P41" i="30"/>
  <c r="J41" i="30"/>
  <c r="C41" i="30"/>
  <c r="V40" i="30"/>
  <c r="P40" i="30"/>
  <c r="J40" i="30"/>
  <c r="C40" i="30"/>
  <c r="V39" i="30"/>
  <c r="P39" i="30"/>
  <c r="J39" i="30"/>
  <c r="C39" i="30"/>
  <c r="V38" i="30"/>
  <c r="P38" i="30"/>
  <c r="J38" i="30"/>
  <c r="C38" i="30"/>
  <c r="V37" i="30"/>
  <c r="P37" i="30"/>
  <c r="J37" i="30"/>
  <c r="C37" i="30"/>
  <c r="V36" i="30"/>
  <c r="P36" i="30"/>
  <c r="J36" i="30"/>
  <c r="C36" i="30"/>
  <c r="V35" i="30"/>
  <c r="P35" i="30"/>
  <c r="J35" i="30"/>
  <c r="C35" i="30"/>
  <c r="V34" i="30"/>
  <c r="P34" i="30"/>
  <c r="J34" i="30"/>
  <c r="C34" i="30"/>
  <c r="V33" i="30"/>
  <c r="P33" i="30"/>
  <c r="J33" i="30"/>
  <c r="C33" i="30"/>
  <c r="V32" i="30"/>
  <c r="P32" i="30"/>
  <c r="J32" i="30"/>
  <c r="C32" i="30"/>
  <c r="V31" i="30"/>
  <c r="P31" i="30"/>
  <c r="J31" i="30"/>
  <c r="C31" i="30"/>
  <c r="V30" i="30"/>
  <c r="P30" i="30"/>
  <c r="J30" i="30"/>
  <c r="C30" i="30"/>
  <c r="V29" i="30"/>
  <c r="P29" i="30"/>
  <c r="J29" i="30"/>
  <c r="C29" i="30"/>
  <c r="V28" i="30"/>
  <c r="P28" i="30"/>
  <c r="J28" i="30"/>
  <c r="C28" i="30"/>
  <c r="AE27" i="30"/>
  <c r="AD27" i="30"/>
  <c r="AC27" i="30"/>
  <c r="AA27" i="30"/>
  <c r="V27" i="30"/>
  <c r="P27" i="30"/>
  <c r="J27" i="30"/>
  <c r="C27" i="30"/>
  <c r="AB26" i="30"/>
  <c r="V26" i="30"/>
  <c r="P26" i="30"/>
  <c r="J26" i="30"/>
  <c r="C26" i="30"/>
  <c r="AB25" i="30"/>
  <c r="V25" i="30"/>
  <c r="P25" i="30"/>
  <c r="J25" i="30"/>
  <c r="C25" i="30"/>
  <c r="AB24" i="30"/>
  <c r="V24" i="30"/>
  <c r="P24" i="30"/>
  <c r="J24" i="30"/>
  <c r="C24" i="30"/>
  <c r="AB23" i="30"/>
  <c r="V23" i="30"/>
  <c r="P23" i="30"/>
  <c r="J23" i="30"/>
  <c r="C23" i="30"/>
  <c r="AB22" i="30"/>
  <c r="V22" i="30"/>
  <c r="P22" i="30"/>
  <c r="J22" i="30"/>
  <c r="C22" i="30"/>
  <c r="AB21" i="30"/>
  <c r="V21" i="30"/>
  <c r="P21" i="30"/>
  <c r="J21" i="30"/>
  <c r="C21" i="30"/>
  <c r="AB20" i="30"/>
  <c r="V20" i="30"/>
  <c r="P20" i="30"/>
  <c r="P77" i="30" s="1"/>
  <c r="J20" i="30"/>
  <c r="C20" i="30"/>
  <c r="AB19" i="30"/>
  <c r="V19" i="30"/>
  <c r="P19" i="30"/>
  <c r="J19" i="30"/>
  <c r="C19" i="30"/>
  <c r="AB18" i="30"/>
  <c r="V18" i="30"/>
  <c r="P18" i="30"/>
  <c r="J18" i="30"/>
  <c r="C18" i="30"/>
  <c r="AB17" i="30"/>
  <c r="V17" i="30"/>
  <c r="P17" i="30"/>
  <c r="J17" i="30"/>
  <c r="C17" i="30"/>
  <c r="AB16" i="30"/>
  <c r="V16" i="30"/>
  <c r="P16" i="30"/>
  <c r="J16" i="30"/>
  <c r="C16" i="30"/>
  <c r="AB15" i="30"/>
  <c r="AB27" i="30" s="1"/>
  <c r="V15" i="30"/>
  <c r="P15" i="30"/>
  <c r="J15" i="30"/>
  <c r="D57" i="30"/>
  <c r="AB14" i="30"/>
  <c r="V14" i="30"/>
  <c r="P14" i="30"/>
  <c r="J14" i="30"/>
  <c r="C14" i="30"/>
  <c r="AB13" i="30"/>
  <c r="V13" i="30"/>
  <c r="Q77" i="30"/>
  <c r="J13" i="30"/>
  <c r="AB12" i="30"/>
  <c r="V12" i="30"/>
  <c r="V51" i="30" s="1"/>
  <c r="P12" i="30"/>
  <c r="C12" i="30"/>
  <c r="E8" i="30"/>
  <c r="D8" i="30"/>
  <c r="C8" i="30"/>
  <c r="B4" i="30"/>
  <c r="B3" i="30"/>
  <c r="K12" i="29"/>
  <c r="K131" i="29" s="1"/>
  <c r="D8" i="29"/>
  <c r="Q13" i="29"/>
  <c r="Q77" i="29"/>
  <c r="D15" i="29"/>
  <c r="D57" i="29" s="1"/>
  <c r="V13" i="29"/>
  <c r="M131" i="29"/>
  <c r="L131" i="29"/>
  <c r="I131" i="29"/>
  <c r="J130" i="29"/>
  <c r="J118" i="29"/>
  <c r="J117" i="29"/>
  <c r="J116" i="29"/>
  <c r="J115" i="29"/>
  <c r="J114" i="29"/>
  <c r="J113" i="29"/>
  <c r="J112" i="29"/>
  <c r="J111" i="29"/>
  <c r="J110" i="29"/>
  <c r="J109" i="29"/>
  <c r="J108" i="29"/>
  <c r="J107" i="29"/>
  <c r="J106" i="29"/>
  <c r="J105" i="29"/>
  <c r="J104" i="29"/>
  <c r="J103" i="29"/>
  <c r="J102" i="29"/>
  <c r="J101" i="29"/>
  <c r="J100" i="29"/>
  <c r="J99" i="29"/>
  <c r="J98" i="29"/>
  <c r="J97" i="29"/>
  <c r="J96" i="29"/>
  <c r="J95" i="29"/>
  <c r="J94" i="29"/>
  <c r="J93" i="29"/>
  <c r="J92" i="29"/>
  <c r="J91" i="29"/>
  <c r="J90" i="29"/>
  <c r="J89" i="29"/>
  <c r="J88" i="29"/>
  <c r="J87" i="29"/>
  <c r="J86" i="29"/>
  <c r="J85" i="29"/>
  <c r="J84" i="29"/>
  <c r="J83" i="29"/>
  <c r="J82" i="29"/>
  <c r="J81" i="29"/>
  <c r="J80" i="29"/>
  <c r="J79" i="29"/>
  <c r="J78" i="29"/>
  <c r="S77" i="29"/>
  <c r="R77" i="29"/>
  <c r="O77" i="29"/>
  <c r="J77" i="29"/>
  <c r="P76" i="29"/>
  <c r="J76" i="29"/>
  <c r="P75" i="29"/>
  <c r="J75" i="29"/>
  <c r="P74" i="29"/>
  <c r="J74" i="29"/>
  <c r="P73" i="29"/>
  <c r="J73" i="29"/>
  <c r="P72" i="29"/>
  <c r="J72" i="29"/>
  <c r="P71" i="29"/>
  <c r="J71" i="29"/>
  <c r="P70" i="29"/>
  <c r="J70" i="29"/>
  <c r="P69" i="29"/>
  <c r="J69" i="29"/>
  <c r="P68" i="29"/>
  <c r="J68" i="29"/>
  <c r="P67" i="29"/>
  <c r="J67" i="29"/>
  <c r="P66" i="29"/>
  <c r="J66" i="29"/>
  <c r="P65" i="29"/>
  <c r="J65" i="29"/>
  <c r="P64" i="29"/>
  <c r="J64" i="29"/>
  <c r="P63" i="29"/>
  <c r="J63" i="29"/>
  <c r="P62" i="29"/>
  <c r="J62" i="29"/>
  <c r="P61" i="29"/>
  <c r="J61" i="29"/>
  <c r="P60" i="29"/>
  <c r="J60" i="29"/>
  <c r="P59" i="29"/>
  <c r="J59" i="29"/>
  <c r="P58" i="29"/>
  <c r="J58" i="29"/>
  <c r="P57" i="29"/>
  <c r="J57" i="29"/>
  <c r="F57" i="29"/>
  <c r="E57" i="29"/>
  <c r="B57" i="29"/>
  <c r="P56" i="29"/>
  <c r="J56" i="29"/>
  <c r="C56" i="29"/>
  <c r="P55" i="29"/>
  <c r="J55" i="29"/>
  <c r="C55" i="29"/>
  <c r="P54" i="29"/>
  <c r="J54" i="29"/>
  <c r="C54" i="29"/>
  <c r="P53" i="29"/>
  <c r="J53" i="29"/>
  <c r="C53" i="29"/>
  <c r="P52" i="29"/>
  <c r="J52" i="29"/>
  <c r="C52" i="29"/>
  <c r="Y51" i="29"/>
  <c r="X51" i="29"/>
  <c r="U51" i="29"/>
  <c r="P51" i="29"/>
  <c r="J51" i="29"/>
  <c r="C51" i="29"/>
  <c r="V50" i="29"/>
  <c r="P50" i="29"/>
  <c r="J50" i="29"/>
  <c r="C50" i="29"/>
  <c r="V49" i="29"/>
  <c r="P49" i="29"/>
  <c r="J49" i="29"/>
  <c r="C49" i="29"/>
  <c r="V48" i="29"/>
  <c r="P48" i="29"/>
  <c r="J48" i="29"/>
  <c r="C48" i="29"/>
  <c r="V47" i="29"/>
  <c r="P47" i="29"/>
  <c r="J47" i="29"/>
  <c r="C47" i="29"/>
  <c r="V46" i="29"/>
  <c r="P46" i="29"/>
  <c r="J46" i="29"/>
  <c r="C46" i="29"/>
  <c r="V45" i="29"/>
  <c r="P45" i="29"/>
  <c r="J45" i="29"/>
  <c r="C45" i="29"/>
  <c r="V44" i="29"/>
  <c r="P44" i="29"/>
  <c r="J44" i="29"/>
  <c r="C44" i="29"/>
  <c r="V43" i="29"/>
  <c r="P43" i="29"/>
  <c r="J43" i="29"/>
  <c r="C43" i="29"/>
  <c r="V42" i="29"/>
  <c r="P42" i="29"/>
  <c r="J42" i="29"/>
  <c r="C42" i="29"/>
  <c r="V41" i="29"/>
  <c r="P41" i="29"/>
  <c r="J41" i="29"/>
  <c r="C41" i="29"/>
  <c r="V40" i="29"/>
  <c r="P40" i="29"/>
  <c r="J40" i="29"/>
  <c r="C40" i="29"/>
  <c r="V39" i="29"/>
  <c r="P39" i="29"/>
  <c r="J39" i="29"/>
  <c r="C39" i="29"/>
  <c r="V38" i="29"/>
  <c r="P38" i="29"/>
  <c r="J38" i="29"/>
  <c r="C38" i="29"/>
  <c r="V37" i="29"/>
  <c r="P37" i="29"/>
  <c r="J37" i="29"/>
  <c r="C37" i="29"/>
  <c r="V36" i="29"/>
  <c r="P36" i="29"/>
  <c r="J36" i="29"/>
  <c r="C36" i="29"/>
  <c r="V35" i="29"/>
  <c r="P35" i="29"/>
  <c r="J35" i="29"/>
  <c r="C35" i="29"/>
  <c r="V34" i="29"/>
  <c r="P34" i="29"/>
  <c r="J34" i="29"/>
  <c r="C34" i="29"/>
  <c r="V33" i="29"/>
  <c r="P33" i="29"/>
  <c r="J33" i="29"/>
  <c r="C33" i="29"/>
  <c r="V32" i="29"/>
  <c r="P32" i="29"/>
  <c r="J32" i="29"/>
  <c r="C32" i="29"/>
  <c r="V31" i="29"/>
  <c r="P31" i="29"/>
  <c r="J31" i="29"/>
  <c r="C31" i="29"/>
  <c r="V30" i="29"/>
  <c r="P30" i="29"/>
  <c r="J30" i="29"/>
  <c r="C30" i="29"/>
  <c r="V29" i="29"/>
  <c r="P29" i="29"/>
  <c r="J29" i="29"/>
  <c r="C29" i="29"/>
  <c r="V28" i="29"/>
  <c r="P28" i="29"/>
  <c r="J28" i="29"/>
  <c r="C28" i="29"/>
  <c r="AE27" i="29"/>
  <c r="AD27" i="29"/>
  <c r="AC27" i="29"/>
  <c r="AA27" i="29"/>
  <c r="V27" i="29"/>
  <c r="P27" i="29"/>
  <c r="J27" i="29"/>
  <c r="C27" i="29"/>
  <c r="AB26" i="29"/>
  <c r="V26" i="29"/>
  <c r="P26" i="29"/>
  <c r="J26" i="29"/>
  <c r="C26" i="29"/>
  <c r="AB25" i="29"/>
  <c r="V25" i="29"/>
  <c r="P25" i="29"/>
  <c r="J25" i="29"/>
  <c r="C25" i="29"/>
  <c r="AB24" i="29"/>
  <c r="V24" i="29"/>
  <c r="P24" i="29"/>
  <c r="J24" i="29"/>
  <c r="C24" i="29"/>
  <c r="AB23" i="29"/>
  <c r="V23" i="29"/>
  <c r="P23" i="29"/>
  <c r="J23" i="29"/>
  <c r="C23" i="29"/>
  <c r="AB22" i="29"/>
  <c r="V22" i="29"/>
  <c r="P22" i="29"/>
  <c r="J22" i="29"/>
  <c r="C22" i="29"/>
  <c r="AB21" i="29"/>
  <c r="V21" i="29"/>
  <c r="P21" i="29"/>
  <c r="J21" i="29"/>
  <c r="C21" i="29"/>
  <c r="AB20" i="29"/>
  <c r="V20" i="29"/>
  <c r="P20" i="29"/>
  <c r="J20" i="29"/>
  <c r="C20" i="29"/>
  <c r="AB19" i="29"/>
  <c r="V19" i="29"/>
  <c r="P19" i="29"/>
  <c r="J19" i="29"/>
  <c r="C19" i="29"/>
  <c r="AB18" i="29"/>
  <c r="V18" i="29"/>
  <c r="P18" i="29"/>
  <c r="J18" i="29"/>
  <c r="C18" i="29"/>
  <c r="AB17" i="29"/>
  <c r="V17" i="29"/>
  <c r="P17" i="29"/>
  <c r="J17" i="29"/>
  <c r="C17" i="29"/>
  <c r="AB16" i="29"/>
  <c r="V16" i="29"/>
  <c r="P16" i="29"/>
  <c r="J16" i="29"/>
  <c r="C16" i="29"/>
  <c r="AB15" i="29"/>
  <c r="V15" i="29"/>
  <c r="P15" i="29"/>
  <c r="J15" i="29"/>
  <c r="AB14" i="29"/>
  <c r="V14" i="29"/>
  <c r="P14" i="29"/>
  <c r="J14" i="29"/>
  <c r="C14" i="29"/>
  <c r="AB13" i="29"/>
  <c r="W51" i="29"/>
  <c r="J13" i="29"/>
  <c r="C13" i="29"/>
  <c r="AB12" i="29"/>
  <c r="V12" i="29"/>
  <c r="P12" i="29"/>
  <c r="C12" i="29"/>
  <c r="F8" i="29"/>
  <c r="E8" i="29"/>
  <c r="C8" i="29"/>
  <c r="B4" i="29"/>
  <c r="B3" i="29"/>
  <c r="C12" i="28"/>
  <c r="K12" i="28"/>
  <c r="K131" i="28"/>
  <c r="W13" i="28"/>
  <c r="W51" i="28" s="1"/>
  <c r="Q13" i="28"/>
  <c r="Q77" i="28" s="1"/>
  <c r="P76" i="28"/>
  <c r="P75" i="28"/>
  <c r="P74" i="28"/>
  <c r="P73" i="28"/>
  <c r="P72" i="28"/>
  <c r="P71" i="28"/>
  <c r="P70" i="28"/>
  <c r="P69" i="28"/>
  <c r="P68" i="28"/>
  <c r="P67" i="28"/>
  <c r="P66" i="28"/>
  <c r="P65" i="28"/>
  <c r="P64" i="28"/>
  <c r="V12" i="28"/>
  <c r="J13" i="28"/>
  <c r="C17" i="28"/>
  <c r="M131" i="28"/>
  <c r="L131" i="28"/>
  <c r="I131" i="28"/>
  <c r="J130" i="28"/>
  <c r="J118" i="28"/>
  <c r="J117" i="28"/>
  <c r="J116" i="28"/>
  <c r="J115" i="28"/>
  <c r="J114" i="28"/>
  <c r="J113" i="28"/>
  <c r="J112" i="28"/>
  <c r="J111" i="28"/>
  <c r="J110" i="28"/>
  <c r="J109" i="28"/>
  <c r="J108" i="28"/>
  <c r="J107" i="28"/>
  <c r="J106" i="28"/>
  <c r="J105" i="28"/>
  <c r="J104" i="28"/>
  <c r="J103" i="28"/>
  <c r="J102" i="28"/>
  <c r="J101" i="28"/>
  <c r="J100" i="28"/>
  <c r="J99" i="28"/>
  <c r="J98" i="28"/>
  <c r="J97" i="28"/>
  <c r="J96" i="28"/>
  <c r="J95" i="28"/>
  <c r="J94" i="28"/>
  <c r="J93" i="28"/>
  <c r="J92" i="28"/>
  <c r="J91" i="28"/>
  <c r="J90" i="28"/>
  <c r="J89" i="28"/>
  <c r="J88" i="28"/>
  <c r="J87" i="28"/>
  <c r="J86" i="28"/>
  <c r="J85" i="28"/>
  <c r="J84" i="28"/>
  <c r="J83" i="28"/>
  <c r="J82" i="28"/>
  <c r="J81" i="28"/>
  <c r="J80" i="28"/>
  <c r="J79" i="28"/>
  <c r="J78" i="28"/>
  <c r="J77" i="28"/>
  <c r="J76" i="28"/>
  <c r="J75" i="28"/>
  <c r="J74" i="28"/>
  <c r="J73" i="28"/>
  <c r="J72" i="28"/>
  <c r="J71" i="28"/>
  <c r="J70" i="28"/>
  <c r="J69" i="28"/>
  <c r="J68" i="28"/>
  <c r="J67" i="28"/>
  <c r="J66" i="28"/>
  <c r="J65" i="28"/>
  <c r="S77" i="28"/>
  <c r="R77" i="28"/>
  <c r="O77" i="28"/>
  <c r="J64" i="28"/>
  <c r="P63" i="28"/>
  <c r="J63" i="28"/>
  <c r="P62" i="28"/>
  <c r="J62" i="28"/>
  <c r="P61" i="28"/>
  <c r="J61" i="28"/>
  <c r="P60" i="28"/>
  <c r="J60" i="28"/>
  <c r="P59" i="28"/>
  <c r="J59" i="28"/>
  <c r="P58" i="28"/>
  <c r="J58" i="28"/>
  <c r="P57" i="28"/>
  <c r="J57" i="28"/>
  <c r="F57" i="28"/>
  <c r="E57" i="28"/>
  <c r="B57" i="28"/>
  <c r="P56" i="28"/>
  <c r="J56" i="28"/>
  <c r="C56" i="28"/>
  <c r="P55" i="28"/>
  <c r="J55" i="28"/>
  <c r="C55" i="28"/>
  <c r="P54" i="28"/>
  <c r="J54" i="28"/>
  <c r="C54" i="28"/>
  <c r="P53" i="28"/>
  <c r="J53" i="28"/>
  <c r="C53" i="28"/>
  <c r="P52" i="28"/>
  <c r="J52" i="28"/>
  <c r="C52" i="28"/>
  <c r="Y51" i="28"/>
  <c r="X51" i="28"/>
  <c r="U51" i="28"/>
  <c r="P51" i="28"/>
  <c r="J51" i="28"/>
  <c r="C51" i="28"/>
  <c r="V50" i="28"/>
  <c r="P50" i="28"/>
  <c r="J50" i="28"/>
  <c r="C50" i="28"/>
  <c r="V49" i="28"/>
  <c r="P49" i="28"/>
  <c r="J49" i="28"/>
  <c r="C49" i="28"/>
  <c r="V48" i="28"/>
  <c r="P48" i="28"/>
  <c r="J48" i="28"/>
  <c r="C48" i="28"/>
  <c r="V47" i="28"/>
  <c r="P47" i="28"/>
  <c r="J47" i="28"/>
  <c r="C47" i="28"/>
  <c r="V46" i="28"/>
  <c r="P46" i="28"/>
  <c r="J46" i="28"/>
  <c r="C46" i="28"/>
  <c r="V45" i="28"/>
  <c r="P45" i="28"/>
  <c r="J45" i="28"/>
  <c r="C45" i="28"/>
  <c r="V44" i="28"/>
  <c r="P44" i="28"/>
  <c r="J44" i="28"/>
  <c r="C44" i="28"/>
  <c r="V43" i="28"/>
  <c r="P43" i="28"/>
  <c r="J43" i="28"/>
  <c r="C43" i="28"/>
  <c r="V42" i="28"/>
  <c r="P42" i="28"/>
  <c r="J42" i="28"/>
  <c r="C42" i="28"/>
  <c r="V41" i="28"/>
  <c r="P41" i="28"/>
  <c r="J41" i="28"/>
  <c r="C41" i="28"/>
  <c r="V40" i="28"/>
  <c r="P40" i="28"/>
  <c r="J40" i="28"/>
  <c r="C40" i="28"/>
  <c r="V39" i="28"/>
  <c r="P39" i="28"/>
  <c r="J39" i="28"/>
  <c r="C39" i="28"/>
  <c r="V38" i="28"/>
  <c r="P38" i="28"/>
  <c r="J38" i="28"/>
  <c r="C38" i="28"/>
  <c r="V37" i="28"/>
  <c r="P37" i="28"/>
  <c r="J37" i="28"/>
  <c r="C37" i="28"/>
  <c r="V36" i="28"/>
  <c r="P36" i="28"/>
  <c r="J36" i="28"/>
  <c r="C36" i="28"/>
  <c r="V35" i="28"/>
  <c r="P35" i="28"/>
  <c r="J35" i="28"/>
  <c r="C35" i="28"/>
  <c r="V34" i="28"/>
  <c r="P34" i="28"/>
  <c r="J34" i="28"/>
  <c r="C34" i="28"/>
  <c r="V33" i="28"/>
  <c r="P33" i="28"/>
  <c r="J33" i="28"/>
  <c r="C33" i="28"/>
  <c r="V32" i="28"/>
  <c r="P32" i="28"/>
  <c r="J32" i="28"/>
  <c r="C32" i="28"/>
  <c r="V31" i="28"/>
  <c r="P31" i="28"/>
  <c r="J31" i="28"/>
  <c r="C31" i="28"/>
  <c r="V30" i="28"/>
  <c r="P30" i="28"/>
  <c r="J30" i="28"/>
  <c r="C30" i="28"/>
  <c r="V29" i="28"/>
  <c r="P29" i="28"/>
  <c r="J29" i="28"/>
  <c r="C29" i="28"/>
  <c r="V28" i="28"/>
  <c r="P28" i="28"/>
  <c r="J28" i="28"/>
  <c r="C28" i="28"/>
  <c r="AE27" i="28"/>
  <c r="AD27" i="28"/>
  <c r="AC27" i="28"/>
  <c r="AA27" i="28"/>
  <c r="V27" i="28"/>
  <c r="P27" i="28"/>
  <c r="J27" i="28"/>
  <c r="C27" i="28"/>
  <c r="AB26" i="28"/>
  <c r="V26" i="28"/>
  <c r="P26" i="28"/>
  <c r="J26" i="28"/>
  <c r="C26" i="28"/>
  <c r="AB25" i="28"/>
  <c r="V25" i="28"/>
  <c r="P25" i="28"/>
  <c r="J25" i="28"/>
  <c r="C25" i="28"/>
  <c r="AB24" i="28"/>
  <c r="V24" i="28"/>
  <c r="P24" i="28"/>
  <c r="J24" i="28"/>
  <c r="C24" i="28"/>
  <c r="AB23" i="28"/>
  <c r="V23" i="28"/>
  <c r="P23" i="28"/>
  <c r="J23" i="28"/>
  <c r="C23" i="28"/>
  <c r="AB22" i="28"/>
  <c r="V22" i="28"/>
  <c r="P22" i="28"/>
  <c r="J22" i="28"/>
  <c r="C22" i="28"/>
  <c r="AB21" i="28"/>
  <c r="V21" i="28"/>
  <c r="P21" i="28"/>
  <c r="J21" i="28"/>
  <c r="C21" i="28"/>
  <c r="AB20" i="28"/>
  <c r="V20" i="28"/>
  <c r="P20" i="28"/>
  <c r="J20" i="28"/>
  <c r="C20" i="28"/>
  <c r="AB19" i="28"/>
  <c r="V19" i="28"/>
  <c r="P19" i="28"/>
  <c r="J19" i="28"/>
  <c r="C19" i="28"/>
  <c r="AB18" i="28"/>
  <c r="V18" i="28"/>
  <c r="P18" i="28"/>
  <c r="J18" i="28"/>
  <c r="C18" i="28"/>
  <c r="AB17" i="28"/>
  <c r="V17" i="28"/>
  <c r="P17" i="28"/>
  <c r="J17" i="28"/>
  <c r="AB16" i="28"/>
  <c r="V16" i="28"/>
  <c r="P16" i="28"/>
  <c r="J16" i="28"/>
  <c r="C16" i="28"/>
  <c r="AB15" i="28"/>
  <c r="V15" i="28"/>
  <c r="P15" i="28"/>
  <c r="J15" i="28"/>
  <c r="C15" i="28"/>
  <c r="AB14" i="28"/>
  <c r="V14" i="28"/>
  <c r="P14" i="28"/>
  <c r="J14" i="28"/>
  <c r="C14" i="28"/>
  <c r="AB13" i="28"/>
  <c r="C13" i="28"/>
  <c r="AB12" i="28"/>
  <c r="P12" i="28"/>
  <c r="F8" i="28"/>
  <c r="E8" i="28"/>
  <c r="D8" i="28"/>
  <c r="C8" i="28"/>
  <c r="B4" i="28"/>
  <c r="B3" i="28"/>
  <c r="AB12" i="27"/>
  <c r="AB13" i="27"/>
  <c r="AB14" i="27"/>
  <c r="AB15" i="27"/>
  <c r="AB16" i="27"/>
  <c r="AB17" i="27"/>
  <c r="AB18" i="27"/>
  <c r="AB19" i="27"/>
  <c r="AB20" i="27"/>
  <c r="AB21" i="27"/>
  <c r="AB22" i="27"/>
  <c r="AB23" i="27"/>
  <c r="AB24" i="27"/>
  <c r="AB25" i="27"/>
  <c r="AB26" i="27"/>
  <c r="AC27" i="27"/>
  <c r="AD27" i="27"/>
  <c r="AE27" i="27"/>
  <c r="AA27" i="27"/>
  <c r="K13" i="27"/>
  <c r="K131" i="27" s="1"/>
  <c r="Q13" i="27"/>
  <c r="Q64" i="27" s="1"/>
  <c r="P63" i="27"/>
  <c r="P62" i="27"/>
  <c r="P61" i="27"/>
  <c r="P60" i="27"/>
  <c r="P59" i="27"/>
  <c r="P58" i="27"/>
  <c r="P57" i="27"/>
  <c r="P56" i="27"/>
  <c r="P55" i="27"/>
  <c r="P54" i="27"/>
  <c r="P53" i="27"/>
  <c r="P52" i="27"/>
  <c r="P51" i="27"/>
  <c r="P50" i="27"/>
  <c r="P49" i="27"/>
  <c r="P48" i="27"/>
  <c r="P47" i="27"/>
  <c r="P46" i="27"/>
  <c r="P45" i="27"/>
  <c r="P44" i="27"/>
  <c r="P43" i="27"/>
  <c r="P42" i="27"/>
  <c r="P41" i="27"/>
  <c r="P40" i="27"/>
  <c r="P39" i="27"/>
  <c r="P38" i="27"/>
  <c r="P37" i="27"/>
  <c r="P36" i="27"/>
  <c r="P35" i="27"/>
  <c r="P34" i="27"/>
  <c r="P33" i="27"/>
  <c r="P32" i="27"/>
  <c r="P31" i="27"/>
  <c r="P30" i="27"/>
  <c r="P29" i="27"/>
  <c r="P28" i="27"/>
  <c r="P27" i="27"/>
  <c r="P26" i="27"/>
  <c r="P25" i="27"/>
  <c r="P24" i="27"/>
  <c r="P23" i="27"/>
  <c r="P22" i="27"/>
  <c r="V13" i="27"/>
  <c r="W12" i="27"/>
  <c r="W51" i="27" s="1"/>
  <c r="V50" i="27"/>
  <c r="V49" i="27"/>
  <c r="V48" i="27"/>
  <c r="V47" i="27"/>
  <c r="V46" i="27"/>
  <c r="V45" i="27"/>
  <c r="V44" i="27"/>
  <c r="V43" i="27"/>
  <c r="V42" i="27"/>
  <c r="V41" i="27"/>
  <c r="V40" i="27"/>
  <c r="V39" i="27"/>
  <c r="V38" i="27"/>
  <c r="V37" i="27"/>
  <c r="V36" i="27"/>
  <c r="V35" i="27"/>
  <c r="V34" i="27"/>
  <c r="V33" i="27"/>
  <c r="V32" i="27"/>
  <c r="V31" i="27"/>
  <c r="V30" i="27"/>
  <c r="V29" i="27"/>
  <c r="V28" i="27"/>
  <c r="V27" i="27"/>
  <c r="M131" i="27"/>
  <c r="L131" i="27"/>
  <c r="I131" i="27"/>
  <c r="J130" i="27"/>
  <c r="J118" i="27"/>
  <c r="J117" i="27"/>
  <c r="J116" i="27"/>
  <c r="J115" i="27"/>
  <c r="J114" i="27"/>
  <c r="J113" i="27"/>
  <c r="J112" i="27"/>
  <c r="J111" i="27"/>
  <c r="J110" i="27"/>
  <c r="J109" i="27"/>
  <c r="J108" i="27"/>
  <c r="J107" i="27"/>
  <c r="J106" i="27"/>
  <c r="J105" i="27"/>
  <c r="J104" i="27"/>
  <c r="J103" i="27"/>
  <c r="J102" i="27"/>
  <c r="J101" i="27"/>
  <c r="J100" i="27"/>
  <c r="J99" i="27"/>
  <c r="J98" i="27"/>
  <c r="J97" i="27"/>
  <c r="J96" i="27"/>
  <c r="J95" i="27"/>
  <c r="J94" i="27"/>
  <c r="J93" i="27"/>
  <c r="J92" i="27"/>
  <c r="J91" i="27"/>
  <c r="J90" i="27"/>
  <c r="J89" i="27"/>
  <c r="J88" i="27"/>
  <c r="J87" i="27"/>
  <c r="J86" i="27"/>
  <c r="J85" i="27"/>
  <c r="J84" i="27"/>
  <c r="J83" i="27"/>
  <c r="J82" i="27"/>
  <c r="J81" i="27"/>
  <c r="J80" i="27"/>
  <c r="J79" i="27"/>
  <c r="J78" i="27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F57" i="27"/>
  <c r="E57" i="27"/>
  <c r="B57" i="27"/>
  <c r="J56" i="27"/>
  <c r="D56" i="27"/>
  <c r="C56" i="27"/>
  <c r="J55" i="27"/>
  <c r="D55" i="27"/>
  <c r="C55" i="27"/>
  <c r="J54" i="27"/>
  <c r="D54" i="27"/>
  <c r="C54" i="27"/>
  <c r="J53" i="27"/>
  <c r="D53" i="27"/>
  <c r="C53" i="27"/>
  <c r="J52" i="27"/>
  <c r="D52" i="27"/>
  <c r="C52" i="27"/>
  <c r="J51" i="27"/>
  <c r="D51" i="27"/>
  <c r="C51" i="27"/>
  <c r="J50" i="27"/>
  <c r="D50" i="27"/>
  <c r="C50" i="27"/>
  <c r="J49" i="27"/>
  <c r="D49" i="27"/>
  <c r="C49" i="27"/>
  <c r="J48" i="27"/>
  <c r="D48" i="27"/>
  <c r="C48" i="27"/>
  <c r="J47" i="27"/>
  <c r="D47" i="27"/>
  <c r="C47" i="27"/>
  <c r="J46" i="27"/>
  <c r="D46" i="27"/>
  <c r="C46" i="27"/>
  <c r="J45" i="27"/>
  <c r="D45" i="27"/>
  <c r="C45" i="27"/>
  <c r="J44" i="27"/>
  <c r="D44" i="27"/>
  <c r="C44" i="27"/>
  <c r="J43" i="27"/>
  <c r="D43" i="27"/>
  <c r="C43" i="27"/>
  <c r="J42" i="27"/>
  <c r="D42" i="27"/>
  <c r="C42" i="27"/>
  <c r="J41" i="27"/>
  <c r="D41" i="27"/>
  <c r="C41" i="27"/>
  <c r="J40" i="27"/>
  <c r="D40" i="27"/>
  <c r="C40" i="27"/>
  <c r="J39" i="27"/>
  <c r="D39" i="27"/>
  <c r="C39" i="27"/>
  <c r="J38" i="27"/>
  <c r="D38" i="27"/>
  <c r="C38" i="27"/>
  <c r="J37" i="27"/>
  <c r="D37" i="27"/>
  <c r="C37" i="27"/>
  <c r="J36" i="27"/>
  <c r="D36" i="27"/>
  <c r="C36" i="27"/>
  <c r="J35" i="27"/>
  <c r="D35" i="27"/>
  <c r="C35" i="27"/>
  <c r="J34" i="27"/>
  <c r="D34" i="27"/>
  <c r="C34" i="27"/>
  <c r="J33" i="27"/>
  <c r="D33" i="27"/>
  <c r="C33" i="27"/>
  <c r="J32" i="27"/>
  <c r="D32" i="27"/>
  <c r="C32" i="27"/>
  <c r="J31" i="27"/>
  <c r="D31" i="27"/>
  <c r="C31" i="27"/>
  <c r="J30" i="27"/>
  <c r="D30" i="27"/>
  <c r="C30" i="27"/>
  <c r="J29" i="27"/>
  <c r="D29" i="27"/>
  <c r="C29" i="27"/>
  <c r="J28" i="27"/>
  <c r="D28" i="27"/>
  <c r="C28" i="27"/>
  <c r="Y51" i="27"/>
  <c r="X51" i="27"/>
  <c r="U51" i="27"/>
  <c r="J27" i="27"/>
  <c r="D27" i="27"/>
  <c r="C27" i="27"/>
  <c r="V26" i="27"/>
  <c r="J26" i="27"/>
  <c r="D26" i="27"/>
  <c r="C26" i="27"/>
  <c r="V25" i="27"/>
  <c r="J25" i="27"/>
  <c r="D25" i="27"/>
  <c r="C25" i="27"/>
  <c r="V24" i="27"/>
  <c r="J24" i="27"/>
  <c r="D24" i="27"/>
  <c r="C24" i="27"/>
  <c r="V23" i="27"/>
  <c r="J23" i="27"/>
  <c r="D23" i="27"/>
  <c r="C23" i="27"/>
  <c r="V22" i="27"/>
  <c r="S64" i="27"/>
  <c r="R64" i="27"/>
  <c r="O64" i="27"/>
  <c r="J22" i="27"/>
  <c r="D22" i="27"/>
  <c r="C22" i="27"/>
  <c r="V21" i="27"/>
  <c r="P21" i="27"/>
  <c r="J21" i="27"/>
  <c r="D21" i="27"/>
  <c r="C21" i="27"/>
  <c r="V20" i="27"/>
  <c r="P20" i="27"/>
  <c r="J20" i="27"/>
  <c r="D20" i="27"/>
  <c r="C20" i="27"/>
  <c r="V19" i="27"/>
  <c r="P19" i="27"/>
  <c r="J19" i="27"/>
  <c r="D19" i="27"/>
  <c r="C19" i="27"/>
  <c r="V18" i="27"/>
  <c r="P18" i="27"/>
  <c r="J18" i="27"/>
  <c r="D18" i="27"/>
  <c r="C18" i="27"/>
  <c r="V17" i="27"/>
  <c r="P17" i="27"/>
  <c r="J17" i="27"/>
  <c r="D17" i="27"/>
  <c r="V16" i="27"/>
  <c r="P16" i="27"/>
  <c r="J16" i="27"/>
  <c r="C16" i="27"/>
  <c r="V15" i="27"/>
  <c r="P15" i="27"/>
  <c r="J15" i="27"/>
  <c r="C15" i="27"/>
  <c r="V14" i="27"/>
  <c r="P14" i="27"/>
  <c r="J14" i="27"/>
  <c r="C14" i="27"/>
  <c r="C13" i="27"/>
  <c r="P12" i="27"/>
  <c r="J12" i="27"/>
  <c r="C12" i="27"/>
  <c r="F8" i="27"/>
  <c r="E8" i="27"/>
  <c r="D8" i="27"/>
  <c r="C8" i="27"/>
  <c r="B4" i="27"/>
  <c r="B3" i="27"/>
  <c r="U252" i="26"/>
  <c r="U251" i="26"/>
  <c r="U250" i="26"/>
  <c r="U249" i="26"/>
  <c r="U248" i="26"/>
  <c r="U247" i="26"/>
  <c r="U246" i="26"/>
  <c r="U245" i="26"/>
  <c r="U244" i="26"/>
  <c r="U243" i="26"/>
  <c r="U242" i="26"/>
  <c r="U241" i="26"/>
  <c r="U240" i="26"/>
  <c r="U239" i="26"/>
  <c r="U238" i="26"/>
  <c r="U237" i="26"/>
  <c r="U236" i="26"/>
  <c r="U235" i="26"/>
  <c r="U234" i="26"/>
  <c r="U233" i="26"/>
  <c r="U232" i="26"/>
  <c r="U231" i="26"/>
  <c r="U230" i="26"/>
  <c r="U229" i="26"/>
  <c r="U228" i="26"/>
  <c r="U227" i="26"/>
  <c r="U226" i="26"/>
  <c r="U225" i="26"/>
  <c r="U224" i="26"/>
  <c r="U223" i="26"/>
  <c r="U222" i="26"/>
  <c r="U221" i="26"/>
  <c r="U220" i="26"/>
  <c r="U219" i="26"/>
  <c r="U218" i="26"/>
  <c r="U217" i="26"/>
  <c r="U216" i="26"/>
  <c r="U215" i="26"/>
  <c r="U214" i="26"/>
  <c r="U213" i="26"/>
  <c r="U212" i="26"/>
  <c r="U211" i="26"/>
  <c r="U210" i="26"/>
  <c r="U209" i="26"/>
  <c r="U208" i="26"/>
  <c r="U207" i="26"/>
  <c r="U206" i="26"/>
  <c r="U205" i="26"/>
  <c r="U204" i="26"/>
  <c r="U203" i="26"/>
  <c r="U202" i="26"/>
  <c r="U201" i="26"/>
  <c r="U200" i="26"/>
  <c r="U199" i="26"/>
  <c r="U198" i="26"/>
  <c r="U197" i="26"/>
  <c r="U196" i="26"/>
  <c r="U195" i="26"/>
  <c r="U194" i="26"/>
  <c r="U193" i="26"/>
  <c r="U192" i="26"/>
  <c r="U191" i="26"/>
  <c r="U190" i="26"/>
  <c r="U189" i="26"/>
  <c r="U188" i="26"/>
  <c r="U187" i="26"/>
  <c r="U186" i="26"/>
  <c r="U185" i="26"/>
  <c r="U184" i="26"/>
  <c r="U183" i="26"/>
  <c r="U182" i="26"/>
  <c r="U181" i="26"/>
  <c r="U180" i="26"/>
  <c r="U179" i="26"/>
  <c r="U178" i="26"/>
  <c r="U177" i="26"/>
  <c r="U176" i="26"/>
  <c r="U175" i="26"/>
  <c r="U174" i="26"/>
  <c r="U173" i="26"/>
  <c r="U172" i="26"/>
  <c r="U171" i="26"/>
  <c r="U170" i="26"/>
  <c r="U169" i="26"/>
  <c r="U168" i="26"/>
  <c r="U167" i="26"/>
  <c r="U166" i="26"/>
  <c r="U165" i="26"/>
  <c r="U164" i="26"/>
  <c r="U163" i="26"/>
  <c r="U162" i="26"/>
  <c r="U161" i="26"/>
  <c r="U160" i="26"/>
  <c r="U159" i="26"/>
  <c r="U158" i="26"/>
  <c r="U157" i="26"/>
  <c r="U156" i="26"/>
  <c r="U155" i="26"/>
  <c r="U154" i="26"/>
  <c r="U153" i="26"/>
  <c r="U152" i="26"/>
  <c r="U151" i="26"/>
  <c r="U150" i="26"/>
  <c r="U149" i="26"/>
  <c r="U148" i="26"/>
  <c r="U147" i="26"/>
  <c r="U146" i="26"/>
  <c r="U145" i="26"/>
  <c r="U144" i="26"/>
  <c r="U143" i="26"/>
  <c r="U142" i="26"/>
  <c r="U141" i="26"/>
  <c r="U140" i="26"/>
  <c r="U139" i="26"/>
  <c r="U138" i="26"/>
  <c r="U137" i="26"/>
  <c r="U136" i="26"/>
  <c r="U135" i="26"/>
  <c r="U134" i="26"/>
  <c r="U133" i="26"/>
  <c r="U132" i="26"/>
  <c r="U131" i="26"/>
  <c r="U130" i="26"/>
  <c r="U129" i="26"/>
  <c r="U128" i="26"/>
  <c r="U127" i="26"/>
  <c r="U126" i="26"/>
  <c r="U125" i="26"/>
  <c r="U124" i="26"/>
  <c r="U123" i="26"/>
  <c r="V67" i="26"/>
  <c r="V253" i="26" s="1"/>
  <c r="V35" i="26"/>
  <c r="V62" i="26" s="1"/>
  <c r="C16" i="26"/>
  <c r="C17" i="26"/>
  <c r="AD169" i="26"/>
  <c r="AC169" i="26"/>
  <c r="Z169" i="26"/>
  <c r="AB168" i="26"/>
  <c r="AA168" i="26"/>
  <c r="AB167" i="26"/>
  <c r="AA167" i="26"/>
  <c r="AB166" i="26"/>
  <c r="AA166" i="26"/>
  <c r="AB165" i="26"/>
  <c r="AA165" i="26"/>
  <c r="AB164" i="26"/>
  <c r="AA164" i="26"/>
  <c r="AB163" i="26"/>
  <c r="AA163" i="26"/>
  <c r="AB162" i="26"/>
  <c r="AA162" i="26"/>
  <c r="AB161" i="26"/>
  <c r="AA161" i="26"/>
  <c r="AB160" i="26"/>
  <c r="AA160" i="26"/>
  <c r="AB159" i="26"/>
  <c r="AA159" i="26"/>
  <c r="AB158" i="26"/>
  <c r="AA158" i="26"/>
  <c r="AB157" i="26"/>
  <c r="AA157" i="26"/>
  <c r="AB156" i="26"/>
  <c r="AA156" i="26"/>
  <c r="AB155" i="26"/>
  <c r="AA155" i="26"/>
  <c r="AB154" i="26"/>
  <c r="AA154" i="26"/>
  <c r="AB153" i="26"/>
  <c r="AA153" i="26"/>
  <c r="AB152" i="26"/>
  <c r="AA152" i="26"/>
  <c r="AB151" i="26"/>
  <c r="AA151" i="26"/>
  <c r="AB150" i="26"/>
  <c r="AA150" i="26"/>
  <c r="AB149" i="26"/>
  <c r="AA149" i="26"/>
  <c r="AB148" i="26"/>
  <c r="AA148" i="26"/>
  <c r="AB147" i="26"/>
  <c r="AA147" i="26"/>
  <c r="AB146" i="26"/>
  <c r="AA146" i="26"/>
  <c r="AB145" i="26"/>
  <c r="AA145" i="26"/>
  <c r="AB144" i="26"/>
  <c r="AA144" i="26"/>
  <c r="AB143" i="26"/>
  <c r="AA143" i="26"/>
  <c r="AB142" i="26"/>
  <c r="AA142" i="26"/>
  <c r="AB141" i="26"/>
  <c r="AA141" i="26"/>
  <c r="AB140" i="26"/>
  <c r="AA140" i="26"/>
  <c r="AB139" i="26"/>
  <c r="AA139" i="26"/>
  <c r="AB138" i="26"/>
  <c r="AA138" i="26"/>
  <c r="AB137" i="26"/>
  <c r="AA137" i="26"/>
  <c r="AB136" i="26"/>
  <c r="AA136" i="26"/>
  <c r="AB135" i="26"/>
  <c r="AA135" i="26"/>
  <c r="R135" i="26"/>
  <c r="Q135" i="26"/>
  <c r="P135" i="26"/>
  <c r="N135" i="26"/>
  <c r="AB134" i="26"/>
  <c r="AA134" i="26"/>
  <c r="O134" i="26"/>
  <c r="AB133" i="26"/>
  <c r="AA133" i="26"/>
  <c r="AB132" i="26"/>
  <c r="AA132" i="26"/>
  <c r="AB131" i="26"/>
  <c r="AA131" i="26"/>
  <c r="AB130" i="26"/>
  <c r="AA130" i="26"/>
  <c r="AB129" i="26"/>
  <c r="AA129" i="26"/>
  <c r="AB128" i="26"/>
  <c r="AA128" i="26"/>
  <c r="AB127" i="26"/>
  <c r="AA127" i="26"/>
  <c r="AB126" i="26"/>
  <c r="AA126" i="26"/>
  <c r="AB125" i="26"/>
  <c r="AA125" i="26"/>
  <c r="AB124" i="26"/>
  <c r="AA124" i="26"/>
  <c r="AB123" i="26"/>
  <c r="AA123" i="26"/>
  <c r="X253" i="26"/>
  <c r="W253" i="26"/>
  <c r="T253" i="26"/>
  <c r="AB122" i="26"/>
  <c r="AA122" i="26"/>
  <c r="U122" i="26"/>
  <c r="O122" i="26"/>
  <c r="AB121" i="26"/>
  <c r="AA121" i="26"/>
  <c r="U121" i="26"/>
  <c r="O121" i="26"/>
  <c r="AB120" i="26"/>
  <c r="AA120" i="26"/>
  <c r="U120" i="26"/>
  <c r="O120" i="26"/>
  <c r="AB119" i="26"/>
  <c r="AA119" i="26"/>
  <c r="U119" i="26"/>
  <c r="O119" i="26"/>
  <c r="AB118" i="26"/>
  <c r="AA118" i="26"/>
  <c r="U118" i="26"/>
  <c r="O118" i="26"/>
  <c r="AB117" i="26"/>
  <c r="AA117" i="26"/>
  <c r="U117" i="26"/>
  <c r="O117" i="26"/>
  <c r="AB116" i="26"/>
  <c r="AA116" i="26"/>
  <c r="U116" i="26"/>
  <c r="O116" i="26"/>
  <c r="AB115" i="26"/>
  <c r="AA115" i="26"/>
  <c r="U115" i="26"/>
  <c r="O115" i="26"/>
  <c r="AB114" i="26"/>
  <c r="AA114" i="26"/>
  <c r="U114" i="26"/>
  <c r="O114" i="26"/>
  <c r="AB113" i="26"/>
  <c r="AA113" i="26"/>
  <c r="U113" i="26"/>
  <c r="O113" i="26"/>
  <c r="AB112" i="26"/>
  <c r="AA112" i="26"/>
  <c r="U112" i="26"/>
  <c r="O112" i="26"/>
  <c r="AB111" i="26"/>
  <c r="AA111" i="26"/>
  <c r="U111" i="26"/>
  <c r="O111" i="26"/>
  <c r="AB110" i="26"/>
  <c r="AA110" i="26"/>
  <c r="U110" i="26"/>
  <c r="O110" i="26"/>
  <c r="AB109" i="26"/>
  <c r="AA109" i="26"/>
  <c r="U109" i="26"/>
  <c r="O109" i="26"/>
  <c r="AB108" i="26"/>
  <c r="AA108" i="26"/>
  <c r="U108" i="26"/>
  <c r="O108" i="26"/>
  <c r="AB107" i="26"/>
  <c r="AA107" i="26"/>
  <c r="U107" i="26"/>
  <c r="O107" i="26"/>
  <c r="AB106" i="26"/>
  <c r="AA106" i="26"/>
  <c r="U106" i="26"/>
  <c r="O106" i="26"/>
  <c r="AB105" i="26"/>
  <c r="AA105" i="26"/>
  <c r="U105" i="26"/>
  <c r="O105" i="26"/>
  <c r="AB104" i="26"/>
  <c r="AA104" i="26"/>
  <c r="U104" i="26"/>
  <c r="O104" i="26"/>
  <c r="AB103" i="26"/>
  <c r="AA103" i="26"/>
  <c r="U103" i="26"/>
  <c r="O103" i="26"/>
  <c r="AB102" i="26"/>
  <c r="AA102" i="26"/>
  <c r="U102" i="26"/>
  <c r="O102" i="26"/>
  <c r="L102" i="26"/>
  <c r="K102" i="26"/>
  <c r="J102" i="26"/>
  <c r="H102" i="26"/>
  <c r="AB101" i="26"/>
  <c r="AA101" i="26"/>
  <c r="U101" i="26"/>
  <c r="O101" i="26"/>
  <c r="I101" i="26"/>
  <c r="AB100" i="26"/>
  <c r="AA100" i="26"/>
  <c r="U100" i="26"/>
  <c r="O100" i="26"/>
  <c r="I100" i="26"/>
  <c r="AB99" i="26"/>
  <c r="AA99" i="26"/>
  <c r="U99" i="26"/>
  <c r="O99" i="26"/>
  <c r="I99" i="26"/>
  <c r="AB98" i="26"/>
  <c r="AA98" i="26"/>
  <c r="U98" i="26"/>
  <c r="O98" i="26"/>
  <c r="I98" i="26"/>
  <c r="AA97" i="26"/>
  <c r="U97" i="26"/>
  <c r="O97" i="26"/>
  <c r="I97" i="26"/>
  <c r="AA96" i="26"/>
  <c r="U96" i="26"/>
  <c r="O96" i="26"/>
  <c r="I96" i="26"/>
  <c r="U95" i="26"/>
  <c r="O95" i="26"/>
  <c r="I95" i="26"/>
  <c r="AA94" i="26"/>
  <c r="U94" i="26"/>
  <c r="O94" i="26"/>
  <c r="I94" i="26"/>
  <c r="AA93" i="26"/>
  <c r="U93" i="26"/>
  <c r="O93" i="26"/>
  <c r="I93" i="26"/>
  <c r="AA92" i="26"/>
  <c r="U92" i="26"/>
  <c r="O92" i="26"/>
  <c r="I92" i="26"/>
  <c r="AB91" i="26"/>
  <c r="U91" i="26"/>
  <c r="O91" i="26"/>
  <c r="I91" i="26"/>
  <c r="AA90" i="26"/>
  <c r="U90" i="26"/>
  <c r="O90" i="26"/>
  <c r="I90" i="26"/>
  <c r="AA89" i="26"/>
  <c r="U89" i="26"/>
  <c r="O89" i="26"/>
  <c r="I89" i="26"/>
  <c r="AA88" i="26"/>
  <c r="U88" i="26"/>
  <c r="O88" i="26"/>
  <c r="I88" i="26"/>
  <c r="AA87" i="26"/>
  <c r="U87" i="26"/>
  <c r="O87" i="26"/>
  <c r="I87" i="26"/>
  <c r="AA86" i="26"/>
  <c r="U86" i="26"/>
  <c r="O86" i="26"/>
  <c r="I86" i="26"/>
  <c r="AA85" i="26"/>
  <c r="U85" i="26"/>
  <c r="O85" i="26"/>
  <c r="I85" i="26"/>
  <c r="AA84" i="26"/>
  <c r="U84" i="26"/>
  <c r="O84" i="26"/>
  <c r="I84" i="26"/>
  <c r="AA83" i="26"/>
  <c r="U83" i="26"/>
  <c r="O83" i="26"/>
  <c r="I83" i="26"/>
  <c r="AA82" i="26"/>
  <c r="U82" i="26"/>
  <c r="O82" i="26"/>
  <c r="I82" i="26"/>
  <c r="AA81" i="26"/>
  <c r="U81" i="26"/>
  <c r="O81" i="26"/>
  <c r="I81" i="26"/>
  <c r="AA80" i="26"/>
  <c r="U80" i="26"/>
  <c r="O80" i="26"/>
  <c r="I80" i="26"/>
  <c r="AA79" i="26"/>
  <c r="U79" i="26"/>
  <c r="O79" i="26"/>
  <c r="I79" i="26"/>
  <c r="AA78" i="26"/>
  <c r="U78" i="26"/>
  <c r="O78" i="26"/>
  <c r="I78" i="26"/>
  <c r="AA77" i="26"/>
  <c r="U77" i="26"/>
  <c r="O77" i="26"/>
  <c r="I77" i="26"/>
  <c r="AA76" i="26"/>
  <c r="U76" i="26"/>
  <c r="O76" i="26"/>
  <c r="I76" i="26"/>
  <c r="U75" i="26"/>
  <c r="O75" i="26"/>
  <c r="I75" i="26"/>
  <c r="AA74" i="26"/>
  <c r="U74" i="26"/>
  <c r="O74" i="26"/>
  <c r="I74" i="26"/>
  <c r="AA73" i="26"/>
  <c r="U73" i="26"/>
  <c r="O73" i="26"/>
  <c r="I73" i="26"/>
  <c r="AA72" i="26"/>
  <c r="U72" i="26"/>
  <c r="O72" i="26"/>
  <c r="I72" i="26"/>
  <c r="AA71" i="26"/>
  <c r="U71" i="26"/>
  <c r="O71" i="26"/>
  <c r="I71" i="26"/>
  <c r="AA70" i="26"/>
  <c r="U70" i="26"/>
  <c r="O70" i="26"/>
  <c r="I70" i="26"/>
  <c r="AA69" i="26"/>
  <c r="U69" i="26"/>
  <c r="O69" i="26"/>
  <c r="I69" i="26"/>
  <c r="AA68" i="26"/>
  <c r="U68" i="26"/>
  <c r="O68" i="26"/>
  <c r="I68" i="26"/>
  <c r="AA67" i="26"/>
  <c r="O67" i="26"/>
  <c r="I67" i="26"/>
  <c r="AA66" i="26"/>
  <c r="U66" i="26"/>
  <c r="O66" i="26"/>
  <c r="I66" i="26"/>
  <c r="O65" i="26"/>
  <c r="I65" i="26"/>
  <c r="AA64" i="26"/>
  <c r="O64" i="26"/>
  <c r="I64" i="26"/>
  <c r="AA63" i="26"/>
  <c r="O63" i="26"/>
  <c r="I63" i="26"/>
  <c r="AB62" i="26"/>
  <c r="X62" i="26"/>
  <c r="W62" i="26"/>
  <c r="T62" i="26"/>
  <c r="O62" i="26"/>
  <c r="I62" i="26"/>
  <c r="AA61" i="26"/>
  <c r="U61" i="26"/>
  <c r="O61" i="26"/>
  <c r="I61" i="26"/>
  <c r="F61" i="26"/>
  <c r="E61" i="26"/>
  <c r="B61" i="26"/>
  <c r="AA60" i="26"/>
  <c r="U60" i="26"/>
  <c r="O60" i="26"/>
  <c r="I60" i="26"/>
  <c r="D60" i="26"/>
  <c r="C60" i="26"/>
  <c r="AA59" i="26"/>
  <c r="U59" i="26"/>
  <c r="O59" i="26"/>
  <c r="I59" i="26"/>
  <c r="D59" i="26"/>
  <c r="C59" i="26"/>
  <c r="AA58" i="26"/>
  <c r="U58" i="26"/>
  <c r="O58" i="26"/>
  <c r="I58" i="26"/>
  <c r="D58" i="26"/>
  <c r="C58" i="26"/>
  <c r="AA57" i="26"/>
  <c r="U57" i="26"/>
  <c r="O57" i="26"/>
  <c r="I57" i="26"/>
  <c r="D57" i="26"/>
  <c r="C57" i="26"/>
  <c r="AA56" i="26"/>
  <c r="U56" i="26"/>
  <c r="O56" i="26"/>
  <c r="I56" i="26"/>
  <c r="D56" i="26"/>
  <c r="C56" i="26"/>
  <c r="AB55" i="26"/>
  <c r="U55" i="26"/>
  <c r="O55" i="26"/>
  <c r="D55" i="26"/>
  <c r="C55" i="26"/>
  <c r="AA54" i="26"/>
  <c r="U54" i="26"/>
  <c r="O54" i="26"/>
  <c r="D54" i="26"/>
  <c r="C54" i="26"/>
  <c r="AA53" i="26"/>
  <c r="U53" i="26"/>
  <c r="O53" i="26"/>
  <c r="L53" i="26"/>
  <c r="K53" i="26"/>
  <c r="J53" i="26"/>
  <c r="H53" i="26"/>
  <c r="D53" i="26"/>
  <c r="C53" i="26"/>
  <c r="AA52" i="26"/>
  <c r="U52" i="26"/>
  <c r="O52" i="26"/>
  <c r="I52" i="26"/>
  <c r="D52" i="26"/>
  <c r="C52" i="26"/>
  <c r="AA51" i="26"/>
  <c r="U51" i="26"/>
  <c r="O51" i="26"/>
  <c r="I51" i="26"/>
  <c r="D51" i="26"/>
  <c r="C51" i="26"/>
  <c r="AA50" i="26"/>
  <c r="U50" i="26"/>
  <c r="O50" i="26"/>
  <c r="I50" i="26"/>
  <c r="D50" i="26"/>
  <c r="C50" i="26"/>
  <c r="AA49" i="26"/>
  <c r="U49" i="26"/>
  <c r="O49" i="26"/>
  <c r="I49" i="26"/>
  <c r="D49" i="26"/>
  <c r="C49" i="26"/>
  <c r="AA48" i="26"/>
  <c r="U48" i="26"/>
  <c r="O48" i="26"/>
  <c r="I48" i="26"/>
  <c r="D48" i="26"/>
  <c r="C48" i="26"/>
  <c r="AA47" i="26"/>
  <c r="U47" i="26"/>
  <c r="O47" i="26"/>
  <c r="I47" i="26"/>
  <c r="D47" i="26"/>
  <c r="C47" i="26"/>
  <c r="AA46" i="26"/>
  <c r="U46" i="26"/>
  <c r="O46" i="26"/>
  <c r="I46" i="26"/>
  <c r="D46" i="26"/>
  <c r="C46" i="26"/>
  <c r="AA45" i="26"/>
  <c r="U45" i="26"/>
  <c r="O45" i="26"/>
  <c r="I45" i="26"/>
  <c r="D45" i="26"/>
  <c r="C45" i="26"/>
  <c r="AA44" i="26"/>
  <c r="U44" i="26"/>
  <c r="O44" i="26"/>
  <c r="I44" i="26"/>
  <c r="D44" i="26"/>
  <c r="C44" i="26"/>
  <c r="AA43" i="26"/>
  <c r="U43" i="26"/>
  <c r="O43" i="26"/>
  <c r="I43" i="26"/>
  <c r="D43" i="26"/>
  <c r="C43" i="26"/>
  <c r="AA42" i="26"/>
  <c r="U42" i="26"/>
  <c r="O42" i="26"/>
  <c r="I42" i="26"/>
  <c r="D42" i="26"/>
  <c r="C42" i="26"/>
  <c r="AA41" i="26"/>
  <c r="U41" i="26"/>
  <c r="O41" i="26"/>
  <c r="I41" i="26"/>
  <c r="D41" i="26"/>
  <c r="C41" i="26"/>
  <c r="AA40" i="26"/>
  <c r="U40" i="26"/>
  <c r="O40" i="26"/>
  <c r="I40" i="26"/>
  <c r="D40" i="26"/>
  <c r="C40" i="26"/>
  <c r="AA39" i="26"/>
  <c r="U39" i="26"/>
  <c r="O39" i="26"/>
  <c r="I39" i="26"/>
  <c r="D39" i="26"/>
  <c r="C39" i="26"/>
  <c r="AA38" i="26"/>
  <c r="U38" i="26"/>
  <c r="O38" i="26"/>
  <c r="I38" i="26"/>
  <c r="D38" i="26"/>
  <c r="C38" i="26"/>
  <c r="AA37" i="26"/>
  <c r="U37" i="26"/>
  <c r="O37" i="26"/>
  <c r="I37" i="26"/>
  <c r="D37" i="26"/>
  <c r="C37" i="26"/>
  <c r="AA36" i="26"/>
  <c r="U36" i="26"/>
  <c r="O36" i="26"/>
  <c r="I36" i="26"/>
  <c r="D36" i="26"/>
  <c r="C36" i="26"/>
  <c r="AA35" i="26"/>
  <c r="O35" i="26"/>
  <c r="I35" i="26"/>
  <c r="D35" i="26"/>
  <c r="C35" i="26"/>
  <c r="AA34" i="26"/>
  <c r="U34" i="26"/>
  <c r="O34" i="26"/>
  <c r="I34" i="26"/>
  <c r="D34" i="26"/>
  <c r="C34" i="26"/>
  <c r="AA33" i="26"/>
  <c r="O33" i="26"/>
  <c r="I33" i="26"/>
  <c r="D33" i="26"/>
  <c r="C33" i="26"/>
  <c r="AA32" i="26"/>
  <c r="O32" i="26"/>
  <c r="I32" i="26"/>
  <c r="D32" i="26"/>
  <c r="C32" i="26"/>
  <c r="AO31" i="26"/>
  <c r="AN31" i="26"/>
  <c r="AK31" i="26"/>
  <c r="AB31" i="26"/>
  <c r="X31" i="26"/>
  <c r="W31" i="26"/>
  <c r="T31" i="26"/>
  <c r="O31" i="26"/>
  <c r="I31" i="26"/>
  <c r="D31" i="26"/>
  <c r="C31" i="26"/>
  <c r="AL30" i="26"/>
  <c r="AA30" i="26"/>
  <c r="U30" i="26"/>
  <c r="O30" i="26"/>
  <c r="I30" i="26"/>
  <c r="D30" i="26"/>
  <c r="C30" i="26"/>
  <c r="AL29" i="26"/>
  <c r="AA29" i="26"/>
  <c r="U29" i="26"/>
  <c r="O29" i="26"/>
  <c r="I29" i="26"/>
  <c r="D29" i="26"/>
  <c r="C29" i="26"/>
  <c r="AL28" i="26"/>
  <c r="AA28" i="26"/>
  <c r="U28" i="26"/>
  <c r="O28" i="26"/>
  <c r="I28" i="26"/>
  <c r="D28" i="26"/>
  <c r="C28" i="26"/>
  <c r="AL27" i="26"/>
  <c r="U27" i="26"/>
  <c r="O27" i="26"/>
  <c r="I27" i="26"/>
  <c r="D27" i="26"/>
  <c r="C27" i="26"/>
  <c r="AL26" i="26"/>
  <c r="AJ26" i="26"/>
  <c r="AI26" i="26"/>
  <c r="AH26" i="26"/>
  <c r="AF26" i="26"/>
  <c r="AA26" i="26"/>
  <c r="U26" i="26"/>
  <c r="O26" i="26"/>
  <c r="I26" i="26"/>
  <c r="D26" i="26"/>
  <c r="C26" i="26"/>
  <c r="AL25" i="26"/>
  <c r="AG25" i="26"/>
  <c r="AA25" i="26"/>
  <c r="U25" i="26"/>
  <c r="O25" i="26"/>
  <c r="I25" i="26"/>
  <c r="D25" i="26"/>
  <c r="C25" i="26"/>
  <c r="AL24" i="26"/>
  <c r="AG24" i="26"/>
  <c r="AA24" i="26"/>
  <c r="U24" i="26"/>
  <c r="O24" i="26"/>
  <c r="I24" i="26"/>
  <c r="D24" i="26"/>
  <c r="C24" i="26"/>
  <c r="AL23" i="26"/>
  <c r="AG23" i="26"/>
  <c r="AB23" i="26"/>
  <c r="U23" i="26"/>
  <c r="O23" i="26"/>
  <c r="I23" i="26"/>
  <c r="D23" i="26"/>
  <c r="C23" i="26"/>
  <c r="AL22" i="26"/>
  <c r="AG22" i="26"/>
  <c r="AA22" i="26"/>
  <c r="U22" i="26"/>
  <c r="O22" i="26"/>
  <c r="I22" i="26"/>
  <c r="D22" i="26"/>
  <c r="C22" i="26"/>
  <c r="AL21" i="26"/>
  <c r="AG21" i="26"/>
  <c r="AA21" i="26"/>
  <c r="U21" i="26"/>
  <c r="O21" i="26"/>
  <c r="I21" i="26"/>
  <c r="D21" i="26"/>
  <c r="C21" i="26"/>
  <c r="AL20" i="26"/>
  <c r="AG20" i="26"/>
  <c r="AA20" i="26"/>
  <c r="U20" i="26"/>
  <c r="O20" i="26"/>
  <c r="I20" i="26"/>
  <c r="C20" i="26"/>
  <c r="AL19" i="26"/>
  <c r="AG19" i="26"/>
  <c r="AA19" i="26"/>
  <c r="U19" i="26"/>
  <c r="O19" i="26"/>
  <c r="I19" i="26"/>
  <c r="C19" i="26"/>
  <c r="AL18" i="26"/>
  <c r="AG18" i="26"/>
  <c r="AA18" i="26"/>
  <c r="U18" i="26"/>
  <c r="O18" i="26"/>
  <c r="I18" i="26"/>
  <c r="C18" i="26"/>
  <c r="AM17" i="26"/>
  <c r="AM31" i="26" s="1"/>
  <c r="AG17" i="26"/>
  <c r="AA17" i="26"/>
  <c r="V17" i="26"/>
  <c r="V31" i="26" s="1"/>
  <c r="O17" i="26"/>
  <c r="I17" i="26"/>
  <c r="AL16" i="26"/>
  <c r="AG16" i="26"/>
  <c r="AA16" i="26"/>
  <c r="U16" i="26"/>
  <c r="O16" i="26"/>
  <c r="I16" i="26"/>
  <c r="G12" i="26"/>
  <c r="F12" i="26"/>
  <c r="E12" i="26"/>
  <c r="D12" i="26"/>
  <c r="C12" i="26"/>
  <c r="J10" i="26"/>
  <c r="B7" i="26"/>
  <c r="B6" i="26"/>
  <c r="B5" i="26"/>
  <c r="B4" i="26"/>
  <c r="B3" i="26"/>
  <c r="AM17" i="25"/>
  <c r="AM31" i="25" s="1"/>
  <c r="V35" i="25"/>
  <c r="V62" i="25" s="1"/>
  <c r="AA79" i="25"/>
  <c r="AA80" i="25"/>
  <c r="AA81" i="25"/>
  <c r="AA82" i="25"/>
  <c r="AA83" i="25"/>
  <c r="AA84" i="25"/>
  <c r="AA85" i="25"/>
  <c r="AA86" i="25"/>
  <c r="AA87" i="25"/>
  <c r="AA39" i="25"/>
  <c r="AD169" i="25"/>
  <c r="AC169" i="25"/>
  <c r="Z169" i="25"/>
  <c r="AB168" i="25"/>
  <c r="AA168" i="25"/>
  <c r="AB167" i="25"/>
  <c r="AA167" i="25"/>
  <c r="AB166" i="25"/>
  <c r="AA166" i="25"/>
  <c r="AB165" i="25"/>
  <c r="AA165" i="25"/>
  <c r="AB164" i="25"/>
  <c r="AA164" i="25"/>
  <c r="AB163" i="25"/>
  <c r="AA163" i="25"/>
  <c r="AB162" i="25"/>
  <c r="AA162" i="25"/>
  <c r="AB161" i="25"/>
  <c r="AA161" i="25"/>
  <c r="AB160" i="25"/>
  <c r="AA160" i="25"/>
  <c r="AB159" i="25"/>
  <c r="AA159" i="25"/>
  <c r="AB158" i="25"/>
  <c r="AA158" i="25"/>
  <c r="AB157" i="25"/>
  <c r="AA157" i="25"/>
  <c r="AB156" i="25"/>
  <c r="AA156" i="25"/>
  <c r="AB155" i="25"/>
  <c r="AA155" i="25"/>
  <c r="AB154" i="25"/>
  <c r="AA154" i="25"/>
  <c r="AB153" i="25"/>
  <c r="AA153" i="25"/>
  <c r="AB152" i="25"/>
  <c r="AA152" i="25"/>
  <c r="AB151" i="25"/>
  <c r="AA151" i="25"/>
  <c r="AB150" i="25"/>
  <c r="AA150" i="25"/>
  <c r="AB149" i="25"/>
  <c r="AA149" i="25"/>
  <c r="AB148" i="25"/>
  <c r="AA148" i="25"/>
  <c r="AB147" i="25"/>
  <c r="AA147" i="25"/>
  <c r="AB146" i="25"/>
  <c r="AA146" i="25"/>
  <c r="AB145" i="25"/>
  <c r="AA145" i="25"/>
  <c r="AB144" i="25"/>
  <c r="AA144" i="25"/>
  <c r="AB143" i="25"/>
  <c r="AA143" i="25"/>
  <c r="AB142" i="25"/>
  <c r="AA142" i="25"/>
  <c r="AB141" i="25"/>
  <c r="AA141" i="25"/>
  <c r="AB140" i="25"/>
  <c r="AA140" i="25"/>
  <c r="AB139" i="25"/>
  <c r="AA139" i="25"/>
  <c r="AB138" i="25"/>
  <c r="AA138" i="25"/>
  <c r="AB137" i="25"/>
  <c r="AA137" i="25"/>
  <c r="AB136" i="25"/>
  <c r="AA136" i="25"/>
  <c r="AB135" i="25"/>
  <c r="AA135" i="25"/>
  <c r="R135" i="25"/>
  <c r="Q135" i="25"/>
  <c r="P135" i="25"/>
  <c r="N135" i="25"/>
  <c r="AB134" i="25"/>
  <c r="AA134" i="25"/>
  <c r="O134" i="25"/>
  <c r="AB133" i="25"/>
  <c r="AA133" i="25"/>
  <c r="AB132" i="25"/>
  <c r="AA132" i="25"/>
  <c r="AB131" i="25"/>
  <c r="AA131" i="25"/>
  <c r="AB130" i="25"/>
  <c r="AA130" i="25"/>
  <c r="AB129" i="25"/>
  <c r="AA129" i="25"/>
  <c r="AB128" i="25"/>
  <c r="AA128" i="25"/>
  <c r="AB127" i="25"/>
  <c r="AA127" i="25"/>
  <c r="AB126" i="25"/>
  <c r="AA126" i="25"/>
  <c r="AB125" i="25"/>
  <c r="AA125" i="25"/>
  <c r="AB124" i="25"/>
  <c r="AA124" i="25"/>
  <c r="AB123" i="25"/>
  <c r="AA123" i="25"/>
  <c r="X123" i="25"/>
  <c r="W123" i="25"/>
  <c r="V123" i="25"/>
  <c r="T123" i="25"/>
  <c r="AB122" i="25"/>
  <c r="AA122" i="25"/>
  <c r="U122" i="25"/>
  <c r="O122" i="25"/>
  <c r="AB121" i="25"/>
  <c r="AA121" i="25"/>
  <c r="U121" i="25"/>
  <c r="O121" i="25"/>
  <c r="AB120" i="25"/>
  <c r="AA120" i="25"/>
  <c r="U120" i="25"/>
  <c r="O120" i="25"/>
  <c r="AB119" i="25"/>
  <c r="AA119" i="25"/>
  <c r="U119" i="25"/>
  <c r="O119" i="25"/>
  <c r="AB118" i="25"/>
  <c r="AA118" i="25"/>
  <c r="U118" i="25"/>
  <c r="O118" i="25"/>
  <c r="AB117" i="25"/>
  <c r="AA117" i="25"/>
  <c r="U117" i="25"/>
  <c r="O117" i="25"/>
  <c r="AB116" i="25"/>
  <c r="AA116" i="25"/>
  <c r="U116" i="25"/>
  <c r="O116" i="25"/>
  <c r="AB115" i="25"/>
  <c r="AA115" i="25"/>
  <c r="U115" i="25"/>
  <c r="O115" i="25"/>
  <c r="AB114" i="25"/>
  <c r="AA114" i="25"/>
  <c r="U114" i="25"/>
  <c r="O114" i="25"/>
  <c r="AB113" i="25"/>
  <c r="AA113" i="25"/>
  <c r="U113" i="25"/>
  <c r="O113" i="25"/>
  <c r="AB112" i="25"/>
  <c r="AA112" i="25"/>
  <c r="U112" i="25"/>
  <c r="O112" i="25"/>
  <c r="AB111" i="25"/>
  <c r="AA111" i="25"/>
  <c r="U111" i="25"/>
  <c r="O111" i="25"/>
  <c r="AB110" i="25"/>
  <c r="AA110" i="25"/>
  <c r="U110" i="25"/>
  <c r="O110" i="25"/>
  <c r="AB109" i="25"/>
  <c r="AA109" i="25"/>
  <c r="U109" i="25"/>
  <c r="O109" i="25"/>
  <c r="AB108" i="25"/>
  <c r="AA108" i="25"/>
  <c r="U108" i="25"/>
  <c r="O108" i="25"/>
  <c r="AB107" i="25"/>
  <c r="AA107" i="25"/>
  <c r="U107" i="25"/>
  <c r="O107" i="25"/>
  <c r="AB106" i="25"/>
  <c r="AA106" i="25"/>
  <c r="U106" i="25"/>
  <c r="O106" i="25"/>
  <c r="AB105" i="25"/>
  <c r="AA105" i="25"/>
  <c r="U105" i="25"/>
  <c r="O105" i="25"/>
  <c r="AB104" i="25"/>
  <c r="AA104" i="25"/>
  <c r="U104" i="25"/>
  <c r="O104" i="25"/>
  <c r="AB103" i="25"/>
  <c r="AA103" i="25"/>
  <c r="U103" i="25"/>
  <c r="O103" i="25"/>
  <c r="AB102" i="25"/>
  <c r="AA102" i="25"/>
  <c r="U102" i="25"/>
  <c r="O102" i="25"/>
  <c r="L102" i="25"/>
  <c r="K102" i="25"/>
  <c r="J102" i="25"/>
  <c r="H102" i="25"/>
  <c r="AB101" i="25"/>
  <c r="AA101" i="25"/>
  <c r="U101" i="25"/>
  <c r="O101" i="25"/>
  <c r="I101" i="25"/>
  <c r="AB100" i="25"/>
  <c r="AA100" i="25"/>
  <c r="U100" i="25"/>
  <c r="O100" i="25"/>
  <c r="I100" i="25"/>
  <c r="AB99" i="25"/>
  <c r="AA99" i="25"/>
  <c r="U99" i="25"/>
  <c r="O99" i="25"/>
  <c r="I99" i="25"/>
  <c r="AB98" i="25"/>
  <c r="AA98" i="25"/>
  <c r="U98" i="25"/>
  <c r="O98" i="25"/>
  <c r="I98" i="25"/>
  <c r="AA97" i="25"/>
  <c r="U97" i="25"/>
  <c r="O97" i="25"/>
  <c r="I97" i="25"/>
  <c r="AA96" i="25"/>
  <c r="U96" i="25"/>
  <c r="O96" i="25"/>
  <c r="I96" i="25"/>
  <c r="U95" i="25"/>
  <c r="O95" i="25"/>
  <c r="I95" i="25"/>
  <c r="AA94" i="25"/>
  <c r="U94" i="25"/>
  <c r="O94" i="25"/>
  <c r="I94" i="25"/>
  <c r="AA93" i="25"/>
  <c r="U93" i="25"/>
  <c r="O93" i="25"/>
  <c r="I93" i="25"/>
  <c r="AA92" i="25"/>
  <c r="U92" i="25"/>
  <c r="O92" i="25"/>
  <c r="I92" i="25"/>
  <c r="AB91" i="25"/>
  <c r="U91" i="25"/>
  <c r="O91" i="25"/>
  <c r="I91" i="25"/>
  <c r="AA90" i="25"/>
  <c r="U90" i="25"/>
  <c r="O90" i="25"/>
  <c r="I90" i="25"/>
  <c r="AA89" i="25"/>
  <c r="U89" i="25"/>
  <c r="O89" i="25"/>
  <c r="I89" i="25"/>
  <c r="AA88" i="25"/>
  <c r="U88" i="25"/>
  <c r="O88" i="25"/>
  <c r="I88" i="25"/>
  <c r="U87" i="25"/>
  <c r="O87" i="25"/>
  <c r="I87" i="25"/>
  <c r="U86" i="25"/>
  <c r="O86" i="25"/>
  <c r="I86" i="25"/>
  <c r="U85" i="25"/>
  <c r="O85" i="25"/>
  <c r="I85" i="25"/>
  <c r="U84" i="25"/>
  <c r="O84" i="25"/>
  <c r="I84" i="25"/>
  <c r="U83" i="25"/>
  <c r="O83" i="25"/>
  <c r="I83" i="25"/>
  <c r="U82" i="25"/>
  <c r="O82" i="25"/>
  <c r="I82" i="25"/>
  <c r="U81" i="25"/>
  <c r="O81" i="25"/>
  <c r="I81" i="25"/>
  <c r="U80" i="25"/>
  <c r="O80" i="25"/>
  <c r="I80" i="25"/>
  <c r="U79" i="25"/>
  <c r="O79" i="25"/>
  <c r="I79" i="25"/>
  <c r="AA78" i="25"/>
  <c r="U78" i="25"/>
  <c r="O78" i="25"/>
  <c r="I78" i="25"/>
  <c r="AA77" i="25"/>
  <c r="U77" i="25"/>
  <c r="O77" i="25"/>
  <c r="I77" i="25"/>
  <c r="AA76" i="25"/>
  <c r="U76" i="25"/>
  <c r="O76" i="25"/>
  <c r="I76" i="25"/>
  <c r="U75" i="25"/>
  <c r="O75" i="25"/>
  <c r="I75" i="25"/>
  <c r="AA74" i="25"/>
  <c r="U74" i="25"/>
  <c r="O74" i="25"/>
  <c r="I74" i="25"/>
  <c r="AA73" i="25"/>
  <c r="U73" i="25"/>
  <c r="O73" i="25"/>
  <c r="I73" i="25"/>
  <c r="AA72" i="25"/>
  <c r="U72" i="25"/>
  <c r="O72" i="25"/>
  <c r="I72" i="25"/>
  <c r="AA71" i="25"/>
  <c r="U71" i="25"/>
  <c r="O71" i="25"/>
  <c r="I71" i="25"/>
  <c r="AA70" i="25"/>
  <c r="U70" i="25"/>
  <c r="O70" i="25"/>
  <c r="I70" i="25"/>
  <c r="AA69" i="25"/>
  <c r="U69" i="25"/>
  <c r="O69" i="25"/>
  <c r="I69" i="25"/>
  <c r="AA68" i="25"/>
  <c r="U68" i="25"/>
  <c r="O68" i="25"/>
  <c r="I68" i="25"/>
  <c r="AA67" i="25"/>
  <c r="U67" i="25"/>
  <c r="O67" i="25"/>
  <c r="I67" i="25"/>
  <c r="AA66" i="25"/>
  <c r="U66" i="25"/>
  <c r="O66" i="25"/>
  <c r="I66" i="25"/>
  <c r="O65" i="25"/>
  <c r="I65" i="25"/>
  <c r="AA64" i="25"/>
  <c r="O64" i="25"/>
  <c r="I64" i="25"/>
  <c r="AA63" i="25"/>
  <c r="O63" i="25"/>
  <c r="I63" i="25"/>
  <c r="AB62" i="25"/>
  <c r="X62" i="25"/>
  <c r="W62" i="25"/>
  <c r="O62" i="25"/>
  <c r="I62" i="25"/>
  <c r="AA61" i="25"/>
  <c r="U61" i="25"/>
  <c r="O61" i="25"/>
  <c r="I61" i="25"/>
  <c r="F61" i="25"/>
  <c r="E61" i="25"/>
  <c r="B61" i="25"/>
  <c r="AA60" i="25"/>
  <c r="U60" i="25"/>
  <c r="O60" i="25"/>
  <c r="I60" i="25"/>
  <c r="D60" i="25"/>
  <c r="C60" i="25"/>
  <c r="AA59" i="25"/>
  <c r="U59" i="25"/>
  <c r="O59" i="25"/>
  <c r="I59" i="25"/>
  <c r="D59" i="25"/>
  <c r="C59" i="25"/>
  <c r="AA58" i="25"/>
  <c r="U58" i="25"/>
  <c r="O58" i="25"/>
  <c r="I58" i="25"/>
  <c r="D58" i="25"/>
  <c r="C58" i="25"/>
  <c r="AA57" i="25"/>
  <c r="U57" i="25"/>
  <c r="O57" i="25"/>
  <c r="I57" i="25"/>
  <c r="D57" i="25"/>
  <c r="C57" i="25"/>
  <c r="AA56" i="25"/>
  <c r="U56" i="25"/>
  <c r="O56" i="25"/>
  <c r="I56" i="25"/>
  <c r="D56" i="25"/>
  <c r="C56" i="25"/>
  <c r="AB55" i="25"/>
  <c r="U55" i="25"/>
  <c r="O55" i="25"/>
  <c r="D55" i="25"/>
  <c r="C55" i="25"/>
  <c r="AA54" i="25"/>
  <c r="U54" i="25"/>
  <c r="O54" i="25"/>
  <c r="D54" i="25"/>
  <c r="C54" i="25"/>
  <c r="AA53" i="25"/>
  <c r="U53" i="25"/>
  <c r="O53" i="25"/>
  <c r="L53" i="25"/>
  <c r="K53" i="25"/>
  <c r="J53" i="25"/>
  <c r="H53" i="25"/>
  <c r="D53" i="25"/>
  <c r="C53" i="25"/>
  <c r="AA52" i="25"/>
  <c r="U52" i="25"/>
  <c r="O52" i="25"/>
  <c r="I52" i="25"/>
  <c r="D52" i="25"/>
  <c r="C52" i="25"/>
  <c r="AA51" i="25"/>
  <c r="U51" i="25"/>
  <c r="O51" i="25"/>
  <c r="I51" i="25"/>
  <c r="D51" i="25"/>
  <c r="C51" i="25"/>
  <c r="AA50" i="25"/>
  <c r="U50" i="25"/>
  <c r="O50" i="25"/>
  <c r="I50" i="25"/>
  <c r="D50" i="25"/>
  <c r="C50" i="25"/>
  <c r="AA49" i="25"/>
  <c r="U49" i="25"/>
  <c r="O49" i="25"/>
  <c r="I49" i="25"/>
  <c r="D49" i="25"/>
  <c r="C49" i="25"/>
  <c r="AA48" i="25"/>
  <c r="U48" i="25"/>
  <c r="O48" i="25"/>
  <c r="I48" i="25"/>
  <c r="D48" i="25"/>
  <c r="C48" i="25"/>
  <c r="AA47" i="25"/>
  <c r="U47" i="25"/>
  <c r="O47" i="25"/>
  <c r="I47" i="25"/>
  <c r="D47" i="25"/>
  <c r="C47" i="25"/>
  <c r="AA46" i="25"/>
  <c r="U46" i="25"/>
  <c r="O46" i="25"/>
  <c r="I46" i="25"/>
  <c r="D46" i="25"/>
  <c r="C46" i="25"/>
  <c r="AA45" i="25"/>
  <c r="U45" i="25"/>
  <c r="O45" i="25"/>
  <c r="I45" i="25"/>
  <c r="D45" i="25"/>
  <c r="C45" i="25"/>
  <c r="AA44" i="25"/>
  <c r="U44" i="25"/>
  <c r="O44" i="25"/>
  <c r="I44" i="25"/>
  <c r="D44" i="25"/>
  <c r="C44" i="25"/>
  <c r="AA43" i="25"/>
  <c r="U43" i="25"/>
  <c r="O43" i="25"/>
  <c r="I43" i="25"/>
  <c r="D43" i="25"/>
  <c r="C43" i="25"/>
  <c r="AA42" i="25"/>
  <c r="U42" i="25"/>
  <c r="O42" i="25"/>
  <c r="I42" i="25"/>
  <c r="D42" i="25"/>
  <c r="C42" i="25"/>
  <c r="AA41" i="25"/>
  <c r="U41" i="25"/>
  <c r="O41" i="25"/>
  <c r="I41" i="25"/>
  <c r="D41" i="25"/>
  <c r="C41" i="25"/>
  <c r="AA40" i="25"/>
  <c r="U40" i="25"/>
  <c r="O40" i="25"/>
  <c r="I40" i="25"/>
  <c r="D40" i="25"/>
  <c r="C40" i="25"/>
  <c r="U39" i="25"/>
  <c r="O39" i="25"/>
  <c r="I39" i="25"/>
  <c r="D39" i="25"/>
  <c r="C39" i="25"/>
  <c r="AA38" i="25"/>
  <c r="U38" i="25"/>
  <c r="O38" i="25"/>
  <c r="I38" i="25"/>
  <c r="D38" i="25"/>
  <c r="C38" i="25"/>
  <c r="AA37" i="25"/>
  <c r="U37" i="25"/>
  <c r="O37" i="25"/>
  <c r="I37" i="25"/>
  <c r="D37" i="25"/>
  <c r="C37" i="25"/>
  <c r="AA36" i="25"/>
  <c r="U36" i="25"/>
  <c r="O36" i="25"/>
  <c r="I36" i="25"/>
  <c r="D36" i="25"/>
  <c r="C36" i="25"/>
  <c r="AA35" i="25"/>
  <c r="T62" i="25"/>
  <c r="O35" i="25"/>
  <c r="I35" i="25"/>
  <c r="D35" i="25"/>
  <c r="C35" i="25"/>
  <c r="AA34" i="25"/>
  <c r="U34" i="25"/>
  <c r="O34" i="25"/>
  <c r="I34" i="25"/>
  <c r="D34" i="25"/>
  <c r="C34" i="25"/>
  <c r="AA33" i="25"/>
  <c r="O33" i="25"/>
  <c r="I33" i="25"/>
  <c r="D33" i="25"/>
  <c r="C33" i="25"/>
  <c r="AA32" i="25"/>
  <c r="O32" i="25"/>
  <c r="I32" i="25"/>
  <c r="D32" i="25"/>
  <c r="C32" i="25"/>
  <c r="AO31" i="25"/>
  <c r="AN31" i="25"/>
  <c r="AK31" i="25"/>
  <c r="AB31" i="25"/>
  <c r="X31" i="25"/>
  <c r="W31" i="25"/>
  <c r="T31" i="25"/>
  <c r="O31" i="25"/>
  <c r="I31" i="25"/>
  <c r="D31" i="25"/>
  <c r="C31" i="25"/>
  <c r="AL30" i="25"/>
  <c r="AA30" i="25"/>
  <c r="U30" i="25"/>
  <c r="O30" i="25"/>
  <c r="I30" i="25"/>
  <c r="D30" i="25"/>
  <c r="C30" i="25"/>
  <c r="AL29" i="25"/>
  <c r="AA29" i="25"/>
  <c r="U29" i="25"/>
  <c r="O29" i="25"/>
  <c r="I29" i="25"/>
  <c r="D29" i="25"/>
  <c r="C29" i="25"/>
  <c r="AL28" i="25"/>
  <c r="AA28" i="25"/>
  <c r="U28" i="25"/>
  <c r="O28" i="25"/>
  <c r="I28" i="25"/>
  <c r="D28" i="25"/>
  <c r="C28" i="25"/>
  <c r="AL27" i="25"/>
  <c r="U27" i="25"/>
  <c r="O27" i="25"/>
  <c r="I27" i="25"/>
  <c r="D27" i="25"/>
  <c r="C27" i="25"/>
  <c r="AL26" i="25"/>
  <c r="AJ26" i="25"/>
  <c r="AI26" i="25"/>
  <c r="AH26" i="25"/>
  <c r="AF26" i="25"/>
  <c r="AA26" i="25"/>
  <c r="U26" i="25"/>
  <c r="O26" i="25"/>
  <c r="I26" i="25"/>
  <c r="D26" i="25"/>
  <c r="C26" i="25"/>
  <c r="AL25" i="25"/>
  <c r="AG25" i="25"/>
  <c r="AA25" i="25"/>
  <c r="U25" i="25"/>
  <c r="O25" i="25"/>
  <c r="I25" i="25"/>
  <c r="D25" i="25"/>
  <c r="C25" i="25"/>
  <c r="AL24" i="25"/>
  <c r="AG24" i="25"/>
  <c r="AA24" i="25"/>
  <c r="U24" i="25"/>
  <c r="O24" i="25"/>
  <c r="I24" i="25"/>
  <c r="D24" i="25"/>
  <c r="C24" i="25"/>
  <c r="AL23" i="25"/>
  <c r="AG23" i="25"/>
  <c r="AB23" i="25"/>
  <c r="U23" i="25"/>
  <c r="O23" i="25"/>
  <c r="I23" i="25"/>
  <c r="D23" i="25"/>
  <c r="C23" i="25"/>
  <c r="AL22" i="25"/>
  <c r="AG22" i="25"/>
  <c r="AA22" i="25"/>
  <c r="U22" i="25"/>
  <c r="O22" i="25"/>
  <c r="I22" i="25"/>
  <c r="D22" i="25"/>
  <c r="C22" i="25"/>
  <c r="AL21" i="25"/>
  <c r="AG21" i="25"/>
  <c r="AA21" i="25"/>
  <c r="U21" i="25"/>
  <c r="O21" i="25"/>
  <c r="I21" i="25"/>
  <c r="D21" i="25"/>
  <c r="C21" i="25"/>
  <c r="AL20" i="25"/>
  <c r="AG20" i="25"/>
  <c r="AA20" i="25"/>
  <c r="U20" i="25"/>
  <c r="O20" i="25"/>
  <c r="I20" i="25"/>
  <c r="C20" i="25"/>
  <c r="AL19" i="25"/>
  <c r="AG19" i="25"/>
  <c r="AA19" i="25"/>
  <c r="U19" i="25"/>
  <c r="O19" i="25"/>
  <c r="I19" i="25"/>
  <c r="C19" i="25"/>
  <c r="AL18" i="25"/>
  <c r="AG18" i="25"/>
  <c r="AA18" i="25"/>
  <c r="U18" i="25"/>
  <c r="O18" i="25"/>
  <c r="I18" i="25"/>
  <c r="C18" i="25"/>
  <c r="AG17" i="25"/>
  <c r="AA17" i="25"/>
  <c r="V17" i="25"/>
  <c r="V31" i="25" s="1"/>
  <c r="O17" i="25"/>
  <c r="I17" i="25"/>
  <c r="D17" i="25"/>
  <c r="AL16" i="25"/>
  <c r="AG16" i="25"/>
  <c r="AA16" i="25"/>
  <c r="U16" i="25"/>
  <c r="O16" i="25"/>
  <c r="I16" i="25"/>
  <c r="C16" i="25"/>
  <c r="G12" i="25"/>
  <c r="F12" i="25"/>
  <c r="E12" i="25"/>
  <c r="D12" i="25"/>
  <c r="C12" i="25"/>
  <c r="J10" i="25"/>
  <c r="B7" i="25"/>
  <c r="B6" i="25"/>
  <c r="B5" i="25"/>
  <c r="B4" i="25"/>
  <c r="B3" i="25"/>
  <c r="AA78" i="24"/>
  <c r="AA74" i="24"/>
  <c r="AA67" i="24"/>
  <c r="AA63" i="24"/>
  <c r="AB62" i="24"/>
  <c r="AA60" i="24"/>
  <c r="AA57" i="24"/>
  <c r="AB55" i="24"/>
  <c r="AA53" i="24"/>
  <c r="AA34" i="24"/>
  <c r="D12" i="24"/>
  <c r="C12" i="24"/>
  <c r="D17" i="24"/>
  <c r="C16" i="24"/>
  <c r="T35" i="24"/>
  <c r="AD169" i="24"/>
  <c r="AC169" i="24"/>
  <c r="Z169" i="24"/>
  <c r="AB168" i="24"/>
  <c r="AA168" i="24"/>
  <c r="AB167" i="24"/>
  <c r="AA167" i="24"/>
  <c r="AB166" i="24"/>
  <c r="AA166" i="24"/>
  <c r="AB165" i="24"/>
  <c r="AA165" i="24"/>
  <c r="AB164" i="24"/>
  <c r="AA164" i="24"/>
  <c r="AB163" i="24"/>
  <c r="AA163" i="24"/>
  <c r="AB162" i="24"/>
  <c r="AA162" i="24"/>
  <c r="AB161" i="24"/>
  <c r="AA161" i="24"/>
  <c r="AB160" i="24"/>
  <c r="AA160" i="24"/>
  <c r="AB159" i="24"/>
  <c r="AA159" i="24"/>
  <c r="AB158" i="24"/>
  <c r="AA158" i="24"/>
  <c r="AB157" i="24"/>
  <c r="AA157" i="24"/>
  <c r="AB156" i="24"/>
  <c r="AA156" i="24"/>
  <c r="AB155" i="24"/>
  <c r="AA155" i="24"/>
  <c r="AB154" i="24"/>
  <c r="AA154" i="24"/>
  <c r="AB153" i="24"/>
  <c r="AA153" i="24"/>
  <c r="AB152" i="24"/>
  <c r="AA152" i="24"/>
  <c r="AB151" i="24"/>
  <c r="AA151" i="24"/>
  <c r="AB150" i="24"/>
  <c r="AA150" i="24"/>
  <c r="AB149" i="24"/>
  <c r="AA149" i="24"/>
  <c r="AB148" i="24"/>
  <c r="AA148" i="24"/>
  <c r="AB147" i="24"/>
  <c r="AA147" i="24"/>
  <c r="AB146" i="24"/>
  <c r="AA146" i="24"/>
  <c r="AB145" i="24"/>
  <c r="AA145" i="24"/>
  <c r="AB144" i="24"/>
  <c r="AA144" i="24"/>
  <c r="AB143" i="24"/>
  <c r="AA143" i="24"/>
  <c r="AB142" i="24"/>
  <c r="AA142" i="24"/>
  <c r="AB141" i="24"/>
  <c r="AA141" i="24"/>
  <c r="AB140" i="24"/>
  <c r="AA140" i="24"/>
  <c r="AB139" i="24"/>
  <c r="AA139" i="24"/>
  <c r="AB138" i="24"/>
  <c r="AA138" i="24"/>
  <c r="AB137" i="24"/>
  <c r="AA137" i="24"/>
  <c r="AB136" i="24"/>
  <c r="AA136" i="24"/>
  <c r="AB135" i="24"/>
  <c r="AA135" i="24"/>
  <c r="R135" i="24"/>
  <c r="Q135" i="24"/>
  <c r="P135" i="24"/>
  <c r="N135" i="24"/>
  <c r="AB134" i="24"/>
  <c r="AA134" i="24"/>
  <c r="O134" i="24"/>
  <c r="AB133" i="24"/>
  <c r="AA133" i="24"/>
  <c r="AB132" i="24"/>
  <c r="AA132" i="24"/>
  <c r="AB131" i="24"/>
  <c r="AA131" i="24"/>
  <c r="AB130" i="24"/>
  <c r="AA130" i="24"/>
  <c r="AB129" i="24"/>
  <c r="AA129" i="24"/>
  <c r="AB128" i="24"/>
  <c r="AA128" i="24"/>
  <c r="AB127" i="24"/>
  <c r="AA127" i="24"/>
  <c r="AB126" i="24"/>
  <c r="AA126" i="24"/>
  <c r="AB125" i="24"/>
  <c r="AA125" i="24"/>
  <c r="AB124" i="24"/>
  <c r="AA124" i="24"/>
  <c r="AB123" i="24"/>
  <c r="AA123" i="24"/>
  <c r="X123" i="24"/>
  <c r="W123" i="24"/>
  <c r="V123" i="24"/>
  <c r="T123" i="24"/>
  <c r="AB122" i="24"/>
  <c r="AA122" i="24"/>
  <c r="U122" i="24"/>
  <c r="O122" i="24"/>
  <c r="AB121" i="24"/>
  <c r="AA121" i="24"/>
  <c r="U121" i="24"/>
  <c r="O121" i="24"/>
  <c r="AB120" i="24"/>
  <c r="AA120" i="24"/>
  <c r="U120" i="24"/>
  <c r="O120" i="24"/>
  <c r="AB119" i="24"/>
  <c r="AA119" i="24"/>
  <c r="U119" i="24"/>
  <c r="O119" i="24"/>
  <c r="AB118" i="24"/>
  <c r="AA118" i="24"/>
  <c r="U118" i="24"/>
  <c r="O118" i="24"/>
  <c r="AB117" i="24"/>
  <c r="AA117" i="24"/>
  <c r="U117" i="24"/>
  <c r="O117" i="24"/>
  <c r="AB116" i="24"/>
  <c r="AA116" i="24"/>
  <c r="U116" i="24"/>
  <c r="O116" i="24"/>
  <c r="AB115" i="24"/>
  <c r="AA115" i="24"/>
  <c r="U115" i="24"/>
  <c r="O115" i="24"/>
  <c r="AB114" i="24"/>
  <c r="AA114" i="24"/>
  <c r="U114" i="24"/>
  <c r="O114" i="24"/>
  <c r="AB113" i="24"/>
  <c r="AA113" i="24"/>
  <c r="U113" i="24"/>
  <c r="O113" i="24"/>
  <c r="AB112" i="24"/>
  <c r="AA112" i="24"/>
  <c r="U112" i="24"/>
  <c r="O112" i="24"/>
  <c r="AB111" i="24"/>
  <c r="AA111" i="24"/>
  <c r="U111" i="24"/>
  <c r="O111" i="24"/>
  <c r="AB110" i="24"/>
  <c r="AA110" i="24"/>
  <c r="U110" i="24"/>
  <c r="O110" i="24"/>
  <c r="AB109" i="24"/>
  <c r="AA109" i="24"/>
  <c r="U109" i="24"/>
  <c r="O109" i="24"/>
  <c r="AB108" i="24"/>
  <c r="AA108" i="24"/>
  <c r="U108" i="24"/>
  <c r="O108" i="24"/>
  <c r="AB107" i="24"/>
  <c r="AA107" i="24"/>
  <c r="U107" i="24"/>
  <c r="O107" i="24"/>
  <c r="AB106" i="24"/>
  <c r="AA106" i="24"/>
  <c r="U106" i="24"/>
  <c r="O106" i="24"/>
  <c r="AB105" i="24"/>
  <c r="AA105" i="24"/>
  <c r="U105" i="24"/>
  <c r="O105" i="24"/>
  <c r="AB104" i="24"/>
  <c r="AA104" i="24"/>
  <c r="U104" i="24"/>
  <c r="O104" i="24"/>
  <c r="AB103" i="24"/>
  <c r="AA103" i="24"/>
  <c r="U103" i="24"/>
  <c r="O103" i="24"/>
  <c r="AB102" i="24"/>
  <c r="AA102" i="24"/>
  <c r="U102" i="24"/>
  <c r="O102" i="24"/>
  <c r="L102" i="24"/>
  <c r="K102" i="24"/>
  <c r="J102" i="24"/>
  <c r="H102" i="24"/>
  <c r="AB101" i="24"/>
  <c r="AA101" i="24"/>
  <c r="U101" i="24"/>
  <c r="O101" i="24"/>
  <c r="I101" i="24"/>
  <c r="AB100" i="24"/>
  <c r="AA100" i="24"/>
  <c r="U100" i="24"/>
  <c r="O100" i="24"/>
  <c r="I100" i="24"/>
  <c r="AB99" i="24"/>
  <c r="AA99" i="24"/>
  <c r="U99" i="24"/>
  <c r="O99" i="24"/>
  <c r="I99" i="24"/>
  <c r="AB98" i="24"/>
  <c r="AA98" i="24"/>
  <c r="U98" i="24"/>
  <c r="O98" i="24"/>
  <c r="I98" i="24"/>
  <c r="AB97" i="24"/>
  <c r="AA97" i="24"/>
  <c r="U97" i="24"/>
  <c r="O97" i="24"/>
  <c r="I97" i="24"/>
  <c r="AB96" i="24"/>
  <c r="AA96" i="24"/>
  <c r="U96" i="24"/>
  <c r="O96" i="24"/>
  <c r="I96" i="24"/>
  <c r="AB95" i="24"/>
  <c r="U95" i="24"/>
  <c r="O95" i="24"/>
  <c r="I95" i="24"/>
  <c r="AA94" i="24"/>
  <c r="U94" i="24"/>
  <c r="O94" i="24"/>
  <c r="I94" i="24"/>
  <c r="AA93" i="24"/>
  <c r="U93" i="24"/>
  <c r="O93" i="24"/>
  <c r="I93" i="24"/>
  <c r="AA92" i="24"/>
  <c r="U92" i="24"/>
  <c r="O92" i="24"/>
  <c r="I92" i="24"/>
  <c r="AB91" i="24"/>
  <c r="U91" i="24"/>
  <c r="O91" i="24"/>
  <c r="I91" i="24"/>
  <c r="AA90" i="24"/>
  <c r="U90" i="24"/>
  <c r="O90" i="24"/>
  <c r="I90" i="24"/>
  <c r="AA89" i="24"/>
  <c r="U89" i="24"/>
  <c r="O89" i="24"/>
  <c r="I89" i="24"/>
  <c r="AA88" i="24"/>
  <c r="U88" i="24"/>
  <c r="O88" i="24"/>
  <c r="I88" i="24"/>
  <c r="U87" i="24"/>
  <c r="O87" i="24"/>
  <c r="I87" i="24"/>
  <c r="AA86" i="24"/>
  <c r="U86" i="24"/>
  <c r="O86" i="24"/>
  <c r="I86" i="24"/>
  <c r="AA85" i="24"/>
  <c r="U85" i="24"/>
  <c r="O85" i="24"/>
  <c r="I85" i="24"/>
  <c r="AA84" i="24"/>
  <c r="U84" i="24"/>
  <c r="O84" i="24"/>
  <c r="I84" i="24"/>
  <c r="U83" i="24"/>
  <c r="O83" i="24"/>
  <c r="I83" i="24"/>
  <c r="AA82" i="24"/>
  <c r="U82" i="24"/>
  <c r="O82" i="24"/>
  <c r="I82" i="24"/>
  <c r="AA81" i="24"/>
  <c r="U81" i="24"/>
  <c r="O81" i="24"/>
  <c r="I81" i="24"/>
  <c r="AA80" i="24"/>
  <c r="U80" i="24"/>
  <c r="O80" i="24"/>
  <c r="I80" i="24"/>
  <c r="U79" i="24"/>
  <c r="O79" i="24"/>
  <c r="I79" i="24"/>
  <c r="U78" i="24"/>
  <c r="O78" i="24"/>
  <c r="I78" i="24"/>
  <c r="AA77" i="24"/>
  <c r="U77" i="24"/>
  <c r="O77" i="24"/>
  <c r="I77" i="24"/>
  <c r="AA76" i="24"/>
  <c r="U76" i="24"/>
  <c r="O76" i="24"/>
  <c r="I76" i="24"/>
  <c r="U75" i="24"/>
  <c r="O75" i="24"/>
  <c r="I75" i="24"/>
  <c r="U74" i="24"/>
  <c r="O74" i="24"/>
  <c r="I74" i="24"/>
  <c r="AA73" i="24"/>
  <c r="U73" i="24"/>
  <c r="O73" i="24"/>
  <c r="I73" i="24"/>
  <c r="AA72" i="24"/>
  <c r="U72" i="24"/>
  <c r="O72" i="24"/>
  <c r="I72" i="24"/>
  <c r="AA71" i="24"/>
  <c r="U71" i="24"/>
  <c r="O71" i="24"/>
  <c r="I71" i="24"/>
  <c r="AA70" i="24"/>
  <c r="U70" i="24"/>
  <c r="O70" i="24"/>
  <c r="I70" i="24"/>
  <c r="AA69" i="24"/>
  <c r="U69" i="24"/>
  <c r="O69" i="24"/>
  <c r="I69" i="24"/>
  <c r="AA68" i="24"/>
  <c r="U68" i="24"/>
  <c r="O68" i="24"/>
  <c r="I68" i="24"/>
  <c r="U67" i="24"/>
  <c r="O67" i="24"/>
  <c r="I67" i="24"/>
  <c r="AA66" i="24"/>
  <c r="U66" i="24"/>
  <c r="O66" i="24"/>
  <c r="I66" i="24"/>
  <c r="O65" i="24"/>
  <c r="I65" i="24"/>
  <c r="AA64" i="24"/>
  <c r="O64" i="24"/>
  <c r="I64" i="24"/>
  <c r="O63" i="24"/>
  <c r="I63" i="24"/>
  <c r="X62" i="24"/>
  <c r="W62" i="24"/>
  <c r="V62" i="24"/>
  <c r="T62" i="24"/>
  <c r="O62" i="24"/>
  <c r="I62" i="24"/>
  <c r="AA61" i="24"/>
  <c r="U61" i="24"/>
  <c r="O61" i="24"/>
  <c r="I61" i="24"/>
  <c r="F61" i="24"/>
  <c r="E61" i="24"/>
  <c r="B61" i="24"/>
  <c r="U60" i="24"/>
  <c r="O60" i="24"/>
  <c r="I60" i="24"/>
  <c r="D60" i="24"/>
  <c r="C60" i="24"/>
  <c r="AA59" i="24"/>
  <c r="U59" i="24"/>
  <c r="O59" i="24"/>
  <c r="I59" i="24"/>
  <c r="D59" i="24"/>
  <c r="C59" i="24"/>
  <c r="AA58" i="24"/>
  <c r="U58" i="24"/>
  <c r="O58" i="24"/>
  <c r="I58" i="24"/>
  <c r="D58" i="24"/>
  <c r="C58" i="24"/>
  <c r="U57" i="24"/>
  <c r="O57" i="24"/>
  <c r="I57" i="24"/>
  <c r="D57" i="24"/>
  <c r="C57" i="24"/>
  <c r="AA56" i="24"/>
  <c r="U56" i="24"/>
  <c r="O56" i="24"/>
  <c r="I56" i="24"/>
  <c r="D56" i="24"/>
  <c r="C56" i="24"/>
  <c r="U55" i="24"/>
  <c r="O55" i="24"/>
  <c r="D55" i="24"/>
  <c r="C55" i="24"/>
  <c r="AA54" i="24"/>
  <c r="U54" i="24"/>
  <c r="O54" i="24"/>
  <c r="D54" i="24"/>
  <c r="C54" i="24"/>
  <c r="U53" i="24"/>
  <c r="O53" i="24"/>
  <c r="L53" i="24"/>
  <c r="K53" i="24"/>
  <c r="J53" i="24"/>
  <c r="H53" i="24"/>
  <c r="D53" i="24"/>
  <c r="C53" i="24"/>
  <c r="AA52" i="24"/>
  <c r="U52" i="24"/>
  <c r="O52" i="24"/>
  <c r="I52" i="24"/>
  <c r="D52" i="24"/>
  <c r="C52" i="24"/>
  <c r="AA51" i="24"/>
  <c r="U51" i="24"/>
  <c r="O51" i="24"/>
  <c r="I51" i="24"/>
  <c r="D51" i="24"/>
  <c r="C51" i="24"/>
  <c r="AA50" i="24"/>
  <c r="U50" i="24"/>
  <c r="O50" i="24"/>
  <c r="I50" i="24"/>
  <c r="D50" i="24"/>
  <c r="C50" i="24"/>
  <c r="AA49" i="24"/>
  <c r="U49" i="24"/>
  <c r="O49" i="24"/>
  <c r="I49" i="24"/>
  <c r="D49" i="24"/>
  <c r="C49" i="24"/>
  <c r="AA48" i="24"/>
  <c r="U48" i="24"/>
  <c r="O48" i="24"/>
  <c r="I48" i="24"/>
  <c r="D48" i="24"/>
  <c r="C48" i="24"/>
  <c r="AA47" i="24"/>
  <c r="U47" i="24"/>
  <c r="O47" i="24"/>
  <c r="I47" i="24"/>
  <c r="D47" i="24"/>
  <c r="C47" i="24"/>
  <c r="AA46" i="24"/>
  <c r="U46" i="24"/>
  <c r="O46" i="24"/>
  <c r="I46" i="24"/>
  <c r="D46" i="24"/>
  <c r="C46" i="24"/>
  <c r="AA45" i="24"/>
  <c r="U45" i="24"/>
  <c r="O45" i="24"/>
  <c r="I45" i="24"/>
  <c r="D45" i="24"/>
  <c r="C45" i="24"/>
  <c r="AA44" i="24"/>
  <c r="U44" i="24"/>
  <c r="O44" i="24"/>
  <c r="I44" i="24"/>
  <c r="D44" i="24"/>
  <c r="C44" i="24"/>
  <c r="AA43" i="24"/>
  <c r="U43" i="24"/>
  <c r="O43" i="24"/>
  <c r="I43" i="24"/>
  <c r="D43" i="24"/>
  <c r="C43" i="24"/>
  <c r="AA42" i="24"/>
  <c r="U42" i="24"/>
  <c r="O42" i="24"/>
  <c r="I42" i="24"/>
  <c r="D42" i="24"/>
  <c r="C42" i="24"/>
  <c r="AA41" i="24"/>
  <c r="U41" i="24"/>
  <c r="O41" i="24"/>
  <c r="I41" i="24"/>
  <c r="D41" i="24"/>
  <c r="C41" i="24"/>
  <c r="AA40" i="24"/>
  <c r="U40" i="24"/>
  <c r="O40" i="24"/>
  <c r="I40" i="24"/>
  <c r="D40" i="24"/>
  <c r="C40" i="24"/>
  <c r="U39" i="24"/>
  <c r="O39" i="24"/>
  <c r="I39" i="24"/>
  <c r="D39" i="24"/>
  <c r="C39" i="24"/>
  <c r="AA38" i="24"/>
  <c r="U38" i="24"/>
  <c r="O38" i="24"/>
  <c r="I38" i="24"/>
  <c r="D38" i="24"/>
  <c r="C38" i="24"/>
  <c r="AA37" i="24"/>
  <c r="U37" i="24"/>
  <c r="O37" i="24"/>
  <c r="I37" i="24"/>
  <c r="D37" i="24"/>
  <c r="C37" i="24"/>
  <c r="AA36" i="24"/>
  <c r="U36" i="24"/>
  <c r="O36" i="24"/>
  <c r="I36" i="24"/>
  <c r="D36" i="24"/>
  <c r="C36" i="24"/>
  <c r="AA35" i="24"/>
  <c r="O35" i="24"/>
  <c r="I35" i="24"/>
  <c r="D35" i="24"/>
  <c r="C35" i="24"/>
  <c r="U34" i="24"/>
  <c r="O34" i="24"/>
  <c r="I34" i="24"/>
  <c r="D34" i="24"/>
  <c r="C34" i="24"/>
  <c r="AA33" i="24"/>
  <c r="O33" i="24"/>
  <c r="I33" i="24"/>
  <c r="D33" i="24"/>
  <c r="C33" i="24"/>
  <c r="AA32" i="24"/>
  <c r="O32" i="24"/>
  <c r="I32" i="24"/>
  <c r="D32" i="24"/>
  <c r="C32" i="24"/>
  <c r="AO31" i="24"/>
  <c r="AN31" i="24"/>
  <c r="AM31" i="24"/>
  <c r="AK31" i="24"/>
  <c r="AB31" i="24"/>
  <c r="X31" i="24"/>
  <c r="W31" i="24"/>
  <c r="T31" i="24"/>
  <c r="O31" i="24"/>
  <c r="I31" i="24"/>
  <c r="D31" i="24"/>
  <c r="C31" i="24"/>
  <c r="AL30" i="24"/>
  <c r="AA30" i="24"/>
  <c r="U30" i="24"/>
  <c r="O30" i="24"/>
  <c r="I30" i="24"/>
  <c r="D30" i="24"/>
  <c r="C30" i="24"/>
  <c r="AL29" i="24"/>
  <c r="AA29" i="24"/>
  <c r="U29" i="24"/>
  <c r="O29" i="24"/>
  <c r="I29" i="24"/>
  <c r="D29" i="24"/>
  <c r="C29" i="24"/>
  <c r="AL28" i="24"/>
  <c r="AA28" i="24"/>
  <c r="U28" i="24"/>
  <c r="O28" i="24"/>
  <c r="I28" i="24"/>
  <c r="D28" i="24"/>
  <c r="C28" i="24"/>
  <c r="AL27" i="24"/>
  <c r="U27" i="24"/>
  <c r="O27" i="24"/>
  <c r="I27" i="24"/>
  <c r="D27" i="24"/>
  <c r="C27" i="24"/>
  <c r="AL26" i="24"/>
  <c r="AJ26" i="24"/>
  <c r="AI26" i="24"/>
  <c r="AH26" i="24"/>
  <c r="AF26" i="24"/>
  <c r="AA26" i="24"/>
  <c r="U26" i="24"/>
  <c r="O26" i="24"/>
  <c r="I26" i="24"/>
  <c r="D26" i="24"/>
  <c r="C26" i="24"/>
  <c r="AL25" i="24"/>
  <c r="AG25" i="24"/>
  <c r="AA25" i="24"/>
  <c r="U25" i="24"/>
  <c r="O25" i="24"/>
  <c r="I25" i="24"/>
  <c r="D25" i="24"/>
  <c r="C25" i="24"/>
  <c r="AL24" i="24"/>
  <c r="AG24" i="24"/>
  <c r="AA24" i="24"/>
  <c r="U24" i="24"/>
  <c r="O24" i="24"/>
  <c r="I24" i="24"/>
  <c r="D24" i="24"/>
  <c r="C24" i="24"/>
  <c r="AL23" i="24"/>
  <c r="AG23" i="24"/>
  <c r="AB23" i="24"/>
  <c r="U23" i="24"/>
  <c r="O23" i="24"/>
  <c r="I23" i="24"/>
  <c r="D23" i="24"/>
  <c r="C23" i="24"/>
  <c r="AL22" i="24"/>
  <c r="AG22" i="24"/>
  <c r="AA22" i="24"/>
  <c r="U22" i="24"/>
  <c r="O22" i="24"/>
  <c r="I22" i="24"/>
  <c r="D22" i="24"/>
  <c r="C22" i="24"/>
  <c r="AL21" i="24"/>
  <c r="AG21" i="24"/>
  <c r="AA21" i="24"/>
  <c r="U21" i="24"/>
  <c r="O21" i="24"/>
  <c r="I21" i="24"/>
  <c r="D21" i="24"/>
  <c r="C21" i="24"/>
  <c r="AL20" i="24"/>
  <c r="AG20" i="24"/>
  <c r="AA20" i="24"/>
  <c r="U20" i="24"/>
  <c r="O20" i="24"/>
  <c r="I20" i="24"/>
  <c r="D20" i="24"/>
  <c r="C20" i="24"/>
  <c r="AL19" i="24"/>
  <c r="AG19" i="24"/>
  <c r="AA19" i="24"/>
  <c r="U19" i="24"/>
  <c r="O19" i="24"/>
  <c r="I19" i="24"/>
  <c r="C19" i="24"/>
  <c r="AL18" i="24"/>
  <c r="AG18" i="24"/>
  <c r="AA18" i="24"/>
  <c r="U18" i="24"/>
  <c r="O18" i="24"/>
  <c r="I18" i="24"/>
  <c r="C18" i="24"/>
  <c r="AL17" i="24"/>
  <c r="AG17" i="24"/>
  <c r="AA17" i="24"/>
  <c r="V17" i="24"/>
  <c r="V31" i="24" s="1"/>
  <c r="O17" i="24"/>
  <c r="I17" i="24"/>
  <c r="AL16" i="24"/>
  <c r="AG16" i="24"/>
  <c r="AA16" i="24"/>
  <c r="U16" i="24"/>
  <c r="O16" i="24"/>
  <c r="I16" i="24"/>
  <c r="G12" i="24"/>
  <c r="F12" i="24"/>
  <c r="E12" i="24"/>
  <c r="J10" i="24"/>
  <c r="B7" i="24"/>
  <c r="B6" i="24"/>
  <c r="B5" i="24"/>
  <c r="B4" i="24"/>
  <c r="B3" i="24"/>
  <c r="C7" i="22"/>
  <c r="C12" i="22" s="1"/>
  <c r="C9" i="22"/>
  <c r="U122" i="22"/>
  <c r="U121" i="22"/>
  <c r="U120" i="22"/>
  <c r="U119" i="22"/>
  <c r="U118" i="22"/>
  <c r="U117" i="22"/>
  <c r="U116" i="22"/>
  <c r="U115" i="22"/>
  <c r="U114" i="22"/>
  <c r="U113" i="22"/>
  <c r="U112" i="22"/>
  <c r="U111" i="22"/>
  <c r="U110" i="22"/>
  <c r="U109" i="22"/>
  <c r="U108" i="22"/>
  <c r="U107" i="22"/>
  <c r="U106" i="22"/>
  <c r="U105" i="22"/>
  <c r="U104" i="22"/>
  <c r="U103" i="22"/>
  <c r="U102" i="22"/>
  <c r="U101" i="22"/>
  <c r="U100" i="22"/>
  <c r="U99" i="22"/>
  <c r="U98" i="22"/>
  <c r="U97" i="22"/>
  <c r="U96" i="22"/>
  <c r="U94" i="22"/>
  <c r="U95" i="22"/>
  <c r="U36" i="22"/>
  <c r="AA38" i="22"/>
  <c r="AA39" i="22"/>
  <c r="AA40" i="22"/>
  <c r="AA41" i="22"/>
  <c r="AA42" i="22"/>
  <c r="AA43" i="22"/>
  <c r="AA44" i="22"/>
  <c r="AA45" i="22"/>
  <c r="AA46" i="22"/>
  <c r="AA47" i="22"/>
  <c r="AA48" i="22"/>
  <c r="AA49" i="22"/>
  <c r="AA50" i="22"/>
  <c r="O16" i="22"/>
  <c r="O17" i="22"/>
  <c r="AD169" i="22"/>
  <c r="AC169" i="22"/>
  <c r="Z169" i="22"/>
  <c r="AB168" i="22"/>
  <c r="AA168" i="22"/>
  <c r="AB167" i="22"/>
  <c r="AA167" i="22"/>
  <c r="AB166" i="22"/>
  <c r="AA166" i="22"/>
  <c r="AB165" i="22"/>
  <c r="AA165" i="22"/>
  <c r="AB164" i="22"/>
  <c r="AA164" i="22"/>
  <c r="AB163" i="22"/>
  <c r="AA163" i="22"/>
  <c r="AB162" i="22"/>
  <c r="AA162" i="22"/>
  <c r="AB161" i="22"/>
  <c r="AA161" i="22"/>
  <c r="AB160" i="22"/>
  <c r="AA160" i="22"/>
  <c r="AB159" i="22"/>
  <c r="AA159" i="22"/>
  <c r="AB158" i="22"/>
  <c r="AA158" i="22"/>
  <c r="AB157" i="22"/>
  <c r="AA157" i="22"/>
  <c r="AB156" i="22"/>
  <c r="AA156" i="22"/>
  <c r="AB155" i="22"/>
  <c r="AA155" i="22"/>
  <c r="AB154" i="22"/>
  <c r="AA154" i="22"/>
  <c r="AB153" i="22"/>
  <c r="AA153" i="22"/>
  <c r="AB152" i="22"/>
  <c r="AA152" i="22"/>
  <c r="AB151" i="22"/>
  <c r="AA151" i="22"/>
  <c r="AB150" i="22"/>
  <c r="AA150" i="22"/>
  <c r="AB149" i="22"/>
  <c r="AA149" i="22"/>
  <c r="AB148" i="22"/>
  <c r="AA148" i="22"/>
  <c r="AB147" i="22"/>
  <c r="AA147" i="22"/>
  <c r="AB146" i="22"/>
  <c r="AA146" i="22"/>
  <c r="AB145" i="22"/>
  <c r="AA145" i="22"/>
  <c r="AB144" i="22"/>
  <c r="AA144" i="22"/>
  <c r="AB143" i="22"/>
  <c r="AA143" i="22"/>
  <c r="AB142" i="22"/>
  <c r="AA142" i="22"/>
  <c r="AB141" i="22"/>
  <c r="AA141" i="22"/>
  <c r="AB140" i="22"/>
  <c r="AA140" i="22"/>
  <c r="AB139" i="22"/>
  <c r="AA139" i="22"/>
  <c r="AB138" i="22"/>
  <c r="AA138" i="22"/>
  <c r="AB137" i="22"/>
  <c r="AA137" i="22"/>
  <c r="AB136" i="22"/>
  <c r="AA136" i="22"/>
  <c r="AB135" i="22"/>
  <c r="AA135" i="22"/>
  <c r="R135" i="22"/>
  <c r="Q135" i="22"/>
  <c r="N135" i="22"/>
  <c r="AB134" i="22"/>
  <c r="AA134" i="22"/>
  <c r="O134" i="22"/>
  <c r="AB133" i="22"/>
  <c r="AA133" i="22"/>
  <c r="AB132" i="22"/>
  <c r="AA132" i="22"/>
  <c r="AB131" i="22"/>
  <c r="AA131" i="22"/>
  <c r="AB130" i="22"/>
  <c r="AA130" i="22"/>
  <c r="AB129" i="22"/>
  <c r="AA129" i="22"/>
  <c r="AB128" i="22"/>
  <c r="AA128" i="22"/>
  <c r="AB127" i="22"/>
  <c r="AA127" i="22"/>
  <c r="AB126" i="22"/>
  <c r="AA126" i="22"/>
  <c r="AB125" i="22"/>
  <c r="AA125" i="22"/>
  <c r="AB124" i="22"/>
  <c r="AA124" i="22"/>
  <c r="AB123" i="22"/>
  <c r="AA123" i="22"/>
  <c r="AB122" i="22"/>
  <c r="AA122" i="22"/>
  <c r="O122" i="22"/>
  <c r="AB121" i="22"/>
  <c r="AA121" i="22"/>
  <c r="O121" i="22"/>
  <c r="AB120" i="22"/>
  <c r="AA120" i="22"/>
  <c r="O120" i="22"/>
  <c r="AB119" i="22"/>
  <c r="AA119" i="22"/>
  <c r="O119" i="22"/>
  <c r="AB118" i="22"/>
  <c r="AA118" i="22"/>
  <c r="O118" i="22"/>
  <c r="AB117" i="22"/>
  <c r="AA117" i="22"/>
  <c r="O117" i="22"/>
  <c r="AB116" i="22"/>
  <c r="AA116" i="22"/>
  <c r="O116" i="22"/>
  <c r="AB115" i="22"/>
  <c r="AA115" i="22"/>
  <c r="O115" i="22"/>
  <c r="AB114" i="22"/>
  <c r="AA114" i="22"/>
  <c r="O114" i="22"/>
  <c r="AB113" i="22"/>
  <c r="AA113" i="22"/>
  <c r="O113" i="22"/>
  <c r="AB112" i="22"/>
  <c r="AA112" i="22"/>
  <c r="O112" i="22"/>
  <c r="AB111" i="22"/>
  <c r="AA111" i="22"/>
  <c r="O111" i="22"/>
  <c r="AB110" i="22"/>
  <c r="AA110" i="22"/>
  <c r="O110" i="22"/>
  <c r="AB109" i="22"/>
  <c r="AA109" i="22"/>
  <c r="O109" i="22"/>
  <c r="AB108" i="22"/>
  <c r="AA108" i="22"/>
  <c r="O108" i="22"/>
  <c r="AB107" i="22"/>
  <c r="AA107" i="22"/>
  <c r="O107" i="22"/>
  <c r="AB106" i="22"/>
  <c r="AA106" i="22"/>
  <c r="O106" i="22"/>
  <c r="AB105" i="22"/>
  <c r="AA105" i="22"/>
  <c r="O105" i="22"/>
  <c r="AB104" i="22"/>
  <c r="AA104" i="22"/>
  <c r="O104" i="22"/>
  <c r="AB103" i="22"/>
  <c r="AA103" i="22"/>
  <c r="O103" i="22"/>
  <c r="AB102" i="22"/>
  <c r="AA102" i="22"/>
  <c r="O102" i="22"/>
  <c r="L102" i="22"/>
  <c r="K102" i="22"/>
  <c r="J102" i="22"/>
  <c r="H102" i="22"/>
  <c r="AB101" i="22"/>
  <c r="AA101" i="22"/>
  <c r="O101" i="22"/>
  <c r="I101" i="22"/>
  <c r="AB100" i="22"/>
  <c r="AA100" i="22"/>
  <c r="O100" i="22"/>
  <c r="I100" i="22"/>
  <c r="AB99" i="22"/>
  <c r="AA99" i="22"/>
  <c r="O99" i="22"/>
  <c r="I99" i="22"/>
  <c r="AB98" i="22"/>
  <c r="AA98" i="22"/>
  <c r="O98" i="22"/>
  <c r="I98" i="22"/>
  <c r="AB97" i="22"/>
  <c r="AA97" i="22"/>
  <c r="O97" i="22"/>
  <c r="I97" i="22"/>
  <c r="AB96" i="22"/>
  <c r="AA96" i="22"/>
  <c r="O96" i="22"/>
  <c r="I96" i="22"/>
  <c r="AB95" i="22"/>
  <c r="O95" i="22"/>
  <c r="I95" i="22"/>
  <c r="AA94" i="22"/>
  <c r="X123" i="22"/>
  <c r="W123" i="22"/>
  <c r="V123" i="22"/>
  <c r="T123" i="22"/>
  <c r="O94" i="22"/>
  <c r="I94" i="22"/>
  <c r="AA93" i="22"/>
  <c r="U93" i="22"/>
  <c r="O93" i="22"/>
  <c r="I93" i="22"/>
  <c r="AA92" i="22"/>
  <c r="U92" i="22"/>
  <c r="O92" i="22"/>
  <c r="I92" i="22"/>
  <c r="AB91" i="22"/>
  <c r="U91" i="22"/>
  <c r="O91" i="22"/>
  <c r="I91" i="22"/>
  <c r="AA90" i="22"/>
  <c r="U90" i="22"/>
  <c r="O90" i="22"/>
  <c r="I90" i="22"/>
  <c r="AA89" i="22"/>
  <c r="U89" i="22"/>
  <c r="O89" i="22"/>
  <c r="I89" i="22"/>
  <c r="AA88" i="22"/>
  <c r="U88" i="22"/>
  <c r="O88" i="22"/>
  <c r="I88" i="22"/>
  <c r="AA87" i="22"/>
  <c r="U87" i="22"/>
  <c r="O87" i="22"/>
  <c r="I87" i="22"/>
  <c r="AA86" i="22"/>
  <c r="U86" i="22"/>
  <c r="O86" i="22"/>
  <c r="I86" i="22"/>
  <c r="AA85" i="22"/>
  <c r="U85" i="22"/>
  <c r="O85" i="22"/>
  <c r="I85" i="22"/>
  <c r="AA84" i="22"/>
  <c r="U84" i="22"/>
  <c r="O84" i="22"/>
  <c r="I84" i="22"/>
  <c r="AB83" i="22"/>
  <c r="U83" i="22"/>
  <c r="O83" i="22"/>
  <c r="I83" i="22"/>
  <c r="AA82" i="22"/>
  <c r="U82" i="22"/>
  <c r="O82" i="22"/>
  <c r="I82" i="22"/>
  <c r="AA81" i="22"/>
  <c r="U81" i="22"/>
  <c r="O81" i="22"/>
  <c r="I81" i="22"/>
  <c r="AA80" i="22"/>
  <c r="U80" i="22"/>
  <c r="O80" i="22"/>
  <c r="I80" i="22"/>
  <c r="AA79" i="22"/>
  <c r="U79" i="22"/>
  <c r="O79" i="22"/>
  <c r="I79" i="22"/>
  <c r="AB78" i="22"/>
  <c r="U78" i="22"/>
  <c r="O78" i="22"/>
  <c r="I78" i="22"/>
  <c r="AA77" i="22"/>
  <c r="U77" i="22"/>
  <c r="O77" i="22"/>
  <c r="I77" i="22"/>
  <c r="AA76" i="22"/>
  <c r="U76" i="22"/>
  <c r="O76" i="22"/>
  <c r="I76" i="22"/>
  <c r="AA75" i="22"/>
  <c r="U75" i="22"/>
  <c r="O75" i="22"/>
  <c r="I75" i="22"/>
  <c r="AB74" i="22"/>
  <c r="U74" i="22"/>
  <c r="O74" i="22"/>
  <c r="I74" i="22"/>
  <c r="AA73" i="22"/>
  <c r="U73" i="22"/>
  <c r="O73" i="22"/>
  <c r="I73" i="22"/>
  <c r="AA72" i="22"/>
  <c r="U72" i="22"/>
  <c r="O72" i="22"/>
  <c r="I72" i="22"/>
  <c r="AA71" i="22"/>
  <c r="U71" i="22"/>
  <c r="O71" i="22"/>
  <c r="I71" i="22"/>
  <c r="AA70" i="22"/>
  <c r="U70" i="22"/>
  <c r="O70" i="22"/>
  <c r="I70" i="22"/>
  <c r="AA69" i="22"/>
  <c r="U69" i="22"/>
  <c r="O69" i="22"/>
  <c r="I69" i="22"/>
  <c r="AA68" i="22"/>
  <c r="U68" i="22"/>
  <c r="O68" i="22"/>
  <c r="I68" i="22"/>
  <c r="AB67" i="22"/>
  <c r="U67" i="22"/>
  <c r="O67" i="22"/>
  <c r="I67" i="22"/>
  <c r="AA66" i="22"/>
  <c r="U66" i="22"/>
  <c r="O66" i="22"/>
  <c r="I66" i="22"/>
  <c r="AA65" i="22"/>
  <c r="O65" i="22"/>
  <c r="I65" i="22"/>
  <c r="AA64" i="22"/>
  <c r="O64" i="22"/>
  <c r="I64" i="22"/>
  <c r="AB63" i="22"/>
  <c r="O63" i="22"/>
  <c r="I63" i="22"/>
  <c r="AA62" i="22"/>
  <c r="X62" i="22"/>
  <c r="W62" i="22"/>
  <c r="T62" i="22"/>
  <c r="O62" i="22"/>
  <c r="I62" i="22"/>
  <c r="AA61" i="22"/>
  <c r="U61" i="22"/>
  <c r="O61" i="22"/>
  <c r="I61" i="22"/>
  <c r="F61" i="22"/>
  <c r="E61" i="22"/>
  <c r="B61" i="22"/>
  <c r="AB60" i="22"/>
  <c r="U60" i="22"/>
  <c r="O60" i="22"/>
  <c r="I60" i="22"/>
  <c r="D60" i="22"/>
  <c r="C60" i="22"/>
  <c r="AA59" i="22"/>
  <c r="U59" i="22"/>
  <c r="O59" i="22"/>
  <c r="I59" i="22"/>
  <c r="D59" i="22"/>
  <c r="C59" i="22"/>
  <c r="AA58" i="22"/>
  <c r="U58" i="22"/>
  <c r="O58" i="22"/>
  <c r="I58" i="22"/>
  <c r="D58" i="22"/>
  <c r="C58" i="22"/>
  <c r="AB57" i="22"/>
  <c r="U57" i="22"/>
  <c r="O57" i="22"/>
  <c r="I57" i="22"/>
  <c r="D57" i="22"/>
  <c r="C57" i="22"/>
  <c r="AA56" i="22"/>
  <c r="U56" i="22"/>
  <c r="O56" i="22"/>
  <c r="I56" i="22"/>
  <c r="D56" i="22"/>
  <c r="C56" i="22"/>
  <c r="AA55" i="22"/>
  <c r="U55" i="22"/>
  <c r="O55" i="22"/>
  <c r="D55" i="22"/>
  <c r="C55" i="22"/>
  <c r="AA54" i="22"/>
  <c r="U54" i="22"/>
  <c r="O54" i="22"/>
  <c r="D54" i="22"/>
  <c r="C54" i="22"/>
  <c r="AB53" i="22"/>
  <c r="U53" i="22"/>
  <c r="O53" i="22"/>
  <c r="L53" i="22"/>
  <c r="K53" i="22"/>
  <c r="J53" i="22"/>
  <c r="H53" i="22"/>
  <c r="D53" i="22"/>
  <c r="C53" i="22"/>
  <c r="AA52" i="22"/>
  <c r="U52" i="22"/>
  <c r="O52" i="22"/>
  <c r="I52" i="22"/>
  <c r="D52" i="22"/>
  <c r="C52" i="22"/>
  <c r="AA51" i="22"/>
  <c r="U51" i="22"/>
  <c r="O51" i="22"/>
  <c r="I51" i="22"/>
  <c r="D51" i="22"/>
  <c r="C51" i="22"/>
  <c r="U50" i="22"/>
  <c r="O50" i="22"/>
  <c r="I50" i="22"/>
  <c r="D50" i="22"/>
  <c r="C50" i="22"/>
  <c r="AB49" i="22"/>
  <c r="U49" i="22"/>
  <c r="O49" i="22"/>
  <c r="I49" i="22"/>
  <c r="D49" i="22"/>
  <c r="C49" i="22"/>
  <c r="U48" i="22"/>
  <c r="O48" i="22"/>
  <c r="I48" i="22"/>
  <c r="D48" i="22"/>
  <c r="C48" i="22"/>
  <c r="U47" i="22"/>
  <c r="O47" i="22"/>
  <c r="I47" i="22"/>
  <c r="D47" i="22"/>
  <c r="C47" i="22"/>
  <c r="U46" i="22"/>
  <c r="O46" i="22"/>
  <c r="I46" i="22"/>
  <c r="D46" i="22"/>
  <c r="C46" i="22"/>
  <c r="U45" i="22"/>
  <c r="O45" i="22"/>
  <c r="I45" i="22"/>
  <c r="D45" i="22"/>
  <c r="C45" i="22"/>
  <c r="U44" i="22"/>
  <c r="O44" i="22"/>
  <c r="I44" i="22"/>
  <c r="D44" i="22"/>
  <c r="C44" i="22"/>
  <c r="U43" i="22"/>
  <c r="O43" i="22"/>
  <c r="I43" i="22"/>
  <c r="D43" i="22"/>
  <c r="C43" i="22"/>
  <c r="AB42" i="22"/>
  <c r="U42" i="22"/>
  <c r="O42" i="22"/>
  <c r="I42" i="22"/>
  <c r="D42" i="22"/>
  <c r="C42" i="22"/>
  <c r="U41" i="22"/>
  <c r="O41" i="22"/>
  <c r="I41" i="22"/>
  <c r="D41" i="22"/>
  <c r="C41" i="22"/>
  <c r="U40" i="22"/>
  <c r="O40" i="22"/>
  <c r="I40" i="22"/>
  <c r="D40" i="22"/>
  <c r="C40" i="22"/>
  <c r="U39" i="22"/>
  <c r="O39" i="22"/>
  <c r="I39" i="22"/>
  <c r="D39" i="22"/>
  <c r="C39" i="22"/>
  <c r="U38" i="22"/>
  <c r="O38" i="22"/>
  <c r="I38" i="22"/>
  <c r="D38" i="22"/>
  <c r="C38" i="22"/>
  <c r="AA37" i="22"/>
  <c r="U37" i="22"/>
  <c r="O37" i="22"/>
  <c r="I37" i="22"/>
  <c r="D37" i="22"/>
  <c r="C37" i="22"/>
  <c r="AA36" i="22"/>
  <c r="V62" i="22"/>
  <c r="O36" i="22"/>
  <c r="I36" i="22"/>
  <c r="D36" i="22"/>
  <c r="C36" i="22"/>
  <c r="AA35" i="22"/>
  <c r="U35" i="22"/>
  <c r="O35" i="22"/>
  <c r="I35" i="22"/>
  <c r="D35" i="22"/>
  <c r="C35" i="22"/>
  <c r="AB34" i="22"/>
  <c r="U34" i="22"/>
  <c r="O34" i="22"/>
  <c r="I34" i="22"/>
  <c r="D34" i="22"/>
  <c r="C34" i="22"/>
  <c r="AA33" i="22"/>
  <c r="O33" i="22"/>
  <c r="I33" i="22"/>
  <c r="D33" i="22"/>
  <c r="C33" i="22"/>
  <c r="AA32" i="22"/>
  <c r="O32" i="22"/>
  <c r="I32" i="22"/>
  <c r="D32" i="22"/>
  <c r="C32" i="22"/>
  <c r="AO31" i="22"/>
  <c r="AN31" i="22"/>
  <c r="AM31" i="22"/>
  <c r="AK31" i="22"/>
  <c r="AB31" i="22"/>
  <c r="X31" i="22"/>
  <c r="W31" i="22"/>
  <c r="T31" i="22"/>
  <c r="O31" i="22"/>
  <c r="I31" i="22"/>
  <c r="D31" i="22"/>
  <c r="C31" i="22"/>
  <c r="AL30" i="22"/>
  <c r="AA30" i="22"/>
  <c r="U30" i="22"/>
  <c r="O30" i="22"/>
  <c r="I30" i="22"/>
  <c r="D30" i="22"/>
  <c r="C30" i="22"/>
  <c r="AL29" i="22"/>
  <c r="AA29" i="22"/>
  <c r="U29" i="22"/>
  <c r="O29" i="22"/>
  <c r="I29" i="22"/>
  <c r="D29" i="22"/>
  <c r="C29" i="22"/>
  <c r="AL28" i="22"/>
  <c r="AA28" i="22"/>
  <c r="U28" i="22"/>
  <c r="O28" i="22"/>
  <c r="I28" i="22"/>
  <c r="D28" i="22"/>
  <c r="C28" i="22"/>
  <c r="AL27" i="22"/>
  <c r="AA27" i="22"/>
  <c r="U27" i="22"/>
  <c r="O27" i="22"/>
  <c r="I27" i="22"/>
  <c r="D27" i="22"/>
  <c r="C27" i="22"/>
  <c r="AL26" i="22"/>
  <c r="AJ26" i="22"/>
  <c r="AI26" i="22"/>
  <c r="AH26" i="22"/>
  <c r="AF26" i="22"/>
  <c r="AA26" i="22"/>
  <c r="U26" i="22"/>
  <c r="O26" i="22"/>
  <c r="I26" i="22"/>
  <c r="D26" i="22"/>
  <c r="C26" i="22"/>
  <c r="AL25" i="22"/>
  <c r="AG25" i="22"/>
  <c r="AA25" i="22"/>
  <c r="U25" i="22"/>
  <c r="O25" i="22"/>
  <c r="I25" i="22"/>
  <c r="D25" i="22"/>
  <c r="C25" i="22"/>
  <c r="AL24" i="22"/>
  <c r="AG24" i="22"/>
  <c r="AA24" i="22"/>
  <c r="U24" i="22"/>
  <c r="O24" i="22"/>
  <c r="I24" i="22"/>
  <c r="D24" i="22"/>
  <c r="C24" i="22"/>
  <c r="AL23" i="22"/>
  <c r="AG23" i="22"/>
  <c r="AB23" i="22"/>
  <c r="U23" i="22"/>
  <c r="O23" i="22"/>
  <c r="I23" i="22"/>
  <c r="D23" i="22"/>
  <c r="C23" i="22"/>
  <c r="AL22" i="22"/>
  <c r="AG22" i="22"/>
  <c r="AA22" i="22"/>
  <c r="U22" i="22"/>
  <c r="O22" i="22"/>
  <c r="I22" i="22"/>
  <c r="D22" i="22"/>
  <c r="C22" i="22"/>
  <c r="AL21" i="22"/>
  <c r="AG21" i="22"/>
  <c r="AA21" i="22"/>
  <c r="U21" i="22"/>
  <c r="O21" i="22"/>
  <c r="I21" i="22"/>
  <c r="D21" i="22"/>
  <c r="C21" i="22"/>
  <c r="AL20" i="22"/>
  <c r="AG20" i="22"/>
  <c r="AA20" i="22"/>
  <c r="U20" i="22"/>
  <c r="O20" i="22"/>
  <c r="I20" i="22"/>
  <c r="D20" i="22"/>
  <c r="C20" i="22"/>
  <c r="AL19" i="22"/>
  <c r="AG19" i="22"/>
  <c r="AA19" i="22"/>
  <c r="U19" i="22"/>
  <c r="O19" i="22"/>
  <c r="I19" i="22"/>
  <c r="D19" i="22"/>
  <c r="C19" i="22"/>
  <c r="AL18" i="22"/>
  <c r="AG18" i="22"/>
  <c r="AA18" i="22"/>
  <c r="U18" i="22"/>
  <c r="O18" i="22"/>
  <c r="I18" i="22"/>
  <c r="D18" i="22"/>
  <c r="C18" i="22"/>
  <c r="AL17" i="22"/>
  <c r="AG17" i="22"/>
  <c r="AA17" i="22"/>
  <c r="V17" i="22"/>
  <c r="V31" i="22" s="1"/>
  <c r="P135" i="22"/>
  <c r="I17" i="22"/>
  <c r="C17" i="22"/>
  <c r="AL16" i="22"/>
  <c r="AG16" i="22"/>
  <c r="AA16" i="22"/>
  <c r="U16" i="22"/>
  <c r="I16" i="22"/>
  <c r="D16" i="22"/>
  <c r="G12" i="22"/>
  <c r="F12" i="22"/>
  <c r="E12" i="22"/>
  <c r="D12" i="22"/>
  <c r="J10" i="22"/>
  <c r="B7" i="22"/>
  <c r="B6" i="22"/>
  <c r="B5" i="22"/>
  <c r="B4" i="22"/>
  <c r="B3" i="22"/>
  <c r="AA79" i="21"/>
  <c r="AB78" i="21"/>
  <c r="AA75" i="21"/>
  <c r="AB74" i="21"/>
  <c r="AB67" i="21"/>
  <c r="AB63" i="21"/>
  <c r="AB57" i="21"/>
  <c r="AB53" i="21"/>
  <c r="AA51" i="21"/>
  <c r="AB49" i="21"/>
  <c r="AA45" i="21"/>
  <c r="AA64" i="21"/>
  <c r="AB42" i="21"/>
  <c r="AA37" i="21"/>
  <c r="AA56" i="21"/>
  <c r="AB34" i="21"/>
  <c r="AA27" i="21"/>
  <c r="V36" i="21"/>
  <c r="V62" i="21" s="1"/>
  <c r="U35" i="21"/>
  <c r="AD169" i="21"/>
  <c r="AC169" i="21"/>
  <c r="Z169" i="21"/>
  <c r="AB168" i="21"/>
  <c r="AA168" i="21"/>
  <c r="AB167" i="21"/>
  <c r="AA167" i="21"/>
  <c r="AB166" i="21"/>
  <c r="AA166" i="21"/>
  <c r="AB165" i="21"/>
  <c r="AA165" i="21"/>
  <c r="AB164" i="21"/>
  <c r="AA164" i="21"/>
  <c r="AB163" i="21"/>
  <c r="AA163" i="21"/>
  <c r="AB162" i="21"/>
  <c r="AA162" i="21"/>
  <c r="AB161" i="21"/>
  <c r="AA161" i="21"/>
  <c r="AB160" i="21"/>
  <c r="AA160" i="21"/>
  <c r="AB159" i="21"/>
  <c r="AA159" i="21"/>
  <c r="AB158" i="21"/>
  <c r="AA158" i="21"/>
  <c r="AB157" i="21"/>
  <c r="AA157" i="21"/>
  <c r="AB156" i="21"/>
  <c r="AA156" i="21"/>
  <c r="AB155" i="21"/>
  <c r="AA155" i="21"/>
  <c r="AB154" i="21"/>
  <c r="AA154" i="21"/>
  <c r="AB153" i="21"/>
  <c r="AA153" i="21"/>
  <c r="AB152" i="21"/>
  <c r="AA152" i="21"/>
  <c r="AB151" i="21"/>
  <c r="AA151" i="21"/>
  <c r="AB150" i="21"/>
  <c r="AA150" i="21"/>
  <c r="AB149" i="21"/>
  <c r="AA149" i="21"/>
  <c r="AB148" i="21"/>
  <c r="AA148" i="21"/>
  <c r="AB147" i="21"/>
  <c r="AA147" i="21"/>
  <c r="AB146" i="21"/>
  <c r="AA146" i="21"/>
  <c r="AB145" i="21"/>
  <c r="AA145" i="21"/>
  <c r="AB144" i="21"/>
  <c r="AA144" i="21"/>
  <c r="AB143" i="21"/>
  <c r="AA143" i="21"/>
  <c r="AB142" i="21"/>
  <c r="AA142" i="21"/>
  <c r="AB141" i="21"/>
  <c r="AA141" i="21"/>
  <c r="AB140" i="21"/>
  <c r="AA140" i="21"/>
  <c r="AB139" i="21"/>
  <c r="AA139" i="21"/>
  <c r="AB138" i="21"/>
  <c r="AA138" i="21"/>
  <c r="AB137" i="21"/>
  <c r="AA137" i="21"/>
  <c r="AB136" i="21"/>
  <c r="AA136" i="21"/>
  <c r="AB135" i="21"/>
  <c r="AA135" i="21"/>
  <c r="R135" i="21"/>
  <c r="Q135" i="21"/>
  <c r="N135" i="21"/>
  <c r="AB134" i="21"/>
  <c r="AA134" i="21"/>
  <c r="O134" i="21"/>
  <c r="AB133" i="21"/>
  <c r="AA133" i="21"/>
  <c r="AB132" i="21"/>
  <c r="AA132" i="21"/>
  <c r="AB131" i="21"/>
  <c r="AA131" i="21"/>
  <c r="AB130" i="21"/>
  <c r="AA130" i="21"/>
  <c r="AB129" i="21"/>
  <c r="AA129" i="21"/>
  <c r="AB128" i="21"/>
  <c r="AA128" i="21"/>
  <c r="AB127" i="21"/>
  <c r="AA127" i="21"/>
  <c r="AB126" i="21"/>
  <c r="AA126" i="21"/>
  <c r="AB125" i="21"/>
  <c r="AA125" i="21"/>
  <c r="AB124" i="21"/>
  <c r="AA124" i="21"/>
  <c r="AB123" i="21"/>
  <c r="AA123" i="21"/>
  <c r="AB122" i="21"/>
  <c r="AA122" i="21"/>
  <c r="O122" i="21"/>
  <c r="AB121" i="21"/>
  <c r="AA121" i="21"/>
  <c r="O121" i="21"/>
  <c r="AB120" i="21"/>
  <c r="AA120" i="21"/>
  <c r="O120" i="21"/>
  <c r="AB119" i="21"/>
  <c r="AA119" i="21"/>
  <c r="O119" i="21"/>
  <c r="AB118" i="21"/>
  <c r="AA118" i="21"/>
  <c r="O118" i="21"/>
  <c r="AB117" i="21"/>
  <c r="AA117" i="21"/>
  <c r="O117" i="21"/>
  <c r="AB116" i="21"/>
  <c r="AA116" i="21"/>
  <c r="O116" i="21"/>
  <c r="AB115" i="21"/>
  <c r="AA115" i="21"/>
  <c r="O115" i="21"/>
  <c r="AB114" i="21"/>
  <c r="AA114" i="21"/>
  <c r="O114" i="21"/>
  <c r="AB113" i="21"/>
  <c r="AA113" i="21"/>
  <c r="O113" i="21"/>
  <c r="AB112" i="21"/>
  <c r="AA112" i="21"/>
  <c r="O112" i="21"/>
  <c r="AB111" i="21"/>
  <c r="AA111" i="21"/>
  <c r="O111" i="21"/>
  <c r="AB110" i="21"/>
  <c r="AA110" i="21"/>
  <c r="O110" i="21"/>
  <c r="AB109" i="21"/>
  <c r="AA109" i="21"/>
  <c r="O109" i="21"/>
  <c r="AB108" i="21"/>
  <c r="AA108" i="21"/>
  <c r="O108" i="21"/>
  <c r="AB107" i="21"/>
  <c r="AA107" i="21"/>
  <c r="O107" i="21"/>
  <c r="AB106" i="21"/>
  <c r="AA106" i="21"/>
  <c r="O106" i="21"/>
  <c r="AB105" i="21"/>
  <c r="AA105" i="21"/>
  <c r="O105" i="21"/>
  <c r="AB104" i="21"/>
  <c r="AA104" i="21"/>
  <c r="O104" i="21"/>
  <c r="AB103" i="21"/>
  <c r="AA103" i="21"/>
  <c r="O103" i="21"/>
  <c r="AB102" i="21"/>
  <c r="AA102" i="21"/>
  <c r="O102" i="21"/>
  <c r="L102" i="21"/>
  <c r="K102" i="21"/>
  <c r="J102" i="21"/>
  <c r="H102" i="21"/>
  <c r="AB101" i="21"/>
  <c r="AA101" i="21"/>
  <c r="O101" i="21"/>
  <c r="I101" i="21"/>
  <c r="AB100" i="21"/>
  <c r="AA100" i="21"/>
  <c r="O100" i="21"/>
  <c r="I100" i="21"/>
  <c r="AB99" i="21"/>
  <c r="AA99" i="21"/>
  <c r="O99" i="21"/>
  <c r="I99" i="21"/>
  <c r="AB98" i="21"/>
  <c r="AA98" i="21"/>
  <c r="O98" i="21"/>
  <c r="I98" i="21"/>
  <c r="AB97" i="21"/>
  <c r="AA97" i="21"/>
  <c r="O97" i="21"/>
  <c r="I97" i="21"/>
  <c r="AB96" i="21"/>
  <c r="AA96" i="21"/>
  <c r="O96" i="21"/>
  <c r="I96" i="21"/>
  <c r="AB95" i="21"/>
  <c r="O95" i="21"/>
  <c r="I95" i="21"/>
  <c r="AA94" i="21"/>
  <c r="X94" i="21"/>
  <c r="W94" i="21"/>
  <c r="V94" i="21"/>
  <c r="T94" i="21"/>
  <c r="O94" i="21"/>
  <c r="I94" i="21"/>
  <c r="AA93" i="21"/>
  <c r="U93" i="21"/>
  <c r="O93" i="21"/>
  <c r="I93" i="21"/>
  <c r="AA92" i="21"/>
  <c r="U92" i="21"/>
  <c r="O92" i="21"/>
  <c r="I92" i="21"/>
  <c r="AB91" i="21"/>
  <c r="U91" i="21"/>
  <c r="O91" i="21"/>
  <c r="I91" i="21"/>
  <c r="AA90" i="21"/>
  <c r="U90" i="21"/>
  <c r="O90" i="21"/>
  <c r="I90" i="21"/>
  <c r="AA89" i="21"/>
  <c r="U89" i="21"/>
  <c r="O89" i="21"/>
  <c r="I89" i="21"/>
  <c r="AA88" i="21"/>
  <c r="U88" i="21"/>
  <c r="O88" i="21"/>
  <c r="I88" i="21"/>
  <c r="AA87" i="21"/>
  <c r="U87" i="21"/>
  <c r="O87" i="21"/>
  <c r="I87" i="21"/>
  <c r="AA86" i="21"/>
  <c r="U86" i="21"/>
  <c r="O86" i="21"/>
  <c r="I86" i="21"/>
  <c r="AA85" i="21"/>
  <c r="U85" i="21"/>
  <c r="O85" i="21"/>
  <c r="I85" i="21"/>
  <c r="AA84" i="21"/>
  <c r="U84" i="21"/>
  <c r="O84" i="21"/>
  <c r="I84" i="21"/>
  <c r="AB83" i="21"/>
  <c r="U83" i="21"/>
  <c r="O83" i="21"/>
  <c r="I83" i="21"/>
  <c r="AA82" i="21"/>
  <c r="U82" i="21"/>
  <c r="O82" i="21"/>
  <c r="I82" i="21"/>
  <c r="AA81" i="21"/>
  <c r="U81" i="21"/>
  <c r="O81" i="21"/>
  <c r="I81" i="21"/>
  <c r="AA80" i="21"/>
  <c r="U80" i="21"/>
  <c r="O80" i="21"/>
  <c r="I80" i="21"/>
  <c r="U79" i="21"/>
  <c r="O79" i="21"/>
  <c r="I79" i="21"/>
  <c r="U78" i="21"/>
  <c r="O78" i="21"/>
  <c r="I78" i="21"/>
  <c r="AA77" i="21"/>
  <c r="U77" i="21"/>
  <c r="O77" i="21"/>
  <c r="I77" i="21"/>
  <c r="AA76" i="21"/>
  <c r="U76" i="21"/>
  <c r="O76" i="21"/>
  <c r="I76" i="21"/>
  <c r="U75" i="21"/>
  <c r="O75" i="21"/>
  <c r="I75" i="21"/>
  <c r="U74" i="21"/>
  <c r="O74" i="21"/>
  <c r="I74" i="21"/>
  <c r="AA73" i="21"/>
  <c r="U73" i="21"/>
  <c r="O73" i="21"/>
  <c r="I73" i="21"/>
  <c r="AA72" i="21"/>
  <c r="U72" i="21"/>
  <c r="O72" i="21"/>
  <c r="I72" i="21"/>
  <c r="AA71" i="21"/>
  <c r="U71" i="21"/>
  <c r="O71" i="21"/>
  <c r="I71" i="21"/>
  <c r="AA70" i="21"/>
  <c r="U70" i="21"/>
  <c r="O70" i="21"/>
  <c r="I70" i="21"/>
  <c r="AA69" i="21"/>
  <c r="U69" i="21"/>
  <c r="O69" i="21"/>
  <c r="I69" i="21"/>
  <c r="AA68" i="21"/>
  <c r="U68" i="21"/>
  <c r="O68" i="21"/>
  <c r="I68" i="21"/>
  <c r="U67" i="21"/>
  <c r="O67" i="21"/>
  <c r="I67" i="21"/>
  <c r="AA66" i="21"/>
  <c r="U66" i="21"/>
  <c r="O66" i="21"/>
  <c r="I66" i="21"/>
  <c r="AA65" i="21"/>
  <c r="O65" i="21"/>
  <c r="I65" i="21"/>
  <c r="O64" i="21"/>
  <c r="I64" i="21"/>
  <c r="O63" i="21"/>
  <c r="I63" i="21"/>
  <c r="AA62" i="21"/>
  <c r="X62" i="21"/>
  <c r="W62" i="21"/>
  <c r="T62" i="21"/>
  <c r="O62" i="21"/>
  <c r="I62" i="21"/>
  <c r="AA61" i="21"/>
  <c r="U61" i="21"/>
  <c r="O61" i="21"/>
  <c r="I61" i="21"/>
  <c r="F61" i="21"/>
  <c r="E61" i="21"/>
  <c r="B61" i="21"/>
  <c r="AB60" i="21"/>
  <c r="U60" i="21"/>
  <c r="O60" i="21"/>
  <c r="I60" i="21"/>
  <c r="D60" i="21"/>
  <c r="C60" i="21"/>
  <c r="AA59" i="21"/>
  <c r="U59" i="21"/>
  <c r="O59" i="21"/>
  <c r="I59" i="21"/>
  <c r="D59" i="21"/>
  <c r="C59" i="21"/>
  <c r="AA58" i="21"/>
  <c r="U58" i="21"/>
  <c r="O58" i="21"/>
  <c r="I58" i="21"/>
  <c r="D58" i="21"/>
  <c r="C58" i="21"/>
  <c r="U57" i="21"/>
  <c r="O57" i="21"/>
  <c r="I57" i="21"/>
  <c r="D57" i="21"/>
  <c r="C57" i="21"/>
  <c r="U56" i="21"/>
  <c r="O56" i="21"/>
  <c r="I56" i="21"/>
  <c r="D56" i="21"/>
  <c r="C56" i="21"/>
  <c r="AA55" i="21"/>
  <c r="U55" i="21"/>
  <c r="O55" i="21"/>
  <c r="D55" i="21"/>
  <c r="C55" i="21"/>
  <c r="AA54" i="21"/>
  <c r="U54" i="21"/>
  <c r="O54" i="21"/>
  <c r="D54" i="21"/>
  <c r="C54" i="21"/>
  <c r="U53" i="21"/>
  <c r="O53" i="21"/>
  <c r="L53" i="21"/>
  <c r="K53" i="21"/>
  <c r="J53" i="21"/>
  <c r="H53" i="21"/>
  <c r="D53" i="21"/>
  <c r="C53" i="21"/>
  <c r="AA52" i="21"/>
  <c r="U52" i="21"/>
  <c r="O52" i="21"/>
  <c r="I52" i="21"/>
  <c r="D52" i="21"/>
  <c r="C52" i="21"/>
  <c r="U51" i="21"/>
  <c r="O51" i="21"/>
  <c r="I51" i="21"/>
  <c r="D51" i="21"/>
  <c r="C51" i="21"/>
  <c r="AA50" i="21"/>
  <c r="U50" i="21"/>
  <c r="O50" i="21"/>
  <c r="I50" i="21"/>
  <c r="D50" i="21"/>
  <c r="C50" i="21"/>
  <c r="U49" i="21"/>
  <c r="O49" i="21"/>
  <c r="I49" i="21"/>
  <c r="D49" i="21"/>
  <c r="C49" i="21"/>
  <c r="AA48" i="21"/>
  <c r="U48" i="21"/>
  <c r="O48" i="21"/>
  <c r="I48" i="21"/>
  <c r="D48" i="21"/>
  <c r="C48" i="21"/>
  <c r="AA47" i="21"/>
  <c r="U47" i="21"/>
  <c r="O47" i="21"/>
  <c r="I47" i="21"/>
  <c r="D47" i="21"/>
  <c r="C47" i="21"/>
  <c r="AA46" i="21"/>
  <c r="U46" i="21"/>
  <c r="O46" i="21"/>
  <c r="I46" i="21"/>
  <c r="D46" i="21"/>
  <c r="C46" i="21"/>
  <c r="U45" i="21"/>
  <c r="O45" i="21"/>
  <c r="I45" i="21"/>
  <c r="D45" i="21"/>
  <c r="C45" i="21"/>
  <c r="AA44" i="21"/>
  <c r="U44" i="21"/>
  <c r="O44" i="21"/>
  <c r="I44" i="21"/>
  <c r="D44" i="21"/>
  <c r="C44" i="21"/>
  <c r="AA43" i="21"/>
  <c r="U43" i="21"/>
  <c r="O43" i="21"/>
  <c r="I43" i="21"/>
  <c r="D43" i="21"/>
  <c r="C43" i="21"/>
  <c r="U42" i="21"/>
  <c r="O42" i="21"/>
  <c r="I42" i="21"/>
  <c r="D42" i="21"/>
  <c r="C42" i="21"/>
  <c r="AA41" i="21"/>
  <c r="U41" i="21"/>
  <c r="O41" i="21"/>
  <c r="I41" i="21"/>
  <c r="D41" i="21"/>
  <c r="C41" i="21"/>
  <c r="AA40" i="21"/>
  <c r="U40" i="21"/>
  <c r="O40" i="21"/>
  <c r="I40" i="21"/>
  <c r="D40" i="21"/>
  <c r="C40" i="21"/>
  <c r="AA39" i="21"/>
  <c r="U39" i="21"/>
  <c r="O39" i="21"/>
  <c r="I39" i="21"/>
  <c r="D39" i="21"/>
  <c r="C39" i="21"/>
  <c r="U38" i="21"/>
  <c r="O38" i="21"/>
  <c r="I38" i="21"/>
  <c r="D38" i="21"/>
  <c r="C38" i="21"/>
  <c r="U37" i="21"/>
  <c r="O37" i="21"/>
  <c r="I37" i="21"/>
  <c r="D37" i="21"/>
  <c r="C37" i="21"/>
  <c r="AA36" i="21"/>
  <c r="O36" i="21"/>
  <c r="I36" i="21"/>
  <c r="D36" i="21"/>
  <c r="C36" i="21"/>
  <c r="AA35" i="21"/>
  <c r="O35" i="21"/>
  <c r="I35" i="21"/>
  <c r="D35" i="21"/>
  <c r="C35" i="21"/>
  <c r="U34" i="21"/>
  <c r="O34" i="21"/>
  <c r="I34" i="21"/>
  <c r="D34" i="21"/>
  <c r="C34" i="21"/>
  <c r="AA33" i="21"/>
  <c r="O33" i="21"/>
  <c r="I33" i="21"/>
  <c r="D33" i="21"/>
  <c r="C33" i="21"/>
  <c r="AA32" i="21"/>
  <c r="O32" i="21"/>
  <c r="I32" i="21"/>
  <c r="D32" i="21"/>
  <c r="C32" i="21"/>
  <c r="AO31" i="21"/>
  <c r="AN31" i="21"/>
  <c r="AM31" i="21"/>
  <c r="AK31" i="21"/>
  <c r="AB31" i="21"/>
  <c r="X31" i="21"/>
  <c r="W31" i="21"/>
  <c r="T31" i="21"/>
  <c r="O31" i="21"/>
  <c r="I31" i="21"/>
  <c r="D31" i="21"/>
  <c r="C31" i="21"/>
  <c r="AL30" i="21"/>
  <c r="AA30" i="21"/>
  <c r="U30" i="21"/>
  <c r="O30" i="21"/>
  <c r="I30" i="21"/>
  <c r="D30" i="21"/>
  <c r="C30" i="21"/>
  <c r="AL29" i="21"/>
  <c r="AA29" i="21"/>
  <c r="U29" i="21"/>
  <c r="O29" i="21"/>
  <c r="I29" i="21"/>
  <c r="D29" i="21"/>
  <c r="C29" i="21"/>
  <c r="AL28" i="21"/>
  <c r="AA28" i="21"/>
  <c r="U28" i="21"/>
  <c r="O28" i="21"/>
  <c r="I28" i="21"/>
  <c r="D28" i="21"/>
  <c r="C28" i="21"/>
  <c r="AL27" i="21"/>
  <c r="U27" i="21"/>
  <c r="O27" i="21"/>
  <c r="I27" i="21"/>
  <c r="D27" i="21"/>
  <c r="C27" i="21"/>
  <c r="AL26" i="21"/>
  <c r="AJ26" i="21"/>
  <c r="AI26" i="21"/>
  <c r="AH26" i="21"/>
  <c r="AF26" i="21"/>
  <c r="AA26" i="21"/>
  <c r="U26" i="21"/>
  <c r="O26" i="21"/>
  <c r="I26" i="21"/>
  <c r="D26" i="21"/>
  <c r="C26" i="21"/>
  <c r="AL25" i="21"/>
  <c r="AG25" i="21"/>
  <c r="AA25" i="21"/>
  <c r="U25" i="21"/>
  <c r="O25" i="21"/>
  <c r="I25" i="21"/>
  <c r="D25" i="21"/>
  <c r="C25" i="21"/>
  <c r="AL24" i="21"/>
  <c r="AG24" i="21"/>
  <c r="AA24" i="21"/>
  <c r="U24" i="21"/>
  <c r="O24" i="21"/>
  <c r="I24" i="21"/>
  <c r="D24" i="21"/>
  <c r="C24" i="21"/>
  <c r="AL23" i="21"/>
  <c r="AG23" i="21"/>
  <c r="AB23" i="21"/>
  <c r="U23" i="21"/>
  <c r="O23" i="21"/>
  <c r="I23" i="21"/>
  <c r="D23" i="21"/>
  <c r="C23" i="21"/>
  <c r="AL22" i="21"/>
  <c r="AG22" i="21"/>
  <c r="AA22" i="21"/>
  <c r="U22" i="21"/>
  <c r="O22" i="21"/>
  <c r="I22" i="21"/>
  <c r="D22" i="21"/>
  <c r="C22" i="21"/>
  <c r="AL21" i="21"/>
  <c r="AG21" i="21"/>
  <c r="AA21" i="21"/>
  <c r="U21" i="21"/>
  <c r="O21" i="21"/>
  <c r="I21" i="21"/>
  <c r="D21" i="21"/>
  <c r="C21" i="21"/>
  <c r="AL20" i="21"/>
  <c r="AG20" i="21"/>
  <c r="AA20" i="21"/>
  <c r="U20" i="21"/>
  <c r="O20" i="21"/>
  <c r="I20" i="21"/>
  <c r="D20" i="21"/>
  <c r="C20" i="21"/>
  <c r="AL19" i="21"/>
  <c r="AG19" i="21"/>
  <c r="AA19" i="21"/>
  <c r="U19" i="21"/>
  <c r="O19" i="21"/>
  <c r="I19" i="21"/>
  <c r="D19" i="21"/>
  <c r="C19" i="21"/>
  <c r="AL18" i="21"/>
  <c r="AG18" i="21"/>
  <c r="AA18" i="21"/>
  <c r="U18" i="21"/>
  <c r="O18" i="21"/>
  <c r="I18" i="21"/>
  <c r="D18" i="21"/>
  <c r="C18" i="21"/>
  <c r="AL17" i="21"/>
  <c r="AG17" i="21"/>
  <c r="AA17" i="21"/>
  <c r="V17" i="21"/>
  <c r="V31" i="21" s="1"/>
  <c r="P17" i="21"/>
  <c r="P135" i="21" s="1"/>
  <c r="I17" i="21"/>
  <c r="D17" i="21"/>
  <c r="C17" i="21"/>
  <c r="AL16" i="21"/>
  <c r="AG16" i="21"/>
  <c r="AG26" i="21" s="1"/>
  <c r="AA16" i="21"/>
  <c r="U16" i="21"/>
  <c r="I16" i="21"/>
  <c r="D16" i="21"/>
  <c r="G12" i="21"/>
  <c r="F12" i="21"/>
  <c r="E12" i="21"/>
  <c r="C12" i="21"/>
  <c r="J10" i="21"/>
  <c r="D12" i="21"/>
  <c r="B7" i="21"/>
  <c r="B6" i="21"/>
  <c r="B5" i="21"/>
  <c r="B4" i="21"/>
  <c r="B3" i="21"/>
  <c r="D9" i="20"/>
  <c r="AA87" i="20"/>
  <c r="AB83" i="20"/>
  <c r="AB79" i="20"/>
  <c r="AB75" i="20"/>
  <c r="AA67" i="20"/>
  <c r="AA53" i="20"/>
  <c r="AB51" i="20"/>
  <c r="AA49" i="20"/>
  <c r="AA46" i="20"/>
  <c r="AB45" i="20"/>
  <c r="AA42" i="20"/>
  <c r="AA34" i="20"/>
  <c r="AB31" i="20"/>
  <c r="AA30" i="20"/>
  <c r="AB27" i="20"/>
  <c r="AB23" i="20"/>
  <c r="AA22" i="20"/>
  <c r="AA18" i="20"/>
  <c r="E12" i="20"/>
  <c r="V17" i="20"/>
  <c r="V31" i="20"/>
  <c r="U39" i="20"/>
  <c r="U36" i="20"/>
  <c r="V35" i="20"/>
  <c r="AD169" i="20"/>
  <c r="AC169" i="20"/>
  <c r="Z169" i="20"/>
  <c r="AB168" i="20"/>
  <c r="AA168" i="20"/>
  <c r="AB167" i="20"/>
  <c r="AA167" i="20"/>
  <c r="AB166" i="20"/>
  <c r="AA166" i="20"/>
  <c r="AB165" i="20"/>
  <c r="AA165" i="20"/>
  <c r="AB164" i="20"/>
  <c r="AA164" i="20"/>
  <c r="AB163" i="20"/>
  <c r="AA163" i="20"/>
  <c r="AB162" i="20"/>
  <c r="AA162" i="20"/>
  <c r="AB161" i="20"/>
  <c r="AA161" i="20"/>
  <c r="AB160" i="20"/>
  <c r="AA160" i="20"/>
  <c r="AB159" i="20"/>
  <c r="AA159" i="20"/>
  <c r="AB158" i="20"/>
  <c r="AA158" i="20"/>
  <c r="AB157" i="20"/>
  <c r="AA157" i="20"/>
  <c r="AB156" i="20"/>
  <c r="AA156" i="20"/>
  <c r="AB155" i="20"/>
  <c r="AA155" i="20"/>
  <c r="AB154" i="20"/>
  <c r="AA154" i="20"/>
  <c r="AB153" i="20"/>
  <c r="AA153" i="20"/>
  <c r="AB152" i="20"/>
  <c r="AA152" i="20"/>
  <c r="AB151" i="20"/>
  <c r="AA151" i="20"/>
  <c r="AB150" i="20"/>
  <c r="AA150" i="20"/>
  <c r="AB149" i="20"/>
  <c r="AA149" i="20"/>
  <c r="AB148" i="20"/>
  <c r="AA148" i="20"/>
  <c r="AB147" i="20"/>
  <c r="AA147" i="20"/>
  <c r="AB146" i="20"/>
  <c r="AA146" i="20"/>
  <c r="AB145" i="20"/>
  <c r="AA145" i="20"/>
  <c r="AB144" i="20"/>
  <c r="AA144" i="20"/>
  <c r="AB143" i="20"/>
  <c r="AA143" i="20"/>
  <c r="AB142" i="20"/>
  <c r="AA142" i="20"/>
  <c r="AB141" i="20"/>
  <c r="AA141" i="20"/>
  <c r="AB140" i="20"/>
  <c r="AA140" i="20"/>
  <c r="AB139" i="20"/>
  <c r="AA139" i="20"/>
  <c r="AB138" i="20"/>
  <c r="AA138" i="20"/>
  <c r="AB137" i="20"/>
  <c r="AA137" i="20"/>
  <c r="AB136" i="20"/>
  <c r="AA136" i="20"/>
  <c r="AB135" i="20"/>
  <c r="AA135" i="20"/>
  <c r="R135" i="20"/>
  <c r="Q135" i="20"/>
  <c r="N135" i="20"/>
  <c r="AB134" i="20"/>
  <c r="AA134" i="20"/>
  <c r="O134" i="20"/>
  <c r="AB133" i="20"/>
  <c r="AA133" i="20"/>
  <c r="AB132" i="20"/>
  <c r="AA132" i="20"/>
  <c r="AB131" i="20"/>
  <c r="AA131" i="20"/>
  <c r="AB130" i="20"/>
  <c r="AA130" i="20"/>
  <c r="AB129" i="20"/>
  <c r="AA129" i="20"/>
  <c r="AB128" i="20"/>
  <c r="AA128" i="20"/>
  <c r="AB127" i="20"/>
  <c r="AA127" i="20"/>
  <c r="AB126" i="20"/>
  <c r="AA126" i="20"/>
  <c r="AB125" i="20"/>
  <c r="AA125" i="20"/>
  <c r="AB124" i="20"/>
  <c r="AA124" i="20"/>
  <c r="AB123" i="20"/>
  <c r="AA123" i="20"/>
  <c r="AB122" i="20"/>
  <c r="AA122" i="20"/>
  <c r="O122" i="20"/>
  <c r="AB121" i="20"/>
  <c r="AA121" i="20"/>
  <c r="O121" i="20"/>
  <c r="AB120" i="20"/>
  <c r="AA120" i="20"/>
  <c r="O120" i="20"/>
  <c r="AB119" i="20"/>
  <c r="AA119" i="20"/>
  <c r="O119" i="20"/>
  <c r="AB118" i="20"/>
  <c r="AA118" i="20"/>
  <c r="O118" i="20"/>
  <c r="AB117" i="20"/>
  <c r="AA117" i="20"/>
  <c r="O117" i="20"/>
  <c r="AB116" i="20"/>
  <c r="AA116" i="20"/>
  <c r="O116" i="20"/>
  <c r="AB115" i="20"/>
  <c r="AA115" i="20"/>
  <c r="O115" i="20"/>
  <c r="AB114" i="20"/>
  <c r="AA114" i="20"/>
  <c r="O114" i="20"/>
  <c r="AB113" i="20"/>
  <c r="AA113" i="20"/>
  <c r="O113" i="20"/>
  <c r="AB112" i="20"/>
  <c r="AA112" i="20"/>
  <c r="O112" i="20"/>
  <c r="AB111" i="20"/>
  <c r="AA111" i="20"/>
  <c r="O111" i="20"/>
  <c r="AB110" i="20"/>
  <c r="AA110" i="20"/>
  <c r="O110" i="20"/>
  <c r="AB109" i="20"/>
  <c r="AA109" i="20"/>
  <c r="O109" i="20"/>
  <c r="AB108" i="20"/>
  <c r="AA108" i="20"/>
  <c r="O108" i="20"/>
  <c r="AB107" i="20"/>
  <c r="AA107" i="20"/>
  <c r="O107" i="20"/>
  <c r="AB106" i="20"/>
  <c r="AA106" i="20"/>
  <c r="O106" i="20"/>
  <c r="AB105" i="20"/>
  <c r="AA105" i="20"/>
  <c r="O105" i="20"/>
  <c r="AB104" i="20"/>
  <c r="AA104" i="20"/>
  <c r="O104" i="20"/>
  <c r="AB103" i="20"/>
  <c r="AA103" i="20"/>
  <c r="O103" i="20"/>
  <c r="AB102" i="20"/>
  <c r="AA102" i="20"/>
  <c r="O102" i="20"/>
  <c r="L102" i="20"/>
  <c r="K102" i="20"/>
  <c r="J102" i="20"/>
  <c r="H102" i="20"/>
  <c r="AB101" i="20"/>
  <c r="AA101" i="20"/>
  <c r="O101" i="20"/>
  <c r="I101" i="20"/>
  <c r="AB100" i="20"/>
  <c r="AA100" i="20"/>
  <c r="O100" i="20"/>
  <c r="I100" i="20"/>
  <c r="AB99" i="20"/>
  <c r="AA99" i="20"/>
  <c r="O99" i="20"/>
  <c r="I99" i="20"/>
  <c r="AB98" i="20"/>
  <c r="AA98" i="20"/>
  <c r="O98" i="20"/>
  <c r="I98" i="20"/>
  <c r="AB97" i="20"/>
  <c r="AA97" i="20"/>
  <c r="O97" i="20"/>
  <c r="I97" i="20"/>
  <c r="AB96" i="20"/>
  <c r="AA96" i="20"/>
  <c r="O96" i="20"/>
  <c r="I96" i="20"/>
  <c r="AB95" i="20"/>
  <c r="O95" i="20"/>
  <c r="I95" i="20"/>
  <c r="AA94" i="20"/>
  <c r="X94" i="20"/>
  <c r="W94" i="20"/>
  <c r="V94" i="20"/>
  <c r="T94" i="20"/>
  <c r="O94" i="20"/>
  <c r="I94" i="20"/>
  <c r="AA93" i="20"/>
  <c r="U93" i="20"/>
  <c r="O93" i="20"/>
  <c r="I93" i="20"/>
  <c r="AA92" i="20"/>
  <c r="U92" i="20"/>
  <c r="O92" i="20"/>
  <c r="I92" i="20"/>
  <c r="AB91" i="20"/>
  <c r="U91" i="20"/>
  <c r="O91" i="20"/>
  <c r="I91" i="20"/>
  <c r="AA90" i="20"/>
  <c r="U90" i="20"/>
  <c r="O90" i="20"/>
  <c r="I90" i="20"/>
  <c r="AA89" i="20"/>
  <c r="U89" i="20"/>
  <c r="O89" i="20"/>
  <c r="I89" i="20"/>
  <c r="AA88" i="20"/>
  <c r="U88" i="20"/>
  <c r="O88" i="20"/>
  <c r="I88" i="20"/>
  <c r="U87" i="20"/>
  <c r="O87" i="20"/>
  <c r="I87" i="20"/>
  <c r="AA86" i="20"/>
  <c r="U86" i="20"/>
  <c r="O86" i="20"/>
  <c r="I86" i="20"/>
  <c r="AA85" i="20"/>
  <c r="U85" i="20"/>
  <c r="O85" i="20"/>
  <c r="I85" i="20"/>
  <c r="AA84" i="20"/>
  <c r="U84" i="20"/>
  <c r="O84" i="20"/>
  <c r="I84" i="20"/>
  <c r="U83" i="20"/>
  <c r="O83" i="20"/>
  <c r="I83" i="20"/>
  <c r="AA82" i="20"/>
  <c r="U82" i="20"/>
  <c r="O82" i="20"/>
  <c r="I82" i="20"/>
  <c r="AA81" i="20"/>
  <c r="U81" i="20"/>
  <c r="O81" i="20"/>
  <c r="I81" i="20"/>
  <c r="AA80" i="20"/>
  <c r="U80" i="20"/>
  <c r="O80" i="20"/>
  <c r="I80" i="20"/>
  <c r="U79" i="20"/>
  <c r="O79" i="20"/>
  <c r="I79" i="20"/>
  <c r="AA78" i="20"/>
  <c r="U78" i="20"/>
  <c r="O78" i="20"/>
  <c r="I78" i="20"/>
  <c r="AA77" i="20"/>
  <c r="U77" i="20"/>
  <c r="O77" i="20"/>
  <c r="I77" i="20"/>
  <c r="AA76" i="20"/>
  <c r="U76" i="20"/>
  <c r="O76" i="20"/>
  <c r="I76" i="20"/>
  <c r="U75" i="20"/>
  <c r="O75" i="20"/>
  <c r="I75" i="20"/>
  <c r="AA74" i="20"/>
  <c r="U74" i="20"/>
  <c r="O74" i="20"/>
  <c r="I74" i="20"/>
  <c r="AA73" i="20"/>
  <c r="U73" i="20"/>
  <c r="O73" i="20"/>
  <c r="I73" i="20"/>
  <c r="AA72" i="20"/>
  <c r="U72" i="20"/>
  <c r="O72" i="20"/>
  <c r="I72" i="20"/>
  <c r="AA71" i="20"/>
  <c r="U71" i="20"/>
  <c r="O71" i="20"/>
  <c r="I71" i="20"/>
  <c r="AA70" i="20"/>
  <c r="U70" i="20"/>
  <c r="O70" i="20"/>
  <c r="I70" i="20"/>
  <c r="AA69" i="20"/>
  <c r="U69" i="20"/>
  <c r="O69" i="20"/>
  <c r="I69" i="20"/>
  <c r="AA68" i="20"/>
  <c r="U68" i="20"/>
  <c r="O68" i="20"/>
  <c r="I68" i="20"/>
  <c r="U67" i="20"/>
  <c r="O67" i="20"/>
  <c r="I67" i="20"/>
  <c r="AA66" i="20"/>
  <c r="U66" i="20"/>
  <c r="O66" i="20"/>
  <c r="I66" i="20"/>
  <c r="AA65" i="20"/>
  <c r="O65" i="20"/>
  <c r="I65" i="20"/>
  <c r="O64" i="20"/>
  <c r="I64" i="20"/>
  <c r="AA63" i="20"/>
  <c r="O63" i="20"/>
  <c r="I63" i="20"/>
  <c r="AA62" i="20"/>
  <c r="X62" i="20"/>
  <c r="W62" i="20"/>
  <c r="T62" i="20"/>
  <c r="O62" i="20"/>
  <c r="I62" i="20"/>
  <c r="AA61" i="20"/>
  <c r="U61" i="20"/>
  <c r="O61" i="20"/>
  <c r="I61" i="20"/>
  <c r="F61" i="20"/>
  <c r="E61" i="20"/>
  <c r="B61" i="20"/>
  <c r="AB60" i="20"/>
  <c r="U60" i="20"/>
  <c r="O60" i="20"/>
  <c r="I60" i="20"/>
  <c r="D60" i="20"/>
  <c r="C60" i="20"/>
  <c r="AA59" i="20"/>
  <c r="U59" i="20"/>
  <c r="O59" i="20"/>
  <c r="I59" i="20"/>
  <c r="D59" i="20"/>
  <c r="C59" i="20"/>
  <c r="AA58" i="20"/>
  <c r="U58" i="20"/>
  <c r="O58" i="20"/>
  <c r="I58" i="20"/>
  <c r="D58" i="20"/>
  <c r="C58" i="20"/>
  <c r="AA57" i="20"/>
  <c r="U57" i="20"/>
  <c r="O57" i="20"/>
  <c r="I57" i="20"/>
  <c r="D57" i="20"/>
  <c r="C57" i="20"/>
  <c r="U56" i="20"/>
  <c r="O56" i="20"/>
  <c r="I56" i="20"/>
  <c r="D56" i="20"/>
  <c r="C56" i="20"/>
  <c r="AA55" i="20"/>
  <c r="U55" i="20"/>
  <c r="O55" i="20"/>
  <c r="D55" i="20"/>
  <c r="C55" i="20"/>
  <c r="AA54" i="20"/>
  <c r="U54" i="20"/>
  <c r="O54" i="20"/>
  <c r="D54" i="20"/>
  <c r="C54" i="20"/>
  <c r="U53" i="20"/>
  <c r="O53" i="20"/>
  <c r="L53" i="20"/>
  <c r="K53" i="20"/>
  <c r="J53" i="20"/>
  <c r="H53" i="20"/>
  <c r="D53" i="20"/>
  <c r="C53" i="20"/>
  <c r="AA52" i="20"/>
  <c r="U52" i="20"/>
  <c r="O52" i="20"/>
  <c r="I52" i="20"/>
  <c r="D52" i="20"/>
  <c r="C52" i="20"/>
  <c r="U51" i="20"/>
  <c r="O51" i="20"/>
  <c r="I51" i="20"/>
  <c r="D51" i="20"/>
  <c r="C51" i="20"/>
  <c r="AA50" i="20"/>
  <c r="U50" i="20"/>
  <c r="O50" i="20"/>
  <c r="I50" i="20"/>
  <c r="D50" i="20"/>
  <c r="C50" i="20"/>
  <c r="U49" i="20"/>
  <c r="O49" i="20"/>
  <c r="I49" i="20"/>
  <c r="D49" i="20"/>
  <c r="C49" i="20"/>
  <c r="AA48" i="20"/>
  <c r="U48" i="20"/>
  <c r="O48" i="20"/>
  <c r="I48" i="20"/>
  <c r="D48" i="20"/>
  <c r="C48" i="20"/>
  <c r="AA47" i="20"/>
  <c r="U47" i="20"/>
  <c r="O47" i="20"/>
  <c r="I47" i="20"/>
  <c r="D47" i="20"/>
  <c r="C47" i="20"/>
  <c r="U46" i="20"/>
  <c r="O46" i="20"/>
  <c r="I46" i="20"/>
  <c r="D46" i="20"/>
  <c r="C46" i="20"/>
  <c r="U45" i="20"/>
  <c r="O45" i="20"/>
  <c r="I45" i="20"/>
  <c r="D45" i="20"/>
  <c r="C45" i="20"/>
  <c r="AA44" i="20"/>
  <c r="U44" i="20"/>
  <c r="O44" i="20"/>
  <c r="I44" i="20"/>
  <c r="D44" i="20"/>
  <c r="C44" i="20"/>
  <c r="AA43" i="20"/>
  <c r="U43" i="20"/>
  <c r="O43" i="20"/>
  <c r="I43" i="20"/>
  <c r="D43" i="20"/>
  <c r="C43" i="20"/>
  <c r="U42" i="20"/>
  <c r="O42" i="20"/>
  <c r="I42" i="20"/>
  <c r="D42" i="20"/>
  <c r="C42" i="20"/>
  <c r="AA41" i="20"/>
  <c r="U41" i="20"/>
  <c r="O41" i="20"/>
  <c r="I41" i="20"/>
  <c r="D41" i="20"/>
  <c r="C41" i="20"/>
  <c r="AA40" i="20"/>
  <c r="U40" i="20"/>
  <c r="O40" i="20"/>
  <c r="I40" i="20"/>
  <c r="D40" i="20"/>
  <c r="C40" i="20"/>
  <c r="AA39" i="20"/>
  <c r="O39" i="20"/>
  <c r="I39" i="20"/>
  <c r="D39" i="20"/>
  <c r="C39" i="20"/>
  <c r="AA38" i="20"/>
  <c r="U38" i="20"/>
  <c r="O38" i="20"/>
  <c r="I38" i="20"/>
  <c r="D38" i="20"/>
  <c r="C38" i="20"/>
  <c r="AB37" i="20"/>
  <c r="U37" i="20"/>
  <c r="O37" i="20"/>
  <c r="I37" i="20"/>
  <c r="D37" i="20"/>
  <c r="C37" i="20"/>
  <c r="AA36" i="20"/>
  <c r="O36" i="20"/>
  <c r="I36" i="20"/>
  <c r="D36" i="20"/>
  <c r="C36" i="20"/>
  <c r="AA35" i="20"/>
  <c r="O35" i="20"/>
  <c r="I35" i="20"/>
  <c r="D35" i="20"/>
  <c r="C35" i="20"/>
  <c r="U34" i="20"/>
  <c r="O34" i="20"/>
  <c r="I34" i="20"/>
  <c r="D34" i="20"/>
  <c r="C34" i="20"/>
  <c r="AA33" i="20"/>
  <c r="O33" i="20"/>
  <c r="I33" i="20"/>
  <c r="D33" i="20"/>
  <c r="C33" i="20"/>
  <c r="AA32" i="20"/>
  <c r="O32" i="20"/>
  <c r="I32" i="20"/>
  <c r="D32" i="20"/>
  <c r="C32" i="20"/>
  <c r="AO31" i="20"/>
  <c r="AN31" i="20"/>
  <c r="AM31" i="20"/>
  <c r="AK31" i="20"/>
  <c r="X31" i="20"/>
  <c r="W31" i="20"/>
  <c r="T31" i="20"/>
  <c r="O31" i="20"/>
  <c r="I31" i="20"/>
  <c r="D31" i="20"/>
  <c r="C31" i="20"/>
  <c r="AL30" i="20"/>
  <c r="U30" i="20"/>
  <c r="O30" i="20"/>
  <c r="I30" i="20"/>
  <c r="D30" i="20"/>
  <c r="C30" i="20"/>
  <c r="AL29" i="20"/>
  <c r="AA29" i="20"/>
  <c r="U29" i="20"/>
  <c r="O29" i="20"/>
  <c r="I29" i="20"/>
  <c r="D29" i="20"/>
  <c r="C29" i="20"/>
  <c r="AL28" i="20"/>
  <c r="AA28" i="20"/>
  <c r="U28" i="20"/>
  <c r="O28" i="20"/>
  <c r="I28" i="20"/>
  <c r="D28" i="20"/>
  <c r="C28" i="20"/>
  <c r="AL27" i="20"/>
  <c r="U27" i="20"/>
  <c r="O27" i="20"/>
  <c r="I27" i="20"/>
  <c r="D27" i="20"/>
  <c r="C27" i="20"/>
  <c r="AL26" i="20"/>
  <c r="AJ26" i="20"/>
  <c r="AI26" i="20"/>
  <c r="AH26" i="20"/>
  <c r="AF26" i="20"/>
  <c r="AA26" i="20"/>
  <c r="U26" i="20"/>
  <c r="O26" i="20"/>
  <c r="I26" i="20"/>
  <c r="D26" i="20"/>
  <c r="C26" i="20"/>
  <c r="AL25" i="20"/>
  <c r="AG25" i="20"/>
  <c r="AA25" i="20"/>
  <c r="U25" i="20"/>
  <c r="O25" i="20"/>
  <c r="I25" i="20"/>
  <c r="D25" i="20"/>
  <c r="C25" i="20"/>
  <c r="AL24" i="20"/>
  <c r="AG24" i="20"/>
  <c r="AA24" i="20"/>
  <c r="U24" i="20"/>
  <c r="O24" i="20"/>
  <c r="I24" i="20"/>
  <c r="D24" i="20"/>
  <c r="C24" i="20"/>
  <c r="AL23" i="20"/>
  <c r="AG23" i="20"/>
  <c r="U23" i="20"/>
  <c r="O23" i="20"/>
  <c r="I23" i="20"/>
  <c r="D23" i="20"/>
  <c r="C23" i="20"/>
  <c r="AL22" i="20"/>
  <c r="AG22" i="20"/>
  <c r="U22" i="20"/>
  <c r="O22" i="20"/>
  <c r="I22" i="20"/>
  <c r="D22" i="20"/>
  <c r="C22" i="20"/>
  <c r="AL21" i="20"/>
  <c r="AG21" i="20"/>
  <c r="AA21" i="20"/>
  <c r="U21" i="20"/>
  <c r="O21" i="20"/>
  <c r="I21" i="20"/>
  <c r="D21" i="20"/>
  <c r="C21" i="20"/>
  <c r="AL20" i="20"/>
  <c r="AG20" i="20"/>
  <c r="AA20" i="20"/>
  <c r="U20" i="20"/>
  <c r="O20" i="20"/>
  <c r="I20" i="20"/>
  <c r="D20" i="20"/>
  <c r="C20" i="20"/>
  <c r="AL19" i="20"/>
  <c r="AG19" i="20"/>
  <c r="AA19" i="20"/>
  <c r="U19" i="20"/>
  <c r="O19" i="20"/>
  <c r="I19" i="20"/>
  <c r="D19" i="20"/>
  <c r="C19" i="20"/>
  <c r="AL18" i="20"/>
  <c r="AG18" i="20"/>
  <c r="U18" i="20"/>
  <c r="O18" i="20"/>
  <c r="I18" i="20"/>
  <c r="D18" i="20"/>
  <c r="C18" i="20"/>
  <c r="AL17" i="20"/>
  <c r="AG17" i="20"/>
  <c r="AA17" i="20"/>
  <c r="P17" i="20"/>
  <c r="P135" i="20" s="1"/>
  <c r="I17" i="20"/>
  <c r="D17" i="20"/>
  <c r="C17" i="20"/>
  <c r="AL16" i="20"/>
  <c r="AG16" i="20"/>
  <c r="AA16" i="20"/>
  <c r="U16" i="20"/>
  <c r="O16" i="20"/>
  <c r="I16" i="20"/>
  <c r="D16" i="20"/>
  <c r="G12" i="20"/>
  <c r="F12" i="20"/>
  <c r="D12" i="20"/>
  <c r="C12" i="20"/>
  <c r="J10" i="20"/>
  <c r="B7" i="20"/>
  <c r="B6" i="20"/>
  <c r="B5" i="20"/>
  <c r="B4" i="20"/>
  <c r="B3" i="20"/>
  <c r="AG16" i="18"/>
  <c r="AA93" i="18"/>
  <c r="AB91" i="18"/>
  <c r="AA90" i="18"/>
  <c r="AB87" i="18"/>
  <c r="AA85" i="18"/>
  <c r="AA80" i="18"/>
  <c r="AA72" i="18"/>
  <c r="AB67" i="18"/>
  <c r="AB60" i="18"/>
  <c r="AB53" i="18"/>
  <c r="AA50" i="18"/>
  <c r="AB49" i="18"/>
  <c r="AA38" i="18"/>
  <c r="AB37" i="18"/>
  <c r="AA26" i="18"/>
  <c r="D16" i="18"/>
  <c r="V39" i="18"/>
  <c r="V36" i="18"/>
  <c r="U35" i="18"/>
  <c r="AA68" i="18"/>
  <c r="AD169" i="18"/>
  <c r="AC169" i="18"/>
  <c r="Z169" i="18"/>
  <c r="AB168" i="18"/>
  <c r="AA168" i="18"/>
  <c r="AB167" i="18"/>
  <c r="AA167" i="18"/>
  <c r="AB166" i="18"/>
  <c r="AA166" i="18"/>
  <c r="AB165" i="18"/>
  <c r="AA165" i="18"/>
  <c r="AB164" i="18"/>
  <c r="AA164" i="18"/>
  <c r="AB163" i="18"/>
  <c r="AA163" i="18"/>
  <c r="AB162" i="18"/>
  <c r="AA162" i="18"/>
  <c r="AB161" i="18"/>
  <c r="AA161" i="18"/>
  <c r="AB160" i="18"/>
  <c r="AA160" i="18"/>
  <c r="AB159" i="18"/>
  <c r="AA159" i="18"/>
  <c r="AB158" i="18"/>
  <c r="AA158" i="18"/>
  <c r="AB157" i="18"/>
  <c r="AA157" i="18"/>
  <c r="AB156" i="18"/>
  <c r="AA156" i="18"/>
  <c r="AB155" i="18"/>
  <c r="AA155" i="18"/>
  <c r="AB154" i="18"/>
  <c r="AA154" i="18"/>
  <c r="AB153" i="18"/>
  <c r="AA153" i="18"/>
  <c r="AB152" i="18"/>
  <c r="AA152" i="18"/>
  <c r="AB151" i="18"/>
  <c r="AA151" i="18"/>
  <c r="AB150" i="18"/>
  <c r="AA150" i="18"/>
  <c r="AB149" i="18"/>
  <c r="AA149" i="18"/>
  <c r="AB148" i="18"/>
  <c r="AA148" i="18"/>
  <c r="AB147" i="18"/>
  <c r="AA147" i="18"/>
  <c r="AB146" i="18"/>
  <c r="AA146" i="18"/>
  <c r="AB145" i="18"/>
  <c r="AA145" i="18"/>
  <c r="AB144" i="18"/>
  <c r="AA144" i="18"/>
  <c r="AB143" i="18"/>
  <c r="AA143" i="18"/>
  <c r="AB142" i="18"/>
  <c r="AA142" i="18"/>
  <c r="AB141" i="18"/>
  <c r="AA141" i="18"/>
  <c r="AB140" i="18"/>
  <c r="AA140" i="18"/>
  <c r="AB139" i="18"/>
  <c r="AA139" i="18"/>
  <c r="AB138" i="18"/>
  <c r="AA138" i="18"/>
  <c r="AB137" i="18"/>
  <c r="AA137" i="18"/>
  <c r="AB136" i="18"/>
  <c r="AA136" i="18"/>
  <c r="AB135" i="18"/>
  <c r="AA135" i="18"/>
  <c r="R135" i="18"/>
  <c r="Q135" i="18"/>
  <c r="N135" i="18"/>
  <c r="AB134" i="18"/>
  <c r="AA134" i="18"/>
  <c r="O134" i="18"/>
  <c r="AB133" i="18"/>
  <c r="AA133" i="18"/>
  <c r="AB132" i="18"/>
  <c r="AA132" i="18"/>
  <c r="AB131" i="18"/>
  <c r="AA131" i="18"/>
  <c r="AB130" i="18"/>
  <c r="AA130" i="18"/>
  <c r="AB129" i="18"/>
  <c r="AA129" i="18"/>
  <c r="AB128" i="18"/>
  <c r="AA128" i="18"/>
  <c r="AB127" i="18"/>
  <c r="AA127" i="18"/>
  <c r="AB126" i="18"/>
  <c r="AA126" i="18"/>
  <c r="AB125" i="18"/>
  <c r="AA125" i="18"/>
  <c r="AB124" i="18"/>
  <c r="AA124" i="18"/>
  <c r="AB123" i="18"/>
  <c r="AA123" i="18"/>
  <c r="AB122" i="18"/>
  <c r="AA122" i="18"/>
  <c r="O122" i="18"/>
  <c r="AB121" i="18"/>
  <c r="AA121" i="18"/>
  <c r="O121" i="18"/>
  <c r="AB120" i="18"/>
  <c r="AA120" i="18"/>
  <c r="O120" i="18"/>
  <c r="AB119" i="18"/>
  <c r="AA119" i="18"/>
  <c r="O119" i="18"/>
  <c r="AB118" i="18"/>
  <c r="AA118" i="18"/>
  <c r="O118" i="18"/>
  <c r="AB117" i="18"/>
  <c r="AA117" i="18"/>
  <c r="O117" i="18"/>
  <c r="AB116" i="18"/>
  <c r="AA116" i="18"/>
  <c r="O116" i="18"/>
  <c r="AB115" i="18"/>
  <c r="AA115" i="18"/>
  <c r="O115" i="18"/>
  <c r="AB114" i="18"/>
  <c r="AA114" i="18"/>
  <c r="O114" i="18"/>
  <c r="AB113" i="18"/>
  <c r="AA113" i="18"/>
  <c r="O113" i="18"/>
  <c r="AB112" i="18"/>
  <c r="AA112" i="18"/>
  <c r="O112" i="18"/>
  <c r="AB111" i="18"/>
  <c r="AA111" i="18"/>
  <c r="O111" i="18"/>
  <c r="AB110" i="18"/>
  <c r="AA110" i="18"/>
  <c r="O110" i="18"/>
  <c r="AB109" i="18"/>
  <c r="AA109" i="18"/>
  <c r="O109" i="18"/>
  <c r="AB108" i="18"/>
  <c r="AA108" i="18"/>
  <c r="O108" i="18"/>
  <c r="AB107" i="18"/>
  <c r="AA107" i="18"/>
  <c r="O107" i="18"/>
  <c r="AB106" i="18"/>
  <c r="AA106" i="18"/>
  <c r="O106" i="18"/>
  <c r="AB105" i="18"/>
  <c r="AA105" i="18"/>
  <c r="O105" i="18"/>
  <c r="AB104" i="18"/>
  <c r="AA104" i="18"/>
  <c r="O104" i="18"/>
  <c r="AB103" i="18"/>
  <c r="AA103" i="18"/>
  <c r="O103" i="18"/>
  <c r="AB102" i="18"/>
  <c r="AA102" i="18"/>
  <c r="O102" i="18"/>
  <c r="L102" i="18"/>
  <c r="K102" i="18"/>
  <c r="J102" i="18"/>
  <c r="H102" i="18"/>
  <c r="AB101" i="18"/>
  <c r="AA101" i="18"/>
  <c r="O101" i="18"/>
  <c r="I101" i="18"/>
  <c r="AB100" i="18"/>
  <c r="AA100" i="18"/>
  <c r="O100" i="18"/>
  <c r="I100" i="18"/>
  <c r="AB99" i="18"/>
  <c r="AA99" i="18"/>
  <c r="O99" i="18"/>
  <c r="I99" i="18"/>
  <c r="AB98" i="18"/>
  <c r="AA98" i="18"/>
  <c r="O98" i="18"/>
  <c r="I98" i="18"/>
  <c r="AB97" i="18"/>
  <c r="AA97" i="18"/>
  <c r="O97" i="18"/>
  <c r="I97" i="18"/>
  <c r="AB96" i="18"/>
  <c r="AA96" i="18"/>
  <c r="O96" i="18"/>
  <c r="I96" i="18"/>
  <c r="AB95" i="18"/>
  <c r="O95" i="18"/>
  <c r="I95" i="18"/>
  <c r="AA94" i="18"/>
  <c r="X94" i="18"/>
  <c r="W94" i="18"/>
  <c r="V94" i="18"/>
  <c r="T94" i="18"/>
  <c r="O94" i="18"/>
  <c r="I94" i="18"/>
  <c r="U93" i="18"/>
  <c r="O93" i="18"/>
  <c r="I93" i="18"/>
  <c r="AA92" i="18"/>
  <c r="U92" i="18"/>
  <c r="O92" i="18"/>
  <c r="I92" i="18"/>
  <c r="U91" i="18"/>
  <c r="O91" i="18"/>
  <c r="I91" i="18"/>
  <c r="U90" i="18"/>
  <c r="O90" i="18"/>
  <c r="I90" i="18"/>
  <c r="AA89" i="18"/>
  <c r="U89" i="18"/>
  <c r="O89" i="18"/>
  <c r="I89" i="18"/>
  <c r="AA88" i="18"/>
  <c r="U88" i="18"/>
  <c r="O88" i="18"/>
  <c r="I88" i="18"/>
  <c r="U87" i="18"/>
  <c r="O87" i="18"/>
  <c r="I87" i="18"/>
  <c r="AA86" i="18"/>
  <c r="U86" i="18"/>
  <c r="O86" i="18"/>
  <c r="I86" i="18"/>
  <c r="U85" i="18"/>
  <c r="O85" i="18"/>
  <c r="I85" i="18"/>
  <c r="AA84" i="18"/>
  <c r="U84" i="18"/>
  <c r="O84" i="18"/>
  <c r="I84" i="18"/>
  <c r="AA83" i="18"/>
  <c r="U83" i="18"/>
  <c r="O83" i="18"/>
  <c r="I83" i="18"/>
  <c r="AA82" i="18"/>
  <c r="U82" i="18"/>
  <c r="O82" i="18"/>
  <c r="I82" i="18"/>
  <c r="AA81" i="18"/>
  <c r="U81" i="18"/>
  <c r="O81" i="18"/>
  <c r="I81" i="18"/>
  <c r="U80" i="18"/>
  <c r="O80" i="18"/>
  <c r="I80" i="18"/>
  <c r="AA79" i="18"/>
  <c r="U79" i="18"/>
  <c r="O79" i="18"/>
  <c r="I79" i="18"/>
  <c r="AA78" i="18"/>
  <c r="U78" i="18"/>
  <c r="O78" i="18"/>
  <c r="I78" i="18"/>
  <c r="AA77" i="18"/>
  <c r="U77" i="18"/>
  <c r="O77" i="18"/>
  <c r="I77" i="18"/>
  <c r="AA76" i="18"/>
  <c r="U76" i="18"/>
  <c r="O76" i="18"/>
  <c r="I76" i="18"/>
  <c r="AA75" i="18"/>
  <c r="U75" i="18"/>
  <c r="O75" i="18"/>
  <c r="I75" i="18"/>
  <c r="AA74" i="18"/>
  <c r="U74" i="18"/>
  <c r="O74" i="18"/>
  <c r="I74" i="18"/>
  <c r="AA73" i="18"/>
  <c r="U73" i="18"/>
  <c r="O73" i="18"/>
  <c r="I73" i="18"/>
  <c r="U72" i="18"/>
  <c r="O72" i="18"/>
  <c r="I72" i="18"/>
  <c r="AA71" i="18"/>
  <c r="U71" i="18"/>
  <c r="O71" i="18"/>
  <c r="I71" i="18"/>
  <c r="AA70" i="18"/>
  <c r="U70" i="18"/>
  <c r="O70" i="18"/>
  <c r="I70" i="18"/>
  <c r="AA69" i="18"/>
  <c r="U69" i="18"/>
  <c r="O69" i="18"/>
  <c r="I69" i="18"/>
  <c r="U68" i="18"/>
  <c r="O68" i="18"/>
  <c r="I68" i="18"/>
  <c r="U67" i="18"/>
  <c r="O67" i="18"/>
  <c r="I67" i="18"/>
  <c r="AA66" i="18"/>
  <c r="U66" i="18"/>
  <c r="O66" i="18"/>
  <c r="I66" i="18"/>
  <c r="AA65" i="18"/>
  <c r="O65" i="18"/>
  <c r="I65" i="18"/>
  <c r="AA64" i="18"/>
  <c r="O64" i="18"/>
  <c r="I64" i="18"/>
  <c r="AA63" i="18"/>
  <c r="O63" i="18"/>
  <c r="I63" i="18"/>
  <c r="AA62" i="18"/>
  <c r="X62" i="18"/>
  <c r="W62" i="18"/>
  <c r="T62" i="18"/>
  <c r="O62" i="18"/>
  <c r="I62" i="18"/>
  <c r="AA61" i="18"/>
  <c r="U61" i="18"/>
  <c r="O61" i="18"/>
  <c r="I61" i="18"/>
  <c r="F61" i="18"/>
  <c r="E61" i="18"/>
  <c r="B61" i="18"/>
  <c r="U60" i="18"/>
  <c r="O60" i="18"/>
  <c r="I60" i="18"/>
  <c r="D60" i="18"/>
  <c r="C60" i="18"/>
  <c r="AA59" i="18"/>
  <c r="U59" i="18"/>
  <c r="O59" i="18"/>
  <c r="I59" i="18"/>
  <c r="D59" i="18"/>
  <c r="C59" i="18"/>
  <c r="AA58" i="18"/>
  <c r="U58" i="18"/>
  <c r="O58" i="18"/>
  <c r="I58" i="18"/>
  <c r="D58" i="18"/>
  <c r="C58" i="18"/>
  <c r="AA57" i="18"/>
  <c r="U57" i="18"/>
  <c r="O57" i="18"/>
  <c r="I57" i="18"/>
  <c r="D57" i="18"/>
  <c r="C57" i="18"/>
  <c r="AA56" i="18"/>
  <c r="U56" i="18"/>
  <c r="O56" i="18"/>
  <c r="I56" i="18"/>
  <c r="D56" i="18"/>
  <c r="C56" i="18"/>
  <c r="AA55" i="18"/>
  <c r="U55" i="18"/>
  <c r="O55" i="18"/>
  <c r="D55" i="18"/>
  <c r="C55" i="18"/>
  <c r="AA54" i="18"/>
  <c r="U54" i="18"/>
  <c r="O54" i="18"/>
  <c r="D54" i="18"/>
  <c r="C54" i="18"/>
  <c r="U53" i="18"/>
  <c r="O53" i="18"/>
  <c r="L53" i="18"/>
  <c r="K53" i="18"/>
  <c r="J53" i="18"/>
  <c r="H53" i="18"/>
  <c r="D53" i="18"/>
  <c r="C53" i="18"/>
  <c r="AA52" i="18"/>
  <c r="U52" i="18"/>
  <c r="O52" i="18"/>
  <c r="I52" i="18"/>
  <c r="D52" i="18"/>
  <c r="C52" i="18"/>
  <c r="AA51" i="18"/>
  <c r="U51" i="18"/>
  <c r="O51" i="18"/>
  <c r="I51" i="18"/>
  <c r="D51" i="18"/>
  <c r="C51" i="18"/>
  <c r="U50" i="18"/>
  <c r="O50" i="18"/>
  <c r="I50" i="18"/>
  <c r="D50" i="18"/>
  <c r="C50" i="18"/>
  <c r="U49" i="18"/>
  <c r="O49" i="18"/>
  <c r="I49" i="18"/>
  <c r="D49" i="18"/>
  <c r="C49" i="18"/>
  <c r="AA48" i="18"/>
  <c r="U48" i="18"/>
  <c r="O48" i="18"/>
  <c r="I48" i="18"/>
  <c r="D48" i="18"/>
  <c r="C48" i="18"/>
  <c r="AA47" i="18"/>
  <c r="U47" i="18"/>
  <c r="O47" i="18"/>
  <c r="I47" i="18"/>
  <c r="D47" i="18"/>
  <c r="C47" i="18"/>
  <c r="U46" i="18"/>
  <c r="O46" i="18"/>
  <c r="I46" i="18"/>
  <c r="D46" i="18"/>
  <c r="C46" i="18"/>
  <c r="AA45" i="18"/>
  <c r="U45" i="18"/>
  <c r="O45" i="18"/>
  <c r="I45" i="18"/>
  <c r="D45" i="18"/>
  <c r="C45" i="18"/>
  <c r="AA44" i="18"/>
  <c r="U44" i="18"/>
  <c r="O44" i="18"/>
  <c r="I44" i="18"/>
  <c r="D44" i="18"/>
  <c r="C44" i="18"/>
  <c r="AA43" i="18"/>
  <c r="U43" i="18"/>
  <c r="O43" i="18"/>
  <c r="I43" i="18"/>
  <c r="D43" i="18"/>
  <c r="C43" i="18"/>
  <c r="U42" i="18"/>
  <c r="O42" i="18"/>
  <c r="I42" i="18"/>
  <c r="D42" i="18"/>
  <c r="C42" i="18"/>
  <c r="AA41" i="18"/>
  <c r="U41" i="18"/>
  <c r="O41" i="18"/>
  <c r="I41" i="18"/>
  <c r="D41" i="18"/>
  <c r="C41" i="18"/>
  <c r="AA40" i="18"/>
  <c r="U40" i="18"/>
  <c r="O40" i="18"/>
  <c r="I40" i="18"/>
  <c r="D40" i="18"/>
  <c r="C40" i="18"/>
  <c r="AA39" i="18"/>
  <c r="O39" i="18"/>
  <c r="I39" i="18"/>
  <c r="D39" i="18"/>
  <c r="C39" i="18"/>
  <c r="U38" i="18"/>
  <c r="O38" i="18"/>
  <c r="I38" i="18"/>
  <c r="D38" i="18"/>
  <c r="C38" i="18"/>
  <c r="U37" i="18"/>
  <c r="O37" i="18"/>
  <c r="I37" i="18"/>
  <c r="D37" i="18"/>
  <c r="C37" i="18"/>
  <c r="AA36" i="18"/>
  <c r="O36" i="18"/>
  <c r="I36" i="18"/>
  <c r="D36" i="18"/>
  <c r="C36" i="18"/>
  <c r="AA35" i="18"/>
  <c r="O35" i="18"/>
  <c r="I35" i="18"/>
  <c r="D35" i="18"/>
  <c r="C35" i="18"/>
  <c r="AB34" i="18"/>
  <c r="U34" i="18"/>
  <c r="O34" i="18"/>
  <c r="I34" i="18"/>
  <c r="D34" i="18"/>
  <c r="C34" i="18"/>
  <c r="AA33" i="18"/>
  <c r="O33" i="18"/>
  <c r="I33" i="18"/>
  <c r="D33" i="18"/>
  <c r="C33" i="18"/>
  <c r="AA32" i="18"/>
  <c r="O32" i="18"/>
  <c r="I32" i="18"/>
  <c r="D32" i="18"/>
  <c r="C32" i="18"/>
  <c r="AO31" i="18"/>
  <c r="AN31" i="18"/>
  <c r="AM31" i="18"/>
  <c r="AK31" i="18"/>
  <c r="AA31" i="18"/>
  <c r="X31" i="18"/>
  <c r="W31" i="18"/>
  <c r="V31" i="18"/>
  <c r="T31" i="18"/>
  <c r="O31" i="18"/>
  <c r="I31" i="18"/>
  <c r="D31" i="18"/>
  <c r="C31" i="18"/>
  <c r="AL30" i="18"/>
  <c r="AB30" i="18"/>
  <c r="U30" i="18"/>
  <c r="O30" i="18"/>
  <c r="I30" i="18"/>
  <c r="D30" i="18"/>
  <c r="C30" i="18"/>
  <c r="AL29" i="18"/>
  <c r="AA29" i="18"/>
  <c r="U29" i="18"/>
  <c r="O29" i="18"/>
  <c r="I29" i="18"/>
  <c r="D29" i="18"/>
  <c r="C29" i="18"/>
  <c r="AL28" i="18"/>
  <c r="AA28" i="18"/>
  <c r="U28" i="18"/>
  <c r="O28" i="18"/>
  <c r="I28" i="18"/>
  <c r="D28" i="18"/>
  <c r="C28" i="18"/>
  <c r="AL27" i="18"/>
  <c r="AA27" i="18"/>
  <c r="U27" i="18"/>
  <c r="O27" i="18"/>
  <c r="I27" i="18"/>
  <c r="D27" i="18"/>
  <c r="C27" i="18"/>
  <c r="AL26" i="18"/>
  <c r="AJ26" i="18"/>
  <c r="AI26" i="18"/>
  <c r="AH26" i="18"/>
  <c r="U26" i="18"/>
  <c r="O26" i="18"/>
  <c r="I26" i="18"/>
  <c r="D26" i="18"/>
  <c r="C26" i="18"/>
  <c r="AL25" i="18"/>
  <c r="AA25" i="18"/>
  <c r="U25" i="18"/>
  <c r="O25" i="18"/>
  <c r="I25" i="18"/>
  <c r="D25" i="18"/>
  <c r="C25" i="18"/>
  <c r="AL24" i="18"/>
  <c r="AA24" i="18"/>
  <c r="U24" i="18"/>
  <c r="O24" i="18"/>
  <c r="I24" i="18"/>
  <c r="D24" i="18"/>
  <c r="C24" i="18"/>
  <c r="AL23" i="18"/>
  <c r="AA23" i="18"/>
  <c r="U23" i="18"/>
  <c r="O23" i="18"/>
  <c r="I23" i="18"/>
  <c r="D23" i="18"/>
  <c r="C23" i="18"/>
  <c r="AL22" i="18"/>
  <c r="AB22" i="18"/>
  <c r="U22" i="18"/>
  <c r="O22" i="18"/>
  <c r="I22" i="18"/>
  <c r="D22" i="18"/>
  <c r="C22" i="18"/>
  <c r="AL21" i="18"/>
  <c r="AA21" i="18"/>
  <c r="U21" i="18"/>
  <c r="O21" i="18"/>
  <c r="I21" i="18"/>
  <c r="D21" i="18"/>
  <c r="C21" i="18"/>
  <c r="AL20" i="18"/>
  <c r="AA20" i="18"/>
  <c r="U20" i="18"/>
  <c r="O20" i="18"/>
  <c r="I20" i="18"/>
  <c r="D20" i="18"/>
  <c r="C20" i="18"/>
  <c r="AL19" i="18"/>
  <c r="AA19" i="18"/>
  <c r="U19" i="18"/>
  <c r="O19" i="18"/>
  <c r="I19" i="18"/>
  <c r="D19" i="18"/>
  <c r="C19" i="18"/>
  <c r="AL18" i="18"/>
  <c r="AB18" i="18"/>
  <c r="U18" i="18"/>
  <c r="O18" i="18"/>
  <c r="I18" i="18"/>
  <c r="D18" i="18"/>
  <c r="C18" i="18"/>
  <c r="AL17" i="18"/>
  <c r="AA17" i="18"/>
  <c r="U17" i="18"/>
  <c r="P17" i="18"/>
  <c r="P135" i="18" s="1"/>
  <c r="I17" i="18"/>
  <c r="D17" i="18"/>
  <c r="C17" i="18"/>
  <c r="AL16" i="18"/>
  <c r="AA16" i="18"/>
  <c r="U16" i="18"/>
  <c r="O16" i="18"/>
  <c r="I16" i="18"/>
  <c r="G12" i="18"/>
  <c r="F12" i="18"/>
  <c r="E12" i="18"/>
  <c r="D12" i="18"/>
  <c r="C12" i="18"/>
  <c r="J10" i="18"/>
  <c r="B7" i="18"/>
  <c r="B6" i="18"/>
  <c r="B5" i="18"/>
  <c r="B4" i="18"/>
  <c r="B3" i="18"/>
  <c r="J78" i="32" l="1"/>
  <c r="V51" i="32"/>
  <c r="AB27" i="32"/>
  <c r="P77" i="32"/>
  <c r="C57" i="32"/>
  <c r="AB27" i="31"/>
  <c r="P77" i="31"/>
  <c r="J131" i="31"/>
  <c r="C57" i="31"/>
  <c r="J131" i="30"/>
  <c r="C57" i="30"/>
  <c r="AB27" i="29"/>
  <c r="O135" i="21"/>
  <c r="J131" i="29"/>
  <c r="I53" i="25"/>
  <c r="P77" i="29"/>
  <c r="V51" i="29"/>
  <c r="C57" i="29"/>
  <c r="J131" i="28"/>
  <c r="AB27" i="28"/>
  <c r="V51" i="28"/>
  <c r="P77" i="28"/>
  <c r="C57" i="28"/>
  <c r="D57" i="28"/>
  <c r="AB27" i="27"/>
  <c r="V51" i="27"/>
  <c r="P64" i="27"/>
  <c r="C57" i="27"/>
  <c r="D57" i="27"/>
  <c r="J131" i="27"/>
  <c r="O135" i="25"/>
  <c r="U123" i="25"/>
  <c r="D61" i="21"/>
  <c r="U123" i="24"/>
  <c r="I53" i="21"/>
  <c r="U94" i="21"/>
  <c r="AG26" i="25"/>
  <c r="I102" i="25"/>
  <c r="U94" i="18"/>
  <c r="U31" i="21"/>
  <c r="C61" i="24"/>
  <c r="D61" i="25"/>
  <c r="AB169" i="25"/>
  <c r="I53" i="18"/>
  <c r="AL31" i="21"/>
  <c r="I102" i="21"/>
  <c r="C61" i="21"/>
  <c r="D61" i="26"/>
  <c r="AA169" i="26"/>
  <c r="I53" i="26"/>
  <c r="AB169" i="26"/>
  <c r="I102" i="26"/>
  <c r="AG26" i="26"/>
  <c r="O135" i="26"/>
  <c r="AL31" i="26"/>
  <c r="U253" i="26"/>
  <c r="U31" i="26"/>
  <c r="U62" i="26"/>
  <c r="C61" i="26"/>
  <c r="AL31" i="25"/>
  <c r="C61" i="25"/>
  <c r="U62" i="25"/>
  <c r="AA169" i="25"/>
  <c r="U31" i="25"/>
  <c r="AB169" i="24"/>
  <c r="I102" i="24"/>
  <c r="I53" i="24"/>
  <c r="O135" i="24"/>
  <c r="U31" i="24"/>
  <c r="AL31" i="24"/>
  <c r="AG26" i="24"/>
  <c r="AA169" i="24"/>
  <c r="U62" i="24"/>
  <c r="D61" i="24"/>
  <c r="D61" i="22"/>
  <c r="C61" i="22"/>
  <c r="I53" i="22"/>
  <c r="U31" i="22"/>
  <c r="U123" i="22"/>
  <c r="AG26" i="22"/>
  <c r="O135" i="22"/>
  <c r="I102" i="22"/>
  <c r="AL31" i="22"/>
  <c r="U62" i="22"/>
  <c r="AA169" i="22"/>
  <c r="AB169" i="22"/>
  <c r="AA169" i="21"/>
  <c r="AB169" i="21"/>
  <c r="U62" i="21"/>
  <c r="O135" i="18"/>
  <c r="O135" i="20"/>
  <c r="I102" i="18"/>
  <c r="AG26" i="20"/>
  <c r="AL31" i="18"/>
  <c r="C61" i="18"/>
  <c r="AL31" i="20"/>
  <c r="I102" i="20"/>
  <c r="C61" i="20"/>
  <c r="U94" i="20"/>
  <c r="V62" i="18"/>
  <c r="I53" i="20"/>
  <c r="D61" i="20"/>
  <c r="U31" i="18"/>
  <c r="AA169" i="20"/>
  <c r="AB169" i="20"/>
  <c r="V62" i="20"/>
  <c r="U62" i="20"/>
  <c r="U31" i="20"/>
  <c r="U62" i="18"/>
  <c r="AA169" i="18"/>
  <c r="AB169" i="18"/>
  <c r="D61" i="18"/>
  <c r="AG17" i="18" l="1"/>
  <c r="AG18" i="18"/>
  <c r="AG19" i="18"/>
  <c r="AG20" i="18"/>
  <c r="AG21" i="18"/>
  <c r="AG22" i="18"/>
  <c r="AG23" i="18"/>
  <c r="AG24" i="18"/>
  <c r="AG25" i="18"/>
  <c r="AF26" i="18"/>
  <c r="AG26" i="18" l="1"/>
</calcChain>
</file>

<file path=xl/sharedStrings.xml><?xml version="1.0" encoding="utf-8"?>
<sst xmlns="http://schemas.openxmlformats.org/spreadsheetml/2006/main" count="817" uniqueCount="26">
  <si>
    <t>IVA 21</t>
  </si>
  <si>
    <t>IVA 10,5</t>
  </si>
  <si>
    <t>COMISIONES</t>
  </si>
  <si>
    <t>Ret IIBB Caba</t>
  </si>
  <si>
    <t>PERC IVA</t>
  </si>
  <si>
    <r>
      <rPr>
        <b/>
        <u/>
        <sz val="11"/>
        <color theme="1"/>
        <rFont val="Calibri"/>
        <family val="2"/>
        <scheme val="minor"/>
      </rPr>
      <t>EJEMPLO</t>
    </r>
    <r>
      <rPr>
        <sz val="11"/>
        <color theme="1"/>
        <rFont val="Calibri"/>
        <family val="2"/>
        <scheme val="minor"/>
      </rPr>
      <t xml:space="preserve"> </t>
    </r>
  </si>
  <si>
    <t>GALICIA EXTRACTO (31/03)</t>
  </si>
  <si>
    <t>listo</t>
  </si>
  <si>
    <t>CABAL 22/3</t>
  </si>
  <si>
    <t>FRANCES extracto (27/03)</t>
  </si>
  <si>
    <t>Extracto Santander</t>
  </si>
  <si>
    <t>BBVA VISA</t>
  </si>
  <si>
    <t>Tarjeta BBVA</t>
  </si>
  <si>
    <t>VISA GALICIA</t>
  </si>
  <si>
    <t>EXTRACTO BBVA</t>
  </si>
  <si>
    <t>TARJETA CREDITO BBVA</t>
  </si>
  <si>
    <t>SANTANDER - GETNET</t>
  </si>
  <si>
    <t>GALICIA - NAVE</t>
  </si>
  <si>
    <t xml:space="preserve"> </t>
  </si>
  <si>
    <t>GALICIA extracto</t>
  </si>
  <si>
    <t>Per IVA</t>
  </si>
  <si>
    <t>Extracto GALICIA</t>
  </si>
  <si>
    <t>EXTRACTO GALICIA</t>
  </si>
  <si>
    <t>Extracto santander</t>
  </si>
  <si>
    <t>VISA BBVA</t>
  </si>
  <si>
    <t>EXTRACTO 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</si>
</sst>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C0A]mmmm\-yy;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7">
    <xf numFmtId="0" fontId="0" fillId="0" borderId="0" xfId="0"/>
    <xf numFmtId="4" fontId="0" fillId="0" borderId="0" xfId="0" applyNumberFormat="1"/>
    <xf numFmtId="39" fontId="0" fillId="0" borderId="0" xfId="0" applyNumberFormat="1"/>
    <xf numFmtId="43" fontId="0" fillId="0" borderId="0" xfId="1" applyFont="1"/>
    <xf numFmtId="39" fontId="3" fillId="3" borderId="0" xfId="0" applyNumberFormat="1" applyFont="1" applyFill="1"/>
    <xf numFmtId="0" fontId="0" fillId="0" borderId="0" xfId="0" applyAlignment="1">
      <alignment horizontal="center"/>
    </xf>
    <xf numFmtId="0" fontId="0" fillId="5" borderId="0" xfId="0" applyFill="1"/>
    <xf numFmtId="39" fontId="0" fillId="5" borderId="0" xfId="0" applyNumberFormat="1" applyFill="1" applyAlignment="1">
      <alignment horizontal="center"/>
    </xf>
    <xf numFmtId="39" fontId="0" fillId="5" borderId="0" xfId="0" applyNumberFormat="1" applyFill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43" fontId="0" fillId="0" borderId="1" xfId="1" applyFont="1" applyBorder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  <xf numFmtId="39" fontId="0" fillId="0" borderId="2" xfId="0" applyNumberFormat="1" applyBorder="1"/>
    <xf numFmtId="0" fontId="6" fillId="4" borderId="2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/>
    </xf>
    <xf numFmtId="39" fontId="8" fillId="3" borderId="0" xfId="0" applyNumberFormat="1" applyFont="1" applyFill="1"/>
    <xf numFmtId="43" fontId="9" fillId="0" borderId="1" xfId="1" applyFont="1" applyBorder="1"/>
    <xf numFmtId="43" fontId="0" fillId="0" borderId="0" xfId="0" applyNumberFormat="1"/>
    <xf numFmtId="39" fontId="10" fillId="3" borderId="0" xfId="0" applyNumberFormat="1" applyFont="1" applyFill="1"/>
    <xf numFmtId="43" fontId="11" fillId="0" borderId="1" xfId="1" applyFont="1" applyBorder="1"/>
    <xf numFmtId="43" fontId="12" fillId="0" borderId="1" xfId="1" applyFont="1" applyBorder="1"/>
    <xf numFmtId="43" fontId="12" fillId="0" borderId="0" xfId="1" applyFont="1" applyBorder="1"/>
    <xf numFmtId="39" fontId="13" fillId="3" borderId="0" xfId="0" applyNumberFormat="1" applyFont="1" applyFill="1"/>
    <xf numFmtId="0" fontId="1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39" fontId="1" fillId="5" borderId="0" xfId="0" applyNumberFormat="1" applyFont="1" applyFill="1" applyAlignment="1">
      <alignment horizontal="center"/>
    </xf>
    <xf numFmtId="0" fontId="1" fillId="5" borderId="3" xfId="0" applyFont="1" applyFill="1" applyBorder="1"/>
    <xf numFmtId="43" fontId="0" fillId="0" borderId="1" xfId="1" applyFont="1" applyFill="1" applyBorder="1"/>
    <xf numFmtId="43" fontId="11" fillId="0" borderId="1" xfId="1" applyFont="1" applyFill="1" applyBorder="1"/>
    <xf numFmtId="43" fontId="0" fillId="0" borderId="6" xfId="1" applyFont="1" applyBorder="1"/>
    <xf numFmtId="39" fontId="0" fillId="0" borderId="3" xfId="0" applyNumberFormat="1" applyBorder="1"/>
    <xf numFmtId="0" fontId="0" fillId="0" borderId="4" xfId="0" applyBorder="1"/>
    <xf numFmtId="43" fontId="0" fillId="0" borderId="4" xfId="1" applyFont="1" applyBorder="1" applyAlignment="1"/>
    <xf numFmtId="39" fontId="0" fillId="0" borderId="7" xfId="0" applyNumberFormat="1" applyBorder="1"/>
    <xf numFmtId="0" fontId="0" fillId="0" borderId="8" xfId="0" applyBorder="1"/>
    <xf numFmtId="0" fontId="6" fillId="4" borderId="4" xfId="0" applyFont="1" applyFill="1" applyBorder="1" applyAlignment="1">
      <alignment horizontal="center"/>
    </xf>
    <xf numFmtId="39" fontId="0" fillId="0" borderId="4" xfId="0" applyNumberFormat="1" applyBorder="1"/>
    <xf numFmtId="0" fontId="4" fillId="0" borderId="0" xfId="0" applyFont="1" applyAlignment="1">
      <alignment horizontal="center"/>
    </xf>
    <xf numFmtId="43" fontId="15" fillId="0" borderId="1" xfId="1" applyFont="1" applyBorder="1"/>
    <xf numFmtId="43" fontId="15" fillId="0" borderId="1" xfId="1" applyFont="1" applyFill="1" applyBorder="1" applyAlignment="1">
      <alignment horizontal="center" wrapText="1"/>
    </xf>
    <xf numFmtId="43" fontId="15" fillId="0" borderId="1" xfId="1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43" fontId="0" fillId="5" borderId="1" xfId="1" applyFont="1" applyFill="1" applyBorder="1"/>
    <xf numFmtId="43" fontId="15" fillId="5" borderId="1" xfId="1" applyFont="1" applyFill="1" applyBorder="1"/>
    <xf numFmtId="43" fontId="15" fillId="5" borderId="1" xfId="1" applyFont="1" applyFill="1" applyBorder="1" applyAlignment="1">
      <alignment horizontal="center"/>
    </xf>
    <xf numFmtId="43" fontId="15" fillId="5" borderId="0" xfId="1" applyFont="1" applyFill="1" applyBorder="1"/>
    <xf numFmtId="39" fontId="3" fillId="5" borderId="0" xfId="0" applyNumberFormat="1" applyFont="1" applyFill="1"/>
    <xf numFmtId="0" fontId="0" fillId="7" borderId="0" xfId="0" applyFill="1"/>
    <xf numFmtId="0" fontId="0" fillId="5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164" fontId="4" fillId="6" borderId="0" xfId="0" applyNumberFormat="1" applyFont="1" applyFill="1" applyAlignment="1">
      <alignment horizontal="center" vertical="center"/>
    </xf>
    <xf numFmtId="39" fontId="1" fillId="5" borderId="5" xfId="0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12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7" formatCode="#,##0.00;\-#,##0.00"/>
    </dxf>
    <dxf>
      <numFmt numFmtId="35" formatCode="_-* #,##0.00_-;\-* #,##0.00_-;_-* &quot;-&quot;??_-;_-@_-"/>
    </dxf>
    <dxf>
      <numFmt numFmtId="7" formatCode="#,##0.00;\-#,##0.00"/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7" formatCode="#,##0.00;\-#,##0.00"/>
      <fill>
        <patternFill patternType="solid">
          <fgColor rgb="FF000000"/>
          <bgColor rgb="FF0D0D0D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7" formatCode="#,##0.00;\-#,##0.00"/>
      <fill>
        <patternFill patternType="solid">
          <fgColor indexed="64"/>
          <bgColor theme="1" tint="4.9989318521683403E-2"/>
        </patternFill>
      </fill>
    </dxf>
    <dxf>
      <numFmt numFmtId="7" formatCode="#,##0.00;\-#,##0.00"/>
    </dxf>
    <dxf>
      <font>
        <strike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D0D0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15</xdr:col>
      <xdr:colOff>722339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1A0DD6-2210-45CD-ACDE-97CE35F45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0409" y="594565"/>
          <a:ext cx="5143405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15</xdr:col>
      <xdr:colOff>722339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83D1D7-96ED-4D52-AE62-AC0B8251B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7559" y="594565"/>
          <a:ext cx="5143405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15</xdr:col>
      <xdr:colOff>722339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B44CE86-503F-4A6B-BE11-99E6907E4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7559" y="594565"/>
          <a:ext cx="5143405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15</xdr:col>
      <xdr:colOff>722339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C35C946-4C3C-4CE4-8B0A-7A80D42EB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7559" y="594565"/>
          <a:ext cx="5143405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15</xdr:col>
      <xdr:colOff>722339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815792-92E8-46F2-B67F-3BB88BA8D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7559" y="594565"/>
          <a:ext cx="5143405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15</xdr:col>
      <xdr:colOff>722339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114583-BF2F-4958-A793-256FE4944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7559" y="594565"/>
          <a:ext cx="5143405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703384</xdr:colOff>
      <xdr:row>2</xdr:row>
      <xdr:rowOff>165940</xdr:rowOff>
    </xdr:from>
    <xdr:to>
      <xdr:col>15</xdr:col>
      <xdr:colOff>722339</xdr:colOff>
      <xdr:row>8</xdr:row>
      <xdr:rowOff>24064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9A3D4B-79D1-41FA-AEA6-EDA7D14AC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7559" y="594565"/>
          <a:ext cx="5143405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57978</xdr:colOff>
      <xdr:row>3</xdr:row>
      <xdr:rowOff>116245</xdr:rowOff>
    </xdr:from>
    <xdr:to>
      <xdr:col>15</xdr:col>
      <xdr:colOff>10672</xdr:colOff>
      <xdr:row>8</xdr:row>
      <xdr:rowOff>164869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C95147-45BC-4DCC-A0EB-1F2C2F7A3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3152" y="687745"/>
          <a:ext cx="5145890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57978</xdr:colOff>
      <xdr:row>3</xdr:row>
      <xdr:rowOff>116245</xdr:rowOff>
    </xdr:from>
    <xdr:to>
      <xdr:col>15</xdr:col>
      <xdr:colOff>10672</xdr:colOff>
      <xdr:row>8</xdr:row>
      <xdr:rowOff>164869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8ECA35-D6B7-4553-92F6-90EF82793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0728" y="687745"/>
          <a:ext cx="5143819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57978</xdr:colOff>
      <xdr:row>3</xdr:row>
      <xdr:rowOff>116245</xdr:rowOff>
    </xdr:from>
    <xdr:to>
      <xdr:col>15</xdr:col>
      <xdr:colOff>10672</xdr:colOff>
      <xdr:row>8</xdr:row>
      <xdr:rowOff>164869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09FFADA-D317-4832-B0D9-D82FA40AC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0728" y="687745"/>
          <a:ext cx="5143819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57978</xdr:colOff>
      <xdr:row>3</xdr:row>
      <xdr:rowOff>116245</xdr:rowOff>
    </xdr:from>
    <xdr:to>
      <xdr:col>15</xdr:col>
      <xdr:colOff>10672</xdr:colOff>
      <xdr:row>8</xdr:row>
      <xdr:rowOff>164869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E42244-D739-4431-BAC1-DBDA77112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0728" y="687745"/>
          <a:ext cx="5143819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57978</xdr:colOff>
      <xdr:row>3</xdr:row>
      <xdr:rowOff>116245</xdr:rowOff>
    </xdr:from>
    <xdr:to>
      <xdr:col>15</xdr:col>
      <xdr:colOff>10672</xdr:colOff>
      <xdr:row>8</xdr:row>
      <xdr:rowOff>164869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76FD8B-EBA5-41B2-87F9-A66B5C136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0728" y="687745"/>
          <a:ext cx="5143819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57978</xdr:colOff>
      <xdr:row>3</xdr:row>
      <xdr:rowOff>116245</xdr:rowOff>
    </xdr:from>
    <xdr:to>
      <xdr:col>15</xdr:col>
      <xdr:colOff>10672</xdr:colOff>
      <xdr:row>8</xdr:row>
      <xdr:rowOff>164869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D17EAB-42B6-4C33-BF8A-4B92C38D7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0728" y="687745"/>
          <a:ext cx="5143819" cy="1001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AEA0BBB-B7C7-425D-A248-EFE8D31280E2}" name="Tabla13162432212223352627282" displayName="Tabla13162432212223352627282" ref="B15:F61" totalsRowCount="1" headerRowDxfId="1171" totalsRowDxfId="1170">
  <autoFilter ref="B15:F60" xr:uid="{00000000-0009-0000-0100-00000B000000}"/>
  <tableColumns count="5">
    <tableColumn id="1" xr3:uid="{5D9C185D-FC4C-439C-90D0-DEA270D239A1}" name="COMISIONES" totalsRowFunction="sum" dataDxfId="1169" totalsRowDxfId="1168"/>
    <tableColumn id="2" xr3:uid="{0CBC5B7C-C8A8-48AA-A00F-F8945E492776}" name="IVA 21" totalsRowFunction="sum" dataDxfId="1167" totalsRowDxfId="1166">
      <calculatedColumnFormula>Tabla13162432212223352627282[[#This Row],[COMISIONES]]*0.21</calculatedColumnFormula>
    </tableColumn>
    <tableColumn id="3" xr3:uid="{3D01B8CB-9A1F-4327-ADE1-EC6EFF643609}" name="IVA 10,5" totalsRowFunction="sum" dataDxfId="1165" totalsRowDxfId="1164">
      <calculatedColumnFormula>Tabla13162432212223352627282[[#This Row],[COMISIONES]]*0.105</calculatedColumnFormula>
    </tableColumn>
    <tableColumn id="4" xr3:uid="{50B7EFE4-122E-497B-9E36-33512072F2E2}" name="Ret IIBB Caba" totalsRowFunction="sum" dataDxfId="1163" totalsRowDxfId="1162"/>
    <tableColumn id="5" xr3:uid="{CB4ED99B-AFD6-4F98-A742-8D702BA518F8}" name="PERC IVA" totalsRowFunction="sum" totalsRowDxfId="116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249429DF-CBCB-4D0B-AFDB-A4BBA1D5C911}" name="Tabla39172535313233453637383" displayName="Tabla39172535313233453637383" ref="H15:L53" totalsRowCount="1" headerRowDxfId="1160" dataDxfId="1159" totalsRowDxfId="1157" tableBorderDxfId="1158" dataCellStyle="Millares">
  <autoFilter ref="H15:L52" xr:uid="{00000000-0009-0000-0100-00000C000000}"/>
  <tableColumns count="5">
    <tableColumn id="1" xr3:uid="{A03A98E4-4F37-44C0-BD7F-4F08A54F072D}" name="COMISIONES" totalsRowFunction="sum" dataDxfId="1156" totalsRowDxfId="1155" dataCellStyle="Millares"/>
    <tableColumn id="2" xr3:uid="{A704B1EE-3BCF-4BFF-B8D2-20CD13896979}" name="IVA 21" totalsRowFunction="sum" dataDxfId="1154" totalsRowDxfId="1153" dataCellStyle="Millares">
      <calculatedColumnFormula>Tabla39172535313233453637383[[#This Row],[COMISIONES]]*0.21</calculatedColumnFormula>
    </tableColumn>
    <tableColumn id="3" xr3:uid="{90F0F750-D63D-43AE-9C9C-92E2907EE3AB}" name="IVA 10,5" totalsRowFunction="sum" dataDxfId="1152" totalsRowDxfId="1151" dataCellStyle="Millares"/>
    <tableColumn id="4" xr3:uid="{0A8B07B5-8FD7-46BC-9A41-9E9113E3E25A}" name="Ret IIBB Caba" totalsRowFunction="sum" dataDxfId="1150" totalsRowDxfId="1149" dataCellStyle="Millares"/>
    <tableColumn id="5" xr3:uid="{55B458CC-0D3B-4EB7-B85D-7BE26E24B9DB}" name="PERC IVA" totalsRowFunction="sum" dataDxfId="1148" totalsRowDxfId="1147" dataCellStyle="Millare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7EA8D383-5703-4300-B2E2-8238BAAE2333}" name="Tabla3510182636414244454647484" displayName="Tabla3510182636414244454647484" ref="N15:R135" totalsRowCount="1" headerRowDxfId="1146" dataDxfId="1145" totalsRowDxfId="1143" tableBorderDxfId="1144" dataCellStyle="Millares">
  <autoFilter ref="N15:R134" xr:uid="{00000000-0009-0000-0100-00000D000000}"/>
  <tableColumns count="5">
    <tableColumn id="1" xr3:uid="{104CDC6A-32B2-43DD-AAD5-A4CBB992DB31}" name="COMISIONES" totalsRowFunction="sum" dataDxfId="1142" totalsRowDxfId="1141" dataCellStyle="Millares"/>
    <tableColumn id="2" xr3:uid="{858BAAC2-A71D-4785-9898-16CE69FC46B9}" name="IVA 21" totalsRowFunction="sum" dataDxfId="1140" totalsRowDxfId="1139" dataCellStyle="Millares">
      <calculatedColumnFormula>Tabla3510182636414244454647484[[#This Row],[COMISIONES]]*0.21</calculatedColumnFormula>
    </tableColumn>
    <tableColumn id="3" xr3:uid="{5CD042BB-67B5-485D-8F47-7F91B55CBF85}" name="IVA 10,5" totalsRowFunction="sum" dataDxfId="1138" totalsRowDxfId="1137" dataCellStyle="Millares"/>
    <tableColumn id="4" xr3:uid="{A590EDE7-37DB-4A60-A695-32F5146C1116}" name="Ret IIBB Caba" totalsRowFunction="sum" dataDxfId="1136" totalsRowDxfId="1135" dataCellStyle="Millares"/>
    <tableColumn id="5" xr3:uid="{71FFAB08-84A4-40FA-8B83-0FF27E658A1A}" name="PERC IVA" totalsRowFunction="sum" dataDxfId="1134" totalsRowDxfId="1133" dataCellStyle="Millares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EF4902B7-ED16-4177-AEC9-2A9CB3D948B9}" name="Tabla35611192737515254555657585" displayName="Tabla35611192737515254555657585" ref="T15:X31" totalsRowCount="1" headerRowDxfId="1132" dataDxfId="1131" totalsRowDxfId="1129" tableBorderDxfId="1130" dataCellStyle="Millares">
  <autoFilter ref="T15:X30" xr:uid="{00000000-0009-0000-0100-00000E000000}"/>
  <tableColumns count="5">
    <tableColumn id="1" xr3:uid="{F34DB627-D359-45E2-970B-AB346BCE27AB}" name="COMISIONES" totalsRowFunction="sum" dataDxfId="1128" totalsRowDxfId="1127" dataCellStyle="Millares"/>
    <tableColumn id="2" xr3:uid="{3031B20F-3CA2-4A70-BAD5-81E7DE252BA3}" name="IVA 21" totalsRowFunction="sum" dataDxfId="1126" totalsRowDxfId="1125" dataCellStyle="Millares">
      <calculatedColumnFormula>Tabla35611192737515254555657585[[#This Row],[COMISIONES]]*0.21</calculatedColumnFormula>
    </tableColumn>
    <tableColumn id="3" xr3:uid="{FD1CEB3B-990E-44C6-9B5C-9C6181CECC9E}" name="IVA 10,5" totalsRowFunction="sum" dataDxfId="1124" totalsRowDxfId="1123" dataCellStyle="Millares"/>
    <tableColumn id="4" xr3:uid="{76C5D3D1-16C0-44B1-B861-614EAA9CE29B}" name="Ret IIBB Caba" totalsRowFunction="sum" dataDxfId="1122" totalsRowDxfId="1121" dataCellStyle="Millares"/>
    <tableColumn id="5" xr3:uid="{408E10A2-D4F9-41AD-970F-29C6C2A776F7}" name="PERC IVA" totalsRowFunction="sum" dataDxfId="1120" totalsRowDxfId="1119" dataCellStyle="Millares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9F4AE98F-D062-4A0B-8F61-9A384A439B5C}" name="Tabla612202838616264656667686" displayName="Tabla612202838616264656667686" ref="T33:X62" totalsRowCount="1" headerRowDxfId="1118" totalsRowDxfId="1117">
  <autoFilter ref="T33:X61" xr:uid="{00000000-0009-0000-0100-00000F000000}"/>
  <tableColumns count="5">
    <tableColumn id="1" xr3:uid="{A541A788-A78D-4D86-A67E-743859BFCD3B}" name="COMISIONES" totalsRowFunction="sum" totalsRowDxfId="1116"/>
    <tableColumn id="2" xr3:uid="{7746D4A8-B0BB-4E93-9DA0-8B9EB11E563A}" name="IVA 21" totalsRowFunction="sum" dataDxfId="1115" totalsRowDxfId="1114">
      <calculatedColumnFormula>Tabla612202838616264656667686[[#This Row],[COMISIONES]]*0.21</calculatedColumnFormula>
    </tableColumn>
    <tableColumn id="3" xr3:uid="{DC518D6A-890A-4D4B-92C8-8021B7AA99C0}" name="IVA 10,5" totalsRowFunction="sum" totalsRowDxfId="1113"/>
    <tableColumn id="4" xr3:uid="{5642A529-44A9-466F-BE31-446ECB42F444}" name="Ret IIBB Caba" totalsRowFunction="sum" totalsRowDxfId="1112"/>
    <tableColumn id="5" xr3:uid="{8CCE1BE7-55E0-4D54-9EAA-B5A8191D0F04}" name="PERC IVA" totalsRowFunction="sum" totalsRowDxfId="1111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E501BE1A-0467-4F63-8825-A5D907A2BC99}" name="Tabla356813212939717274757677787" displayName="Tabla356813212939717274757677787" ref="Z15:AD169" totalsRowCount="1" headerRowDxfId="1110" dataDxfId="1109" totalsRowDxfId="1107" tableBorderDxfId="1108" dataCellStyle="Millares">
  <autoFilter ref="Z15:AD168" xr:uid="{00000000-0009-0000-0100-000010000000}"/>
  <tableColumns count="5">
    <tableColumn id="1" xr3:uid="{7A39A3DF-F25B-4DDA-BBB8-2CE11B0B6244}" name="COMISIONES" totalsRowFunction="sum" dataDxfId="1106" totalsRowDxfId="1105" dataCellStyle="Millares"/>
    <tableColumn id="2" xr3:uid="{BB5B93D4-871D-40BC-B4DE-7DC9BF90FC8C}" name="IVA 21" totalsRowFunction="sum" dataDxfId="1104" totalsRowDxfId="1103" dataCellStyle="Millares">
      <calculatedColumnFormula>Tabla356813212939717274757677787[[#This Row],[COMISIONES]]*0.21</calculatedColumnFormula>
    </tableColumn>
    <tableColumn id="3" xr3:uid="{A72FF234-93A9-42DF-A0DD-4ACF118F30A3}" name="IVA 10,5" totalsRowFunction="sum" dataDxfId="1102" totalsRowDxfId="1101" dataCellStyle="Millares">
      <calculatedColumnFormula>Tabla356813212939717274757677787[[#This Row],[COMISIONES]]*0.105</calculatedColumnFormula>
    </tableColumn>
    <tableColumn id="4" xr3:uid="{BBBB9337-38CA-4A89-A263-41AD6F94D048}" name="Ret IIBB Caba" totalsRowFunction="sum" dataDxfId="1100" totalsRowDxfId="1099" dataCellStyle="Millares"/>
    <tableColumn id="5" xr3:uid="{236DDFE9-72C7-4B0C-84C2-7570226D8CD3}" name="PERC IVA" totalsRowFunction="sum" dataDxfId="1098" totalsRowDxfId="1097" dataCellStyle="Millares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8E5FB587-A7A9-4E7C-8510-4AEB9D5AF5E9}" name="Tabla35681314223040818284858687888" displayName="Tabla35681314223040818284858687888" ref="AF15:AJ26" totalsRowCount="1" headerRowDxfId="1096" dataDxfId="1095" totalsRowDxfId="1093" tableBorderDxfId="1094" dataCellStyle="Millares">
  <autoFilter ref="AF15:AJ25" xr:uid="{00000000-0009-0000-0100-000011000000}"/>
  <tableColumns count="5">
    <tableColumn id="1" xr3:uid="{1BBD16AC-83D5-47FF-B731-11860D675E7A}" name="COMISIONES" totalsRowFunction="sum" dataDxfId="1092" totalsRowDxfId="1091" dataCellStyle="Millares"/>
    <tableColumn id="2" xr3:uid="{E7BC8152-5821-474F-B088-F481AB2002F5}" name="IVA 21" totalsRowFunction="sum" dataDxfId="1090" totalsRowDxfId="1089" dataCellStyle="Millares">
      <calculatedColumnFormula>Tabla35681314223040818284858687888[[#This Row],[COMISIONES]]*0.21</calculatedColumnFormula>
    </tableColumn>
    <tableColumn id="3" xr3:uid="{42181DE6-E2BD-41FB-8E78-AAF040545096}" name="IVA 10,5" totalsRowFunction="sum" dataDxfId="1088" totalsRowDxfId="1087" dataCellStyle="Millares"/>
    <tableColumn id="4" xr3:uid="{D197E6C3-D52C-486B-9091-BC32CD89C880}" name="Ret IIBB Caba" totalsRowFunction="sum" dataDxfId="1086" totalsRowDxfId="1085" dataCellStyle="Millares"/>
    <tableColumn id="5" xr3:uid="{4027F000-9594-457F-AA38-79FDE947FADD}" name="PERC IVA" totalsRowFunction="sum" dataDxfId="1084" totalsRowDxfId="1083" dataCellStyle="Millares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FD552C8C-F65A-4102-B0D9-80FB5467EAC0}" name="Tabla3915233141919294959697989" displayName="Tabla3915233141919294959697989" ref="H55:L102" totalsRowCount="1" headerRowDxfId="1082" dataDxfId="1081" totalsRowDxfId="1079" tableBorderDxfId="1080" dataCellStyle="Millares">
  <autoFilter ref="H55:L101" xr:uid="{00000000-0009-0000-0100-000012000000}"/>
  <tableColumns count="5">
    <tableColumn id="1" xr3:uid="{1BB0CD97-40A7-428C-B2B3-E5FC0A5BACAA}" name="COMISIONES" totalsRowFunction="sum" dataDxfId="1078" totalsRowDxfId="1077" dataCellStyle="Millares"/>
    <tableColumn id="2" xr3:uid="{F786A37F-9BBD-4308-B9F8-669FE1524EE3}" name="IVA 21" totalsRowFunction="sum" dataDxfId="1076" totalsRowDxfId="1075" dataCellStyle="Millares">
      <calculatedColumnFormula>Tabla3915233141919294959697989[[#This Row],[COMISIONES]]*0.21</calculatedColumnFormula>
    </tableColumn>
    <tableColumn id="3" xr3:uid="{35CBC4EE-2218-4FBA-A5AD-3351E5AD46A0}" name="IVA 10,5" totalsRowFunction="sum" dataDxfId="1074" totalsRowDxfId="1073" dataCellStyle="Millares"/>
    <tableColumn id="4" xr3:uid="{723A0427-AF3B-43EE-BF2D-61FD33349C91}" name="Ret IIBB Caba" totalsRowFunction="sum" dataDxfId="1072" totalsRowDxfId="1071" dataCellStyle="Millares"/>
    <tableColumn id="5" xr3:uid="{52E43026-3CB1-4BEE-8CDF-1F9FE5AB5471}" name="PERC IVA" totalsRowFunction="sum" dataDxfId="1070" totalsRowDxfId="1069" dataCellStyle="Millares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F61CCB6B-1232-4960-917F-7347200904B8}" name="Tabla612202833421020305060708090" displayName="Tabla612202833421020305060708090" ref="T65:X94" totalsRowCount="1" headerRowDxfId="1068" totalsRowDxfId="1067">
  <autoFilter ref="T65:X93" xr:uid="{00000000-0009-0000-0100-000013000000}"/>
  <tableColumns count="5">
    <tableColumn id="1" xr3:uid="{5D5636C6-3A21-4B3C-AAE0-D0894132D761}" name="COMISIONES" totalsRowFunction="sum" totalsRowDxfId="1066"/>
    <tableColumn id="2" xr3:uid="{F9FE1143-ED9B-4A75-8945-153A4CB8E3DB}" name="IVA 21" totalsRowFunction="sum" dataDxfId="1065" totalsRowDxfId="1064">
      <calculatedColumnFormula>Tabla612202833421020305060708090[[#This Row],[COMISIONES]]*0.21</calculatedColumnFormula>
    </tableColumn>
    <tableColumn id="3" xr3:uid="{F7EE1228-D26A-4041-9E3D-41A6E6293DA0}" name="IVA 10,5" totalsRowFunction="sum" totalsRowDxfId="1063"/>
    <tableColumn id="4" xr3:uid="{B0403D6C-1CBA-49A9-BC45-971B0D94A587}" name="Ret IIBB Caba" totalsRowFunction="sum" totalsRowDxfId="1062"/>
    <tableColumn id="5" xr3:uid="{89961EF9-73D6-4668-9D6A-201824A69C93}" name="PERC IVA" totalsRowFunction="sum" totalsRowDxfId="1061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BC8531CD-EF48-42A4-B2E4-F74A79D00B3E}" name="Tabla35611192734431121315161718191" displayName="Tabla35611192734431121315161718191" ref="AK15:AO31" totalsRowCount="1" headerRowDxfId="1060" dataDxfId="1059" totalsRowDxfId="1057" tableBorderDxfId="1058" dataCellStyle="Millares">
  <autoFilter ref="AK15:AO30" xr:uid="{00000000-0009-0000-0100-000014000000}"/>
  <tableColumns count="5">
    <tableColumn id="1" xr3:uid="{4E993B26-B0AF-4D47-B16A-6DAB6891C914}" name="COMISIONES" totalsRowFunction="sum" dataDxfId="1056" totalsRowDxfId="1055" dataCellStyle="Millares"/>
    <tableColumn id="2" xr3:uid="{B3851424-BAE3-4504-BDCC-90600EC51115}" name="IVA 21" totalsRowFunction="sum" dataDxfId="1054" totalsRowDxfId="1053" dataCellStyle="Millares">
      <calculatedColumnFormula>Tabla35611192734431121315161718191[[#This Row],[COMISIONES]]*0.21</calculatedColumnFormula>
    </tableColumn>
    <tableColumn id="3" xr3:uid="{78122F42-BB37-4A6E-924C-B8A9237599B2}" name="IVA 10,5" totalsRowFunction="sum" dataDxfId="1052" totalsRowDxfId="1051" dataCellStyle="Millares"/>
    <tableColumn id="4" xr3:uid="{E0D865C1-B41D-44DE-82D1-06F962A21261}" name="Ret IIBB Caba" totalsRowFunction="sum" dataDxfId="1050" totalsRowDxfId="1049" dataCellStyle="Millares"/>
    <tableColumn id="5" xr3:uid="{1FEC3CB2-60A7-4FD3-9E24-25A1BF73F0EF}" name="PERC IVA" totalsRowFunction="sum" dataDxfId="1048" totalsRowDxfId="1047" dataCellStyle="Millares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E7AA88-2AB4-4C3D-9961-0BAA83A0EF82}" name="Tabla131624322122233526272822" displayName="Tabla131624322122233526272822" ref="B15:F61" totalsRowCount="1" headerRowDxfId="1046" totalsRowDxfId="1045">
  <autoFilter ref="B15:F60" xr:uid="{00000000-0009-0000-0100-00000B000000}"/>
  <tableColumns count="5">
    <tableColumn id="1" xr3:uid="{3FF136E3-87DD-4AE3-B0E6-4D35D537C711}" name="COMISIONES" totalsRowFunction="sum" dataDxfId="1044" totalsRowDxfId="1043"/>
    <tableColumn id="2" xr3:uid="{4E8816C6-A389-42C7-BB1D-714B4F6C8C52}" name="IVA 21" totalsRowFunction="sum" dataDxfId="1042" totalsRowDxfId="1041">
      <calculatedColumnFormula>Tabla131624322122233526272822[[#This Row],[COMISIONES]]*0.21</calculatedColumnFormula>
    </tableColumn>
    <tableColumn id="3" xr3:uid="{AB040D9E-6F12-40DE-952F-CCBCA5BEA2A7}" name="IVA 10,5" totalsRowFunction="sum" dataDxfId="1040" totalsRowDxfId="1039">
      <calculatedColumnFormula>Tabla131624322122233526272822[[#This Row],[COMISIONES]]*0.105</calculatedColumnFormula>
    </tableColumn>
    <tableColumn id="4" xr3:uid="{30CE5406-D632-4523-BF12-2E5603FB0277}" name="Ret IIBB Caba" totalsRowFunction="sum" dataDxfId="1038" totalsRowDxfId="1037"/>
    <tableColumn id="5" xr3:uid="{604F39B4-BDA0-4D7B-BBE0-6E71AEBC4915}" name="PERC IVA" totalsRowFunction="sum" totalsRowDxfId="1036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60235E-DA32-48D2-A4C4-EA72B3918804}" name="Tabla391725353132334536373833" displayName="Tabla391725353132334536373833" ref="H15:L53" totalsRowCount="1" headerRowDxfId="1035" dataDxfId="1034" totalsRowDxfId="1032" tableBorderDxfId="1033" dataCellStyle="Millares">
  <autoFilter ref="H15:L52" xr:uid="{00000000-0009-0000-0100-00000C000000}"/>
  <tableColumns count="5">
    <tableColumn id="1" xr3:uid="{E0539085-A690-497C-BC1C-3F350B7E2298}" name="COMISIONES" totalsRowFunction="sum" dataDxfId="1031" totalsRowDxfId="1030" dataCellStyle="Millares"/>
    <tableColumn id="2" xr3:uid="{3D67C703-2876-4F0D-945B-2B4AB69B7F79}" name="IVA 21" totalsRowFunction="sum" dataDxfId="1029" totalsRowDxfId="1028" dataCellStyle="Millares">
      <calculatedColumnFormula>Tabla391725353132334536373833[[#This Row],[COMISIONES]]*0.21</calculatedColumnFormula>
    </tableColumn>
    <tableColumn id="3" xr3:uid="{F4F16924-BFA7-4DBB-A440-B2F6FEAB87BB}" name="IVA 10,5" totalsRowFunction="sum" dataDxfId="1027" totalsRowDxfId="1026" dataCellStyle="Millares"/>
    <tableColumn id="4" xr3:uid="{7C6AF10B-0084-43D9-A7C6-881B51BB296D}" name="Ret IIBB Caba" totalsRowFunction="sum" dataDxfId="1025" totalsRowDxfId="1024" dataCellStyle="Millares"/>
    <tableColumn id="5" xr3:uid="{7954437D-6AEA-47FE-BCAE-2DDFB8D2558C}" name="PERC IVA" totalsRowFunction="sum" dataDxfId="1023" totalsRowDxfId="1022" dataCellStyle="Millares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782604-B125-446A-8AA9-41CC10B97D74}" name="Tabla35101826364142444546474844" displayName="Tabla35101826364142444546474844" ref="N15:R135" totalsRowCount="1" headerRowDxfId="1021" dataDxfId="1020" totalsRowDxfId="1018" tableBorderDxfId="1019" dataCellStyle="Millares">
  <autoFilter ref="N15:R134" xr:uid="{00000000-0009-0000-0100-00000D000000}"/>
  <tableColumns count="5">
    <tableColumn id="1" xr3:uid="{1E160A5D-0998-4306-93A8-E58502C7F7E3}" name="COMISIONES" totalsRowFunction="sum" dataDxfId="1017" totalsRowDxfId="1016" dataCellStyle="Millares"/>
    <tableColumn id="2" xr3:uid="{5C855305-99A3-4576-A88E-ED5FB7E154A5}" name="IVA 21" totalsRowFunction="sum" dataDxfId="1015" totalsRowDxfId="1014" dataCellStyle="Millares">
      <calculatedColumnFormula>Tabla35101826364142444546474844[[#This Row],[COMISIONES]]*0.21</calculatedColumnFormula>
    </tableColumn>
    <tableColumn id="3" xr3:uid="{EA25F076-AAF0-4CB6-B736-E68501824011}" name="IVA 10,5" totalsRowFunction="sum" dataDxfId="1013" totalsRowDxfId="1012" dataCellStyle="Millares"/>
    <tableColumn id="4" xr3:uid="{5FA17E55-83E4-4F99-B211-D4464FDE05B2}" name="Ret IIBB Caba" totalsRowFunction="sum" dataDxfId="1011" totalsRowDxfId="1010" dataCellStyle="Millares"/>
    <tableColumn id="5" xr3:uid="{6E5CCDEC-26F6-40AE-8CE2-7184FF9385DF}" name="PERC IVA" totalsRowFunction="sum" dataDxfId="1009" totalsRowDxfId="1008" dataCellStyle="Millares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F5DD03-3FFD-4EF5-B1F1-E0D85107E4AE}" name="Tabla356111927375152545556575855" displayName="Tabla356111927375152545556575855" ref="T15:X31" totalsRowCount="1" headerRowDxfId="1007" dataDxfId="1006" totalsRowDxfId="1004" tableBorderDxfId="1005" dataCellStyle="Millares">
  <autoFilter ref="T15:X30" xr:uid="{00000000-0009-0000-0100-00000E000000}"/>
  <tableColumns count="5">
    <tableColumn id="1" xr3:uid="{41D93235-5A5A-4C58-AE3B-41EB9F67472C}" name="COMISIONES" totalsRowFunction="sum" dataDxfId="1003" totalsRowDxfId="1002" dataCellStyle="Millares"/>
    <tableColumn id="2" xr3:uid="{C63BD8E4-F50F-41CA-B24B-9A1F249CA8B9}" name="IVA 21" totalsRowFunction="sum" dataDxfId="1001" totalsRowDxfId="1000" dataCellStyle="Millares">
      <calculatedColumnFormula>Tabla356111927375152545556575855[[#This Row],[COMISIONES]]*0.21</calculatedColumnFormula>
    </tableColumn>
    <tableColumn id="3" xr3:uid="{E5120361-7E3D-459B-862B-E61DA4F29FA9}" name="IVA 10,5" totalsRowFunction="sum" dataDxfId="999" totalsRowDxfId="998" dataCellStyle="Millares">
      <calculatedColumnFormula>Tabla356111927375152545556575855[[#This Row],[COMISIONES]]*0.105</calculatedColumnFormula>
    </tableColumn>
    <tableColumn id="4" xr3:uid="{F1A0C655-23D5-492D-8FBB-7B8617027E2E}" name="Ret IIBB Caba" totalsRowFunction="sum" dataDxfId="997" totalsRowDxfId="996" dataCellStyle="Millares"/>
    <tableColumn id="5" xr3:uid="{52621418-53AB-461B-A311-2DC4EB1B2C27}" name="PERC IVA" totalsRowFunction="sum" dataDxfId="995" totalsRowDxfId="994" dataCellStyle="Millares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BA364F-BDFF-4EDE-A285-7545E3C3E205}" name="Tabla6122028386162646566676866" displayName="Tabla6122028386162646566676866" ref="T33:X62" totalsRowCount="1" headerRowDxfId="993" totalsRowDxfId="992">
  <autoFilter ref="T33:X61" xr:uid="{00000000-0009-0000-0100-00000F000000}"/>
  <tableColumns count="5">
    <tableColumn id="1" xr3:uid="{0B96FEE7-234B-4E77-A0B1-BE1A06457470}" name="COMISIONES" totalsRowFunction="sum" totalsRowDxfId="991"/>
    <tableColumn id="2" xr3:uid="{F87D92B2-7316-41AB-AC3A-7752747CE299}" name="IVA 21" totalsRowFunction="sum" dataDxfId="990" totalsRowDxfId="989">
      <calculatedColumnFormula>Tabla6122028386162646566676866[[#This Row],[COMISIONES]]*0.21</calculatedColumnFormula>
    </tableColumn>
    <tableColumn id="3" xr3:uid="{DBD57BAA-C1AF-4D7B-963F-CD5F312238EF}" name="IVA 10,5" totalsRowFunction="sum" totalsRowDxfId="988"/>
    <tableColumn id="4" xr3:uid="{8003FA2B-6A5D-4149-B137-BFC5AA79053E}" name="Ret IIBB Caba" totalsRowFunction="sum" totalsRowDxfId="987"/>
    <tableColumn id="5" xr3:uid="{DD57FE0B-3BD1-4453-90A5-151339FAFFB4}" name="PERC IVA" totalsRowFunction="sum" totalsRowDxfId="986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88F699-E344-41ED-AEE8-D796501986FD}" name="Tabla3568132129397172747576777877" displayName="Tabla3568132129397172747576777877" ref="Z15:AD169" totalsRowCount="1" headerRowDxfId="985" dataDxfId="984" totalsRowDxfId="982" tableBorderDxfId="983" dataCellStyle="Millares">
  <autoFilter ref="Z15:AD168" xr:uid="{00000000-0009-0000-0100-000010000000}"/>
  <tableColumns count="5">
    <tableColumn id="1" xr3:uid="{9A88846C-870B-4E45-B930-821A4430C70B}" name="COMISIONES" totalsRowFunction="sum" dataDxfId="981" totalsRowDxfId="980" dataCellStyle="Millares"/>
    <tableColumn id="2" xr3:uid="{48CBD482-D3DB-4601-873F-FD8C68A1DCEC}" name="IVA 21" totalsRowFunction="sum" dataDxfId="979" totalsRowDxfId="978" dataCellStyle="Millares">
      <calculatedColumnFormula>Tabla3568132129397172747576777877[[#This Row],[COMISIONES]]*0.21</calculatedColumnFormula>
    </tableColumn>
    <tableColumn id="3" xr3:uid="{032C0EA3-E5B6-49E8-BE8B-DAEECB821644}" name="IVA 10,5" totalsRowFunction="sum" dataDxfId="977" totalsRowDxfId="976" dataCellStyle="Millares">
      <calculatedColumnFormula>Tabla3568132129397172747576777877[[#This Row],[COMISIONES]]*0.105</calculatedColumnFormula>
    </tableColumn>
    <tableColumn id="4" xr3:uid="{A675B83A-A145-4B78-AE40-887141123AF3}" name="Ret IIBB Caba" totalsRowFunction="sum" dataDxfId="975" totalsRowDxfId="974" dataCellStyle="Millares"/>
    <tableColumn id="5" xr3:uid="{1F8F3A7E-5EDB-4E5F-9498-36A759D25B24}" name="PERC IVA" totalsRowFunction="sum" dataDxfId="973" totalsRowDxfId="972" dataCellStyle="Millares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1BC473-1B1C-42E6-A543-4F07410D0912}" name="Tabla356813142230408182848586878888" displayName="Tabla356813142230408182848586878888" ref="AF15:AJ26" totalsRowCount="1" headerRowDxfId="971" dataDxfId="970" totalsRowDxfId="968" tableBorderDxfId="969" dataCellStyle="Millares">
  <autoFilter ref="AF15:AJ25" xr:uid="{00000000-0009-0000-0100-000011000000}"/>
  <tableColumns count="5">
    <tableColumn id="1" xr3:uid="{4537F683-84CA-4577-8A1F-8EB14C036446}" name="COMISIONES" totalsRowFunction="sum" dataDxfId="967" totalsRowDxfId="966" dataCellStyle="Millares"/>
    <tableColumn id="2" xr3:uid="{B2139D48-AA10-427A-9D2F-9066017B3110}" name="IVA 21" totalsRowFunction="sum" dataDxfId="965" totalsRowDxfId="964" dataCellStyle="Millares">
      <calculatedColumnFormula>Tabla356813142230408182848586878888[[#This Row],[COMISIONES]]*0.21</calculatedColumnFormula>
    </tableColumn>
    <tableColumn id="3" xr3:uid="{F3402F62-B57F-491D-AEB6-AFDBA6D7AAF2}" name="IVA 10,5" totalsRowFunction="sum" dataDxfId="963" totalsRowDxfId="962" dataCellStyle="Millares"/>
    <tableColumn id="4" xr3:uid="{E1017DC7-6339-4A84-9C8E-55F13D7CC73E}" name="Ret IIBB Caba" totalsRowFunction="sum" dataDxfId="961" totalsRowDxfId="960" dataCellStyle="Millares"/>
    <tableColumn id="5" xr3:uid="{313E0209-F9DB-4037-81EF-88380C2D614B}" name="PERC IVA" totalsRowFunction="sum" dataDxfId="959" totalsRowDxfId="958" dataCellStyle="Millares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BC210F-1284-4426-9773-9A595AE7CB1D}" name="Tabla39152331419192949596979899" displayName="Tabla39152331419192949596979899" ref="H55:L102" totalsRowCount="1" headerRowDxfId="957" dataDxfId="956" totalsRowDxfId="954" tableBorderDxfId="955" dataCellStyle="Millares">
  <autoFilter ref="H55:L101" xr:uid="{00000000-0009-0000-0100-000012000000}"/>
  <tableColumns count="5">
    <tableColumn id="1" xr3:uid="{9BDB69D8-086F-4ADC-BD39-7772EA70B215}" name="COMISIONES" totalsRowFunction="sum" dataDxfId="953" totalsRowDxfId="952" dataCellStyle="Millares"/>
    <tableColumn id="2" xr3:uid="{F5557D98-A403-4CAC-9F88-7BE026A68024}" name="IVA 21" totalsRowFunction="sum" dataDxfId="951" totalsRowDxfId="950" dataCellStyle="Millares">
      <calculatedColumnFormula>Tabla39152331419192949596979899[[#This Row],[COMISIONES]]*0.21</calculatedColumnFormula>
    </tableColumn>
    <tableColumn id="3" xr3:uid="{7A325C10-CC0F-45A0-AE7E-447045096D11}" name="IVA 10,5" totalsRowFunction="sum" dataDxfId="949" totalsRowDxfId="948" dataCellStyle="Millares"/>
    <tableColumn id="4" xr3:uid="{C9C13DE2-DE52-4962-A4B9-F5D39B843EF6}" name="Ret IIBB Caba" totalsRowFunction="sum" dataDxfId="947" totalsRowDxfId="946" dataCellStyle="Millares"/>
    <tableColumn id="5" xr3:uid="{C5BFCDE8-4971-40CF-9645-DFB23B788BED}" name="PERC IVA" totalsRowFunction="sum" dataDxfId="945" totalsRowDxfId="944" dataCellStyle="Millares"/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BE9317F-4327-4F1B-84E6-F854AA911127}" name="Tabla61220283342102030506070809010" displayName="Tabla61220283342102030506070809010" ref="T65:X94" totalsRowCount="1" headerRowDxfId="943" totalsRowDxfId="942">
  <autoFilter ref="T65:X93" xr:uid="{00000000-0009-0000-0100-000013000000}"/>
  <tableColumns count="5">
    <tableColumn id="1" xr3:uid="{178B162F-A134-478D-9413-BE284C1A02E9}" name="COMISIONES" totalsRowFunction="sum" totalsRowDxfId="941"/>
    <tableColumn id="2" xr3:uid="{13FD00EA-008F-43BF-9FE1-5ADCDAC5C65E}" name="IVA 21" totalsRowFunction="sum" dataDxfId="940" totalsRowDxfId="939">
      <calculatedColumnFormula>Tabla61220283342102030506070809010[[#This Row],[COMISIONES]]*0.21</calculatedColumnFormula>
    </tableColumn>
    <tableColumn id="3" xr3:uid="{53121EBC-2B61-4707-A6BF-33C9458DB944}" name="IVA 10,5" totalsRowFunction="sum" totalsRowDxfId="938"/>
    <tableColumn id="4" xr3:uid="{475D2988-4ED7-4ECD-BADF-526428DC1B48}" name="Ret IIBB Caba" totalsRowFunction="sum" totalsRowDxfId="937"/>
    <tableColumn id="5" xr3:uid="{DA858116-6F92-4413-894B-24C782D2BFCE}" name="PERC IVA" totalsRowFunction="sum" totalsRowDxfId="936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9E46342-EDA8-46FC-AE8B-B1EBD738D92B}" name="Tabla3561119273443112131516171819111" displayName="Tabla3561119273443112131516171819111" ref="AK15:AO31" totalsRowCount="1" headerRowDxfId="935" dataDxfId="934" totalsRowDxfId="932" tableBorderDxfId="933" dataCellStyle="Millares">
  <autoFilter ref="AK15:AO30" xr:uid="{00000000-0009-0000-0100-000014000000}"/>
  <tableColumns count="5">
    <tableColumn id="1" xr3:uid="{61682F8D-FC62-4300-87EB-F3A5DF707C1A}" name="COMISIONES" totalsRowFunction="sum" dataDxfId="931" totalsRowDxfId="930" dataCellStyle="Millares"/>
    <tableColumn id="2" xr3:uid="{94DE627F-E684-4E1C-B349-3DAA709ABC22}" name="IVA 21" totalsRowFunction="sum" dataDxfId="929" totalsRowDxfId="928" dataCellStyle="Millares">
      <calculatedColumnFormula>Tabla3561119273443112131516171819111[[#This Row],[COMISIONES]]*0.21</calculatedColumnFormula>
    </tableColumn>
    <tableColumn id="3" xr3:uid="{01900AF9-241C-4B71-BD87-45AC4AAA0C0E}" name="IVA 10,5" totalsRowFunction="sum" dataDxfId="927" totalsRowDxfId="926" dataCellStyle="Millares"/>
    <tableColumn id="4" xr3:uid="{B410609C-E5D0-4FEE-89BB-5D2512043EBF}" name="Ret IIBB Caba" totalsRowFunction="sum" dataDxfId="925" totalsRowDxfId="924" dataCellStyle="Millares"/>
    <tableColumn id="5" xr3:uid="{9A808C86-4ED4-4B82-AD85-5DA8AE06EE4A}" name="PERC IVA" totalsRowFunction="sum" dataDxfId="923" totalsRowDxfId="922" dataCellStyle="Millares"/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3F96C7D-B504-46C7-A1EF-77DBC557A179}" name="Tabla13162432212223352627282212" displayName="Tabla13162432212223352627282212" ref="B15:F61" totalsRowCount="1" headerRowDxfId="921" totalsRowDxfId="920">
  <autoFilter ref="B15:F60" xr:uid="{00000000-0009-0000-0100-00000B000000}"/>
  <tableColumns count="5">
    <tableColumn id="1" xr3:uid="{672A7833-7F24-49CF-A622-04CBD0897FD3}" name="COMISIONES" totalsRowFunction="sum" dataDxfId="919" totalsRowDxfId="918"/>
    <tableColumn id="2" xr3:uid="{1B44DE87-BA91-4EF0-97B3-C4A29C2FDA7A}" name="IVA 21" totalsRowFunction="sum" dataDxfId="917" totalsRowDxfId="916">
      <calculatedColumnFormula>Tabla13162432212223352627282212[[#This Row],[COMISIONES]]*0.21</calculatedColumnFormula>
    </tableColumn>
    <tableColumn id="3" xr3:uid="{D8BC816C-3933-4265-A66E-8B1968BF453E}" name="IVA 10,5" totalsRowFunction="sum" dataDxfId="915" totalsRowDxfId="914">
      <calculatedColumnFormula>Tabla13162432212223352627282212[[#This Row],[COMISIONES]]*0.105</calculatedColumnFormula>
    </tableColumn>
    <tableColumn id="4" xr3:uid="{9FA6E89F-6A55-49F4-8224-3ED6E7F5E7A5}" name="Ret IIBB Caba" totalsRowFunction="sum" dataDxfId="913" totalsRowDxfId="912"/>
    <tableColumn id="5" xr3:uid="{71B2BC79-0A45-4319-9635-FD5734AF779C}" name="PERC IVA" totalsRowFunction="sum" totalsRowDxfId="911"/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8431EB3-F3F9-4488-BD72-6C6B6FF1DBBF}" name="Tabla39172535313233453637383313" displayName="Tabla39172535313233453637383313" ref="H15:L53" totalsRowCount="1" headerRowDxfId="910" dataDxfId="909" totalsRowDxfId="907" tableBorderDxfId="908" dataCellStyle="Millares">
  <autoFilter ref="H15:L52" xr:uid="{00000000-0009-0000-0100-00000C000000}"/>
  <tableColumns count="5">
    <tableColumn id="1" xr3:uid="{D42464D0-AF17-49E0-9623-0EC58957FA14}" name="COMISIONES" totalsRowFunction="sum" dataDxfId="906" totalsRowDxfId="905" dataCellStyle="Millares"/>
    <tableColumn id="2" xr3:uid="{3BD3F739-809C-4D19-9AC6-D2FC8E44D6AF}" name="IVA 21" totalsRowFunction="sum" dataDxfId="904" totalsRowDxfId="903" dataCellStyle="Millares">
      <calculatedColumnFormula>Tabla39172535313233453637383313[[#This Row],[COMISIONES]]*0.21</calculatedColumnFormula>
    </tableColumn>
    <tableColumn id="3" xr3:uid="{5EA5818D-0959-4E29-9F15-F759F492683F}" name="IVA 10,5" totalsRowFunction="sum" dataDxfId="902" totalsRowDxfId="901" dataCellStyle="Millares"/>
    <tableColumn id="4" xr3:uid="{19A44ED3-0975-4684-BAB4-97D2E6A17185}" name="Ret IIBB Caba" totalsRowFunction="sum" dataDxfId="900" totalsRowDxfId="899" dataCellStyle="Millares"/>
    <tableColumn id="5" xr3:uid="{C1550627-8A8F-4B6C-B76C-22D9BEA50543}" name="PERC IVA" totalsRowFunction="sum" dataDxfId="898" totalsRowDxfId="897" dataCellStyle="Millares"/>
  </tableColumns>
  <tableStyleInfo name="TableStyleLight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C365F39-68B6-4606-84F0-E539BC924A71}" name="Tabla3510182636414244454647484414" displayName="Tabla3510182636414244454647484414" ref="N15:R135" totalsRowCount="1" headerRowDxfId="896" dataDxfId="895" totalsRowDxfId="893" tableBorderDxfId="894" dataCellStyle="Millares">
  <autoFilter ref="N15:R134" xr:uid="{00000000-0009-0000-0100-00000D000000}"/>
  <tableColumns count="5">
    <tableColumn id="1" xr3:uid="{6230B126-2B5E-4658-ACB4-3B9809AE3C05}" name="COMISIONES" totalsRowFunction="sum" dataDxfId="892" totalsRowDxfId="891" dataCellStyle="Millares"/>
    <tableColumn id="2" xr3:uid="{374F4A11-9F22-45E2-A192-77954B9F6477}" name="IVA 21" totalsRowFunction="sum" dataDxfId="890" totalsRowDxfId="889" dataCellStyle="Millares">
      <calculatedColumnFormula>Tabla3510182636414244454647484414[[#This Row],[COMISIONES]]*0.21</calculatedColumnFormula>
    </tableColumn>
    <tableColumn id="3" xr3:uid="{7B426E10-D6E7-4953-A00E-282CA0C284F5}" name="IVA 10,5" totalsRowFunction="sum" dataDxfId="888" totalsRowDxfId="887" dataCellStyle="Millares"/>
    <tableColumn id="4" xr3:uid="{E98F1C31-29A8-4D8C-86BE-E3C09A440EAA}" name="Ret IIBB Caba" totalsRowFunction="sum" dataDxfId="886" totalsRowDxfId="885" dataCellStyle="Millares"/>
    <tableColumn id="5" xr3:uid="{458B5F02-B5AD-400F-9385-78FFD4A9906B}" name="PERC IVA" totalsRowFunction="sum" dataDxfId="884" totalsRowDxfId="883" dataCellStyle="Millares"/>
  </tableColumns>
  <tableStyleInfo name="TableStyleLight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97498E1-9B18-4DB3-9A9D-97B066D42B80}" name="Tabla35611192737515254555657585515" displayName="Tabla35611192737515254555657585515" ref="T15:X31" totalsRowCount="1" headerRowDxfId="882" dataDxfId="881" totalsRowDxfId="879" tableBorderDxfId="880" dataCellStyle="Millares">
  <autoFilter ref="T15:X30" xr:uid="{00000000-0009-0000-0100-00000E000000}"/>
  <tableColumns count="5">
    <tableColumn id="1" xr3:uid="{0CCA35A5-0AFC-4D68-B2A5-5D7F50FA8253}" name="COMISIONES" totalsRowFunction="sum" dataDxfId="878" totalsRowDxfId="877" dataCellStyle="Millares"/>
    <tableColumn id="2" xr3:uid="{0477834C-F322-4725-B1EA-5EFEAA94E121}" name="IVA 21" totalsRowFunction="sum" dataDxfId="876" totalsRowDxfId="875" dataCellStyle="Millares">
      <calculatedColumnFormula>Tabla35611192737515254555657585515[[#This Row],[COMISIONES]]*0.21</calculatedColumnFormula>
    </tableColumn>
    <tableColumn id="3" xr3:uid="{038C0512-AE1C-43E7-A5CC-19B6F2FDED4A}" name="IVA 10,5" totalsRowFunction="sum" dataDxfId="874" totalsRowDxfId="873" dataCellStyle="Millares">
      <calculatedColumnFormula>Tabla35611192737515254555657585515[[#This Row],[COMISIONES]]*0.105</calculatedColumnFormula>
    </tableColumn>
    <tableColumn id="4" xr3:uid="{F1BC5FCB-6666-4D4E-8786-346F501C97AC}" name="Ret IIBB Caba" totalsRowFunction="sum" dataDxfId="872" totalsRowDxfId="871" dataCellStyle="Millares"/>
    <tableColumn id="5" xr3:uid="{F7D54156-9D15-48AC-9271-4F314D4B12D4}" name="PERC IVA" totalsRowFunction="sum" dataDxfId="870" totalsRowDxfId="869" dataCellStyle="Millares"/>
  </tableColumns>
  <tableStyleInfo name="TableStyleLight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911BFF3-FB15-4076-B001-6BEAD6155933}" name="Tabla612202838616264656667686616" displayName="Tabla612202838616264656667686616" ref="T33:X62" totalsRowCount="1" headerRowDxfId="868" totalsRowDxfId="867">
  <autoFilter ref="T33:X61" xr:uid="{00000000-0009-0000-0100-00000F000000}"/>
  <tableColumns count="5">
    <tableColumn id="1" xr3:uid="{B2F584ED-A026-48DD-BE58-91E206EFC9BF}" name="COMISIONES" totalsRowFunction="sum" totalsRowDxfId="866"/>
    <tableColumn id="2" xr3:uid="{F3022E5E-F913-4A11-91D6-63436AAFF723}" name="IVA 21" totalsRowFunction="sum" dataDxfId="865" totalsRowDxfId="864">
      <calculatedColumnFormula>Tabla612202838616264656667686616[[#This Row],[COMISIONES]]*0.21</calculatedColumnFormula>
    </tableColumn>
    <tableColumn id="3" xr3:uid="{0174DD75-58E2-46C7-8A18-3B346BEAC60C}" name="IVA 10,5" totalsRowFunction="sum" totalsRowDxfId="863"/>
    <tableColumn id="4" xr3:uid="{9D8E3603-EC4E-4BF1-9960-D484B229CA33}" name="Ret IIBB Caba" totalsRowFunction="sum" totalsRowDxfId="862"/>
    <tableColumn id="5" xr3:uid="{21FFDD29-795B-44A8-A193-89152366C671}" name="PERC IVA" totalsRowFunction="sum" totalsRowDxfId="861"/>
  </tableColumns>
  <tableStyleInfo name="TableStyleLight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55FEBBB-280B-4CB0-B4B1-7ECA47859F21}" name="Tabla356813212939717274757677787717" displayName="Tabla356813212939717274757677787717" ref="Z15:AD169" totalsRowCount="1" headerRowDxfId="860" dataDxfId="859" totalsRowDxfId="857" tableBorderDxfId="858" dataCellStyle="Millares">
  <autoFilter ref="Z15:AD168" xr:uid="{00000000-0009-0000-0100-000010000000}"/>
  <tableColumns count="5">
    <tableColumn id="1" xr3:uid="{92F934B8-C5E5-48C2-8A6D-D78CB4271D03}" name="COMISIONES" totalsRowFunction="sum" dataDxfId="856" totalsRowDxfId="855" dataCellStyle="Millares"/>
    <tableColumn id="2" xr3:uid="{6C6E5AA9-F356-4B23-A843-76BD7C5A3B63}" name="IVA 21" totalsRowFunction="sum" dataDxfId="854" totalsRowDxfId="853" dataCellStyle="Millares">
      <calculatedColumnFormula>Tabla356813212939717274757677787717[[#This Row],[COMISIONES]]*0.21</calculatedColumnFormula>
    </tableColumn>
    <tableColumn id="3" xr3:uid="{1661412A-0744-44E0-97E9-ED537A5A78E8}" name="IVA 10,5" totalsRowFunction="sum" dataDxfId="852" totalsRowDxfId="851" dataCellStyle="Millares">
      <calculatedColumnFormula>Tabla356813212939717274757677787717[[#This Row],[COMISIONES]]*0.105</calculatedColumnFormula>
    </tableColumn>
    <tableColumn id="4" xr3:uid="{88CC2F58-1842-4123-9707-7733BD2FA4EF}" name="Ret IIBB Caba" totalsRowFunction="sum" dataDxfId="850" totalsRowDxfId="849" dataCellStyle="Millares"/>
    <tableColumn id="5" xr3:uid="{44C5D03E-37D7-4241-B737-13F1DC770700}" name="PERC IVA" totalsRowFunction="sum" dataDxfId="848" totalsRowDxfId="847" dataCellStyle="Millares"/>
  </tableColumns>
  <tableStyleInfo name="TableStyleLight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71C3DB7-1854-48D9-98C3-FAB7B918F605}" name="Tabla35681314223040818284858687888818" displayName="Tabla35681314223040818284858687888818" ref="AF15:AJ26" totalsRowCount="1" headerRowDxfId="846" dataDxfId="845" totalsRowDxfId="843" tableBorderDxfId="844" dataCellStyle="Millares">
  <autoFilter ref="AF15:AJ25" xr:uid="{00000000-0009-0000-0100-000011000000}"/>
  <tableColumns count="5">
    <tableColumn id="1" xr3:uid="{B72E1FA2-FEE0-40EB-8E6A-720516842960}" name="COMISIONES" totalsRowFunction="sum" dataDxfId="842" totalsRowDxfId="841" dataCellStyle="Millares"/>
    <tableColumn id="2" xr3:uid="{0D61D5D5-F447-4699-BEC0-336AF8585F49}" name="IVA 21" totalsRowFunction="sum" dataDxfId="840" totalsRowDxfId="839" dataCellStyle="Millares">
      <calculatedColumnFormula>Tabla35681314223040818284858687888818[[#This Row],[COMISIONES]]*0.21</calculatedColumnFormula>
    </tableColumn>
    <tableColumn id="3" xr3:uid="{370DB126-3DB6-4722-B45E-E1CC27C5F625}" name="IVA 10,5" totalsRowFunction="sum" dataDxfId="838" totalsRowDxfId="837" dataCellStyle="Millares"/>
    <tableColumn id="4" xr3:uid="{02F0814F-609F-47A9-ACBE-75294C736344}" name="Ret IIBB Caba" totalsRowFunction="sum" dataDxfId="836" totalsRowDxfId="835" dataCellStyle="Millares"/>
    <tableColumn id="5" xr3:uid="{30737761-EA10-4AEE-BC11-2FA9983EC419}" name="PERC IVA" totalsRowFunction="sum" dataDxfId="834" totalsRowDxfId="833" dataCellStyle="Millares"/>
  </tableColumns>
  <tableStyleInfo name="TableStyleLight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1AECBE5-995C-49D2-AE55-5DD467FBB5B2}" name="Tabla3915233141919294959697989919" displayName="Tabla3915233141919294959697989919" ref="H55:L102" totalsRowCount="1" headerRowDxfId="832" dataDxfId="831" totalsRowDxfId="829" tableBorderDxfId="830" dataCellStyle="Millares">
  <autoFilter ref="H55:L101" xr:uid="{00000000-0009-0000-0100-000012000000}"/>
  <tableColumns count="5">
    <tableColumn id="1" xr3:uid="{83109224-7DF5-4671-A42A-D72AD8A157D5}" name="COMISIONES" totalsRowFunction="sum" dataDxfId="828" totalsRowDxfId="827" dataCellStyle="Millares"/>
    <tableColumn id="2" xr3:uid="{858E94A2-5CD3-410A-A7CA-91B78414BE5A}" name="IVA 21" totalsRowFunction="sum" dataDxfId="826" totalsRowDxfId="825" dataCellStyle="Millares">
      <calculatedColumnFormula>Tabla3915233141919294959697989919[[#This Row],[COMISIONES]]*0.21</calculatedColumnFormula>
    </tableColumn>
    <tableColumn id="3" xr3:uid="{66267F62-6F88-403E-AAB0-011E65E5718D}" name="IVA 10,5" totalsRowFunction="sum" dataDxfId="824" totalsRowDxfId="823" dataCellStyle="Millares"/>
    <tableColumn id="4" xr3:uid="{FF09B157-7468-4474-8457-0E6015828959}" name="Ret IIBB Caba" totalsRowFunction="sum" dataDxfId="822" totalsRowDxfId="821" dataCellStyle="Millares"/>
    <tableColumn id="5" xr3:uid="{B583F5C3-EF6A-4B41-9B72-B396F8042C3F}" name="PERC IVA" totalsRowFunction="sum" dataDxfId="820" totalsRowDxfId="819" dataCellStyle="Millares"/>
  </tableColumns>
  <tableStyleInfo name="TableStyleLight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6B2FD21-7A5D-490D-B47E-17D5F93ACB4A}" name="Tabla6122028334210203050607080901020" displayName="Tabla6122028334210203050607080901020" ref="T65:X94" totalsRowCount="1" headerRowDxfId="818" totalsRowDxfId="817">
  <autoFilter ref="T65:X93" xr:uid="{00000000-0009-0000-0100-000013000000}"/>
  <tableColumns count="5">
    <tableColumn id="1" xr3:uid="{0D1A78AD-7069-483F-BDD6-40082936FF0C}" name="COMISIONES" totalsRowFunction="sum" totalsRowDxfId="816"/>
    <tableColumn id="2" xr3:uid="{8D7BCAAD-AA29-4F6B-86DD-C048560EBDC3}" name="IVA 21" totalsRowFunction="sum" dataDxfId="815" totalsRowDxfId="814">
      <calculatedColumnFormula>Tabla6122028334210203050607080901020[[#This Row],[COMISIONES]]*0.21</calculatedColumnFormula>
    </tableColumn>
    <tableColumn id="3" xr3:uid="{41260EF9-5D40-478C-9468-DFA0D1302D38}" name="IVA 10,5" totalsRowFunction="sum" totalsRowDxfId="813"/>
    <tableColumn id="4" xr3:uid="{20FC7862-E5DC-4400-9A7C-AA8A4F71D31B}" name="Ret IIBB Caba" totalsRowFunction="sum" totalsRowDxfId="812"/>
    <tableColumn id="5" xr3:uid="{68BA261B-07A1-4B47-9A8D-49D8D8D360F1}" name="PERC IVA" totalsRowFunction="sum" totalsRowDxfId="811"/>
  </tableColumns>
  <tableStyleInfo name="TableStyleLight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C379CD5-0E74-4EAE-ADCF-3A181394D077}" name="Tabla356111927344311213151617181911121" displayName="Tabla356111927344311213151617181911121" ref="AK15:AO31" totalsRowCount="1" headerRowDxfId="810" dataDxfId="809" totalsRowDxfId="807" tableBorderDxfId="808" dataCellStyle="Millares">
  <autoFilter ref="AK15:AO30" xr:uid="{00000000-0009-0000-0100-000014000000}"/>
  <tableColumns count="5">
    <tableColumn id="1" xr3:uid="{879665E8-D236-48BD-AFEC-2C5F92E6F165}" name="COMISIONES" totalsRowFunction="sum" dataDxfId="806" totalsRowDxfId="805" dataCellStyle="Millares"/>
    <tableColumn id="2" xr3:uid="{C71162B0-57F6-4912-84C3-546558810DC1}" name="IVA 21" totalsRowFunction="sum" dataDxfId="804" totalsRowDxfId="803" dataCellStyle="Millares">
      <calculatedColumnFormula>Tabla356111927344311213151617181911121[[#This Row],[COMISIONES]]*0.21</calculatedColumnFormula>
    </tableColumn>
    <tableColumn id="3" xr3:uid="{E119E222-AECA-4D61-BBF9-AAA5EA5DDF23}" name="IVA 10,5" totalsRowFunction="sum" dataDxfId="802" totalsRowDxfId="801" dataCellStyle="Millares"/>
    <tableColumn id="4" xr3:uid="{0466FF86-B7E9-4B83-B0B6-097565B88FDA}" name="Ret IIBB Caba" totalsRowFunction="sum" dataDxfId="800" totalsRowDxfId="799" dataCellStyle="Millares"/>
    <tableColumn id="5" xr3:uid="{5B538E3D-A8C5-4DC8-B046-C52045B50C0B}" name="PERC IVA" totalsRowFunction="sum" dataDxfId="798" totalsRowDxfId="797" dataCellStyle="Millares"/>
  </tableColumns>
  <tableStyleInfo name="TableStyleLight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790DAEC-E233-49D5-8DAC-37CBAA6BC9C8}" name="Tabla1316243221222335262728221222" displayName="Tabla1316243221222335262728221222" ref="B15:F61" totalsRowCount="1" headerRowDxfId="796" totalsRowDxfId="795">
  <autoFilter ref="B15:F60" xr:uid="{00000000-0009-0000-0100-00000B000000}"/>
  <tableColumns count="5">
    <tableColumn id="1" xr3:uid="{7F99E99F-1D13-4781-85C3-154BE42624E7}" name="COMISIONES" totalsRowFunction="sum" dataDxfId="794" totalsRowDxfId="793"/>
    <tableColumn id="2" xr3:uid="{CD57E3B0-37AF-43B7-8E60-0637F860B68D}" name="IVA 21" totalsRowFunction="sum" dataDxfId="792" totalsRowDxfId="791">
      <calculatedColumnFormula>Tabla1316243221222335262728221222[[#This Row],[COMISIONES]]*0.21</calculatedColumnFormula>
    </tableColumn>
    <tableColumn id="3" xr3:uid="{9D7271E3-5C57-4B4D-9DB6-ABC039F9ED62}" name="IVA 10,5" totalsRowFunction="sum" dataDxfId="790" totalsRowDxfId="789">
      <calculatedColumnFormula>Tabla1316243221222335262728221222[[#This Row],[COMISIONES]]*0.105</calculatedColumnFormula>
    </tableColumn>
    <tableColumn id="4" xr3:uid="{30491E85-EF87-4D2E-9156-72E314A3746E}" name="Ret IIBB Caba" totalsRowFunction="sum" dataDxfId="788" totalsRowDxfId="787"/>
    <tableColumn id="5" xr3:uid="{AB51866A-6C32-4818-AC00-1ED20E4DADED}" name="PERC IVA" totalsRowFunction="sum" totalsRowDxfId="786"/>
  </tableColumns>
  <tableStyleInfo name="TableStyleLight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559272E-58C3-4429-A523-6E9B4B41B002}" name="Tabla3917253531323345363738331323" displayName="Tabla3917253531323345363738331323" ref="H15:L53" totalsRowCount="1" headerRowDxfId="785" dataDxfId="784" totalsRowDxfId="782" tableBorderDxfId="783" dataCellStyle="Millares">
  <autoFilter ref="H15:L52" xr:uid="{00000000-0009-0000-0100-00000C000000}"/>
  <tableColumns count="5">
    <tableColumn id="1" xr3:uid="{EDFD2966-A9D1-43F1-ACBF-01D7CAE7089F}" name="COMISIONES" totalsRowFunction="sum" dataDxfId="781" totalsRowDxfId="780" dataCellStyle="Millares"/>
    <tableColumn id="2" xr3:uid="{F908BCCF-D3B4-4129-AFF5-D3240B7963B9}" name="IVA 21" totalsRowFunction="sum" dataDxfId="779" totalsRowDxfId="778" dataCellStyle="Millares">
      <calculatedColumnFormula>Tabla3917253531323345363738331323[[#This Row],[COMISIONES]]*0.21</calculatedColumnFormula>
    </tableColumn>
    <tableColumn id="3" xr3:uid="{858EA52E-647A-4F1E-9A74-E9BB16EDF095}" name="IVA 10,5" totalsRowFunction="sum" dataDxfId="777" totalsRowDxfId="776" dataCellStyle="Millares"/>
    <tableColumn id="4" xr3:uid="{6756F01E-786A-45A9-9D8B-5B0013ED7315}" name="Ret IIBB Caba" totalsRowFunction="sum" dataDxfId="775" totalsRowDxfId="774" dataCellStyle="Millares"/>
    <tableColumn id="5" xr3:uid="{C450110A-94F8-430A-B868-8350F609D2A4}" name="PERC IVA" totalsRowFunction="sum" dataDxfId="773" totalsRowDxfId="772" dataCellStyle="Millares"/>
  </tableColumns>
  <tableStyleInfo name="TableStyleLight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91B75FF-D20C-4ABD-B1EA-4C05F46C2DC2}" name="Tabla351018263641424445464748441424" displayName="Tabla351018263641424445464748441424" ref="N15:R135" totalsRowCount="1" headerRowDxfId="771" dataDxfId="770" totalsRowDxfId="768" tableBorderDxfId="769" dataCellStyle="Millares">
  <autoFilter ref="N15:R134" xr:uid="{00000000-0009-0000-0100-00000D000000}"/>
  <tableColumns count="5">
    <tableColumn id="1" xr3:uid="{5C30C78E-FAC3-4691-937E-C3B63AD9D783}" name="COMISIONES" totalsRowFunction="sum" dataDxfId="767" totalsRowDxfId="766" dataCellStyle="Millares"/>
    <tableColumn id="2" xr3:uid="{DCEE27A8-4B3C-4F85-B786-DD0EBDFE6289}" name="IVA 21" totalsRowFunction="sum" dataDxfId="765" totalsRowDxfId="764" dataCellStyle="Millares">
      <calculatedColumnFormula>Tabla351018263641424445464748441424[[#This Row],[COMISIONES]]*0.21</calculatedColumnFormula>
    </tableColumn>
    <tableColumn id="3" xr3:uid="{F578341D-0CA3-444F-97FA-76CB85F97660}" name="IVA 10,5" totalsRowFunction="sum" dataDxfId="763" totalsRowDxfId="762" dataCellStyle="Millares"/>
    <tableColumn id="4" xr3:uid="{650FDED5-F8F0-400A-BEA9-B26BBCE219F6}" name="Ret IIBB Caba" totalsRowFunction="sum" dataDxfId="761" totalsRowDxfId="760" dataCellStyle="Millares"/>
    <tableColumn id="5" xr3:uid="{E926CEF2-89A3-4355-940C-FF44378718AA}" name="PERC IVA" totalsRowFunction="sum" dataDxfId="759" totalsRowDxfId="758" dataCellStyle="Millares"/>
  </tableColumns>
  <tableStyleInfo name="TableStyleLight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0E1C5C6-6ED3-4D2E-A6B1-DD860D0FBBEB}" name="Tabla3561119273751525455565758551525" displayName="Tabla3561119273751525455565758551525" ref="T15:X31" totalsRowCount="1" headerRowDxfId="757" dataDxfId="756" totalsRowDxfId="754" tableBorderDxfId="755" dataCellStyle="Millares">
  <autoFilter ref="T15:X30" xr:uid="{00000000-0009-0000-0100-00000E000000}"/>
  <tableColumns count="5">
    <tableColumn id="1" xr3:uid="{6EAE75D7-02EE-47EF-AABE-017834A45CC3}" name="COMISIONES" totalsRowFunction="sum" dataDxfId="753" totalsRowDxfId="752" dataCellStyle="Millares"/>
    <tableColumn id="2" xr3:uid="{F30C4680-91E0-4431-BCF8-35CD8E46B56A}" name="IVA 21" totalsRowFunction="sum" dataDxfId="751" totalsRowDxfId="750" dataCellStyle="Millares">
      <calculatedColumnFormula>Tabla3561119273751525455565758551525[[#This Row],[COMISIONES]]*0.21</calculatedColumnFormula>
    </tableColumn>
    <tableColumn id="3" xr3:uid="{E61AEEAB-1233-4BB5-A8C8-2CB895637E1C}" name="IVA 10,5" totalsRowFunction="sum" dataDxfId="749" totalsRowDxfId="748" dataCellStyle="Millares">
      <calculatedColumnFormula>Tabla3561119273751525455565758551525[[#This Row],[COMISIONES]]*0.105</calculatedColumnFormula>
    </tableColumn>
    <tableColumn id="4" xr3:uid="{F3A85AE8-0ABB-42D0-94AB-F62C6CCA3D9D}" name="Ret IIBB Caba" totalsRowFunction="sum" dataDxfId="747" totalsRowDxfId="746" dataCellStyle="Millares"/>
    <tableColumn id="5" xr3:uid="{60DAECF6-7D22-46A4-94DD-3DC0C21E1DA0}" name="PERC IVA" totalsRowFunction="sum" dataDxfId="745" totalsRowDxfId="744" dataCellStyle="Millares"/>
  </tableColumns>
  <tableStyleInfo name="TableStyleLight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6BCF1CC-707F-4A39-8616-59E5A2C8B852}" name="Tabla61220283861626465666768661626" displayName="Tabla61220283861626465666768661626" ref="T33:X62" totalsRowCount="1" headerRowDxfId="743" totalsRowDxfId="742">
  <autoFilter ref="T33:X61" xr:uid="{00000000-0009-0000-0100-00000F000000}"/>
  <tableColumns count="5">
    <tableColumn id="1" xr3:uid="{9B8EE9DF-FB8E-4608-9C04-BB8C5FCBB7FE}" name="COMISIONES" totalsRowFunction="sum" totalsRowDxfId="741"/>
    <tableColumn id="2" xr3:uid="{4845E694-E51C-4770-90CA-038D156AE054}" name="IVA 21" totalsRowFunction="sum" dataDxfId="740" totalsRowDxfId="739">
      <calculatedColumnFormula>Tabla61220283861626465666768661626[[#This Row],[COMISIONES]]*0.21</calculatedColumnFormula>
    </tableColumn>
    <tableColumn id="3" xr3:uid="{3E67969C-0A56-4022-869F-D9711C59A074}" name="IVA 10,5" totalsRowFunction="sum" totalsRowDxfId="738"/>
    <tableColumn id="4" xr3:uid="{75DFF668-2551-4402-A592-75D1ED594F42}" name="Ret IIBB Caba" totalsRowFunction="sum" totalsRowDxfId="737"/>
    <tableColumn id="5" xr3:uid="{A598BED3-17E8-4A4B-AB44-7C9FE57BED73}" name="PERC IVA" totalsRowFunction="sum" totalsRowDxfId="736"/>
  </tableColumns>
  <tableStyleInfo name="TableStyleLight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211F036-4729-4B0C-AF0C-C3498190B72D}" name="Tabla35681321293971727475767778771727" displayName="Tabla35681321293971727475767778771727" ref="Z15:AD169" totalsRowCount="1" headerRowDxfId="735" dataDxfId="734" totalsRowDxfId="732" tableBorderDxfId="733" dataCellStyle="Millares">
  <autoFilter ref="Z15:AD168" xr:uid="{00000000-0009-0000-0100-000010000000}"/>
  <tableColumns count="5">
    <tableColumn id="1" xr3:uid="{2C67AB09-061C-4404-9A89-B9183CFC62E3}" name="COMISIONES" totalsRowFunction="sum" dataDxfId="731" totalsRowDxfId="730" dataCellStyle="Millares"/>
    <tableColumn id="2" xr3:uid="{E38702FF-2CA4-4B62-A859-8DDB3A2EBD3D}" name="IVA 21" totalsRowFunction="sum" dataDxfId="729" totalsRowDxfId="728" dataCellStyle="Millares">
      <calculatedColumnFormula>Tabla35681321293971727475767778771727[[#This Row],[COMISIONES]]*0.21</calculatedColumnFormula>
    </tableColumn>
    <tableColumn id="3" xr3:uid="{81753278-FE42-4796-8489-BB00C6022BA2}" name="IVA 10,5" totalsRowFunction="sum" dataDxfId="727" totalsRowDxfId="726" dataCellStyle="Millares">
      <calculatedColumnFormula>Tabla35681321293971727475767778771727[[#This Row],[COMISIONES]]*0.105</calculatedColumnFormula>
    </tableColumn>
    <tableColumn id="4" xr3:uid="{F1D2FF1E-7455-4A81-81C4-E439B7AF7A17}" name="Ret IIBB Caba" totalsRowFunction="sum" dataDxfId="725" totalsRowDxfId="724" dataCellStyle="Millares"/>
    <tableColumn id="5" xr3:uid="{078B4878-B005-4F99-AB39-29740EEB6FC3}" name="PERC IVA" totalsRowFunction="sum" dataDxfId="723" totalsRowDxfId="722" dataCellStyle="Millares"/>
  </tableColumns>
  <tableStyleInfo name="TableStyleLight8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7D21F66-CE52-4461-9C26-1263A107BC7D}" name="Tabla3568131422304081828485868788881828" displayName="Tabla3568131422304081828485868788881828" ref="AF15:AJ26" totalsRowCount="1" headerRowDxfId="721" dataDxfId="720" totalsRowDxfId="718" tableBorderDxfId="719" dataCellStyle="Millares">
  <autoFilter ref="AF15:AJ25" xr:uid="{00000000-0009-0000-0100-000011000000}"/>
  <tableColumns count="5">
    <tableColumn id="1" xr3:uid="{81E61E89-4388-4A2B-8D30-D7D9636EC236}" name="COMISIONES" totalsRowFunction="sum" dataDxfId="717" totalsRowDxfId="716" dataCellStyle="Millares"/>
    <tableColumn id="2" xr3:uid="{4196FF83-69C2-40D3-8E92-EE9D547805D8}" name="IVA 21" totalsRowFunction="sum" dataDxfId="715" totalsRowDxfId="714" dataCellStyle="Millares">
      <calculatedColumnFormula>Tabla3568131422304081828485868788881828[[#This Row],[COMISIONES]]*0.21</calculatedColumnFormula>
    </tableColumn>
    <tableColumn id="3" xr3:uid="{AEC6A950-2FFF-40AE-BE66-54C981F324CF}" name="IVA 10,5" totalsRowFunction="sum" dataDxfId="713" totalsRowDxfId="712" dataCellStyle="Millares"/>
    <tableColumn id="4" xr3:uid="{B3A4AD86-6C2C-4DBC-A26F-2E389EA5EF37}" name="Ret IIBB Caba" totalsRowFunction="sum" dataDxfId="711" totalsRowDxfId="710" dataCellStyle="Millares"/>
    <tableColumn id="5" xr3:uid="{9B5CBECD-C284-4E7F-8E21-D7A395E07D41}" name="PERC IVA" totalsRowFunction="sum" dataDxfId="709" totalsRowDxfId="708" dataCellStyle="Millares"/>
  </tableColumns>
  <tableStyleInfo name="TableStyleLight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EBE5658-3A33-49B7-8D4D-08E314979B73}" name="Tabla391523314191929495969798991929" displayName="Tabla391523314191929495969798991929" ref="H55:L102" totalsRowCount="1" headerRowDxfId="707" dataDxfId="706" totalsRowDxfId="704" tableBorderDxfId="705" dataCellStyle="Millares">
  <autoFilter ref="H55:L101" xr:uid="{00000000-0009-0000-0100-000012000000}"/>
  <tableColumns count="5">
    <tableColumn id="1" xr3:uid="{0D7FE9DD-E20C-49BF-8F52-19052F6418AB}" name="COMISIONES" totalsRowFunction="sum" dataDxfId="703" totalsRowDxfId="702" dataCellStyle="Millares"/>
    <tableColumn id="2" xr3:uid="{AC31E8C0-4BBB-46FA-911C-6ECF1C802124}" name="IVA 21" totalsRowFunction="sum" dataDxfId="701" totalsRowDxfId="700" dataCellStyle="Millares">
      <calculatedColumnFormula>Tabla391523314191929495969798991929[[#This Row],[COMISIONES]]*0.21</calculatedColumnFormula>
    </tableColumn>
    <tableColumn id="3" xr3:uid="{C5DC74BF-89C3-4AC3-BC9E-A92C48519008}" name="IVA 10,5" totalsRowFunction="sum" dataDxfId="699" totalsRowDxfId="698" dataCellStyle="Millares"/>
    <tableColumn id="4" xr3:uid="{C491182A-A7AE-4744-9027-E4E8521E40F9}" name="Ret IIBB Caba" totalsRowFunction="sum" dataDxfId="697" totalsRowDxfId="696" dataCellStyle="Millares"/>
    <tableColumn id="5" xr3:uid="{B9C97AB3-C14C-4B82-B496-63FFA3C05963}" name="PERC IVA" totalsRowFunction="sum" dataDxfId="695" totalsRowDxfId="694" dataCellStyle="Millares"/>
  </tableColumns>
  <tableStyleInfo name="TableStyleLight8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9303DEF-471E-4DDC-93B1-0306F4AD899B}" name="Tabla612202833421020305060708090102030" displayName="Tabla612202833421020305060708090102030" ref="T65:X123" totalsRowCount="1" headerRowDxfId="693" totalsRowDxfId="692">
  <autoFilter ref="T65:X122" xr:uid="{00000000-0009-0000-0100-000013000000}"/>
  <tableColumns count="5">
    <tableColumn id="1" xr3:uid="{037C5E2D-3DFE-43EF-B6FC-03BFC836F745}" name="COMISIONES" totalsRowFunction="sum" totalsRowDxfId="691"/>
    <tableColumn id="2" xr3:uid="{DDA07691-0C6A-463B-9561-BA830EC3A22F}" name="IVA 21" totalsRowFunction="sum" dataDxfId="690" totalsRowDxfId="689">
      <calculatedColumnFormula>Tabla612202833421020305060708090102030[[#This Row],[COMISIONES]]*0.21</calculatedColumnFormula>
    </tableColumn>
    <tableColumn id="3" xr3:uid="{1CD5786B-FBDD-4C08-8A52-8251EAC77CE4}" name="IVA 10,5" totalsRowFunction="sum" totalsRowDxfId="688"/>
    <tableColumn id="4" xr3:uid="{684D7D8E-1A56-40AC-ADA2-48E1D753B953}" name="Ret IIBB Caba" totalsRowFunction="sum" totalsRowDxfId="687"/>
    <tableColumn id="5" xr3:uid="{24687FDF-FE50-4FA5-8B20-06C2411B103F}" name="PERC IVA" totalsRowFunction="sum" totalsRowDxfId="686"/>
  </tableColumns>
  <tableStyleInfo name="TableStyleLight8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5F4FA8D-15DD-4654-9007-0B7699B1694F}" name="Tabla35611192734431121315161718191112131" displayName="Tabla35611192734431121315161718191112131" ref="AK15:AO31" totalsRowCount="1" headerRowDxfId="685" dataDxfId="684" totalsRowDxfId="682" tableBorderDxfId="683" dataCellStyle="Millares">
  <autoFilter ref="AK15:AO30" xr:uid="{00000000-0009-0000-0100-000014000000}"/>
  <tableColumns count="5">
    <tableColumn id="1" xr3:uid="{632185D0-4C31-4F67-B96F-C1842E3441E5}" name="COMISIONES" totalsRowFunction="sum" dataDxfId="681" totalsRowDxfId="680" dataCellStyle="Millares"/>
    <tableColumn id="2" xr3:uid="{05F6D2E1-529E-44F9-A6AE-AD0036F51815}" name="IVA 21" totalsRowFunction="sum" dataDxfId="679" totalsRowDxfId="678" dataCellStyle="Millares">
      <calculatedColumnFormula>Tabla35611192734431121315161718191112131[[#This Row],[COMISIONES]]*0.21</calculatedColumnFormula>
    </tableColumn>
    <tableColumn id="3" xr3:uid="{66D0147B-4C3F-4CAD-AA37-84866A6D563D}" name="IVA 10,5" totalsRowFunction="sum" dataDxfId="677" totalsRowDxfId="676" dataCellStyle="Millares"/>
    <tableColumn id="4" xr3:uid="{1010D961-D949-4A8E-87D0-EAE397E6025E}" name="Ret IIBB Caba" totalsRowFunction="sum" dataDxfId="675" totalsRowDxfId="674" dataCellStyle="Millares"/>
    <tableColumn id="5" xr3:uid="{664FF853-9C50-4B6E-AAC3-FE7BBE95F006}" name="PERC IVA" totalsRowFunction="sum" dataDxfId="673" totalsRowDxfId="672" dataCellStyle="Millares"/>
  </tableColumns>
  <tableStyleInfo name="TableStyleLight8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2B87AEE-B33F-4B0F-A952-BBC13E32B129}" name="Tabla131624322122233526272822122232" displayName="Tabla131624322122233526272822122232" ref="B15:F61" totalsRowCount="1" headerRowDxfId="671" totalsRowDxfId="670">
  <autoFilter ref="B15:F60" xr:uid="{00000000-0009-0000-0100-00000B000000}"/>
  <tableColumns count="5">
    <tableColumn id="1" xr3:uid="{6680EC9D-7E41-45CC-A86F-64D76F750106}" name="COMISIONES" totalsRowFunction="sum" dataDxfId="669" totalsRowDxfId="668"/>
    <tableColumn id="2" xr3:uid="{B13FB9D0-87CF-4FFB-B94A-3EE06D95A905}" name="IVA 21" totalsRowFunction="sum" dataDxfId="667" totalsRowDxfId="666">
      <calculatedColumnFormula>Tabla131624322122233526272822122232[[#This Row],[COMISIONES]]*0.21</calculatedColumnFormula>
    </tableColumn>
    <tableColumn id="3" xr3:uid="{7E6A3B1C-CD8F-4636-B7EF-1EC5F51CF2E0}" name="IVA 10,5" totalsRowFunction="sum" dataDxfId="665" totalsRowDxfId="664">
      <calculatedColumnFormula>Tabla131624322122233526272822122232[[#This Row],[COMISIONES]]*0.105</calculatedColumnFormula>
    </tableColumn>
    <tableColumn id="4" xr3:uid="{034F0594-60BF-4436-8917-4AE4143787F4}" name="Ret IIBB Caba" totalsRowFunction="sum" dataDxfId="663" totalsRowDxfId="662"/>
    <tableColumn id="5" xr3:uid="{D5DEB10E-A4F2-46D9-B1C6-BE44272EB755}" name="PERC IVA" totalsRowFunction="sum" totalsRowDxfId="661"/>
  </tableColumns>
  <tableStyleInfo name="TableStyleLight8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367F7CC2-5478-4FA8-9EF7-8975B329D716}" name="Tabla391725353132334536373833132333" displayName="Tabla391725353132334536373833132333" ref="H15:L53" totalsRowCount="1" headerRowDxfId="660" dataDxfId="659" totalsRowDxfId="657" tableBorderDxfId="658" dataCellStyle="Millares">
  <autoFilter ref="H15:L52" xr:uid="{00000000-0009-0000-0100-00000C000000}"/>
  <tableColumns count="5">
    <tableColumn id="1" xr3:uid="{9F896D45-7A3B-463D-AF4C-F8FEA9946FE5}" name="COMISIONES" totalsRowFunction="sum" dataDxfId="656" totalsRowDxfId="655" dataCellStyle="Millares"/>
    <tableColumn id="2" xr3:uid="{D15E6484-0620-4954-90B5-DCC7315D3FCC}" name="IVA 21" totalsRowFunction="sum" dataDxfId="654" totalsRowDxfId="653" dataCellStyle="Millares">
      <calculatedColumnFormula>Tabla391725353132334536373833132333[[#This Row],[COMISIONES]]*0.21</calculatedColumnFormula>
    </tableColumn>
    <tableColumn id="3" xr3:uid="{58CC7173-999B-4FF6-83FE-D676522CD135}" name="IVA 10,5" totalsRowFunction="sum" dataDxfId="652" totalsRowDxfId="651" dataCellStyle="Millares"/>
    <tableColumn id="4" xr3:uid="{1D0666B3-5AB5-47A0-A0FA-AC2AE8CA52C0}" name="Ret IIBB Caba" totalsRowFunction="sum" dataDxfId="650" totalsRowDxfId="649" dataCellStyle="Millares"/>
    <tableColumn id="5" xr3:uid="{7A8BC609-9CAB-4111-8A49-0CC62D17DBFF}" name="PERC IVA" totalsRowFunction="sum" dataDxfId="648" totalsRowDxfId="647" dataCellStyle="Millares"/>
  </tableColumns>
  <tableStyleInfo name="TableStyleLight8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9A1B923-B8F7-46A9-BDBA-630AC8452553}" name="Tabla35101826364142444546474844142434" displayName="Tabla35101826364142444546474844142434" ref="N15:R135" totalsRowCount="1" headerRowDxfId="646" dataDxfId="645" totalsRowDxfId="643" tableBorderDxfId="644" dataCellStyle="Millares">
  <autoFilter ref="N15:R134" xr:uid="{00000000-0009-0000-0100-00000D000000}"/>
  <tableColumns count="5">
    <tableColumn id="1" xr3:uid="{26DC26C7-EB5B-441C-9644-881549CE6819}" name="COMISIONES" totalsRowFunction="sum" dataDxfId="642" totalsRowDxfId="641" dataCellStyle="Millares"/>
    <tableColumn id="2" xr3:uid="{00C45661-674F-4C52-A360-94321CC0A630}" name="IVA 21" totalsRowFunction="sum" dataDxfId="640" totalsRowDxfId="639" dataCellStyle="Millares">
      <calculatedColumnFormula>Tabla35101826364142444546474844142434[[#This Row],[COMISIONES]]*0.21</calculatedColumnFormula>
    </tableColumn>
    <tableColumn id="3" xr3:uid="{111EEE78-6007-4D72-A995-C9B307CD5308}" name="IVA 10,5" totalsRowFunction="sum" dataDxfId="638" totalsRowDxfId="637" dataCellStyle="Millares"/>
    <tableColumn id="4" xr3:uid="{D1D76480-AE7B-4978-8308-653A49E14643}" name="Ret IIBB Caba" totalsRowFunction="sum" dataDxfId="636" totalsRowDxfId="635" dataCellStyle="Millares"/>
    <tableColumn id="5" xr3:uid="{BAFFD1D3-369C-4C7D-9052-DCDF60246FBD}" name="PERC IVA" totalsRowFunction="sum" dataDxfId="634" totalsRowDxfId="633" dataCellStyle="Millares"/>
  </tableColumns>
  <tableStyleInfo name="TableStyleLight8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8FE7AD25-FDA2-4BF6-A2BA-55ABBB4310DE}" name="Tabla356111927375152545556575855152535" displayName="Tabla356111927375152545556575855152535" ref="T15:X31" totalsRowCount="1" headerRowDxfId="632" dataDxfId="631" totalsRowDxfId="629" tableBorderDxfId="630" dataCellStyle="Millares">
  <autoFilter ref="T15:X30" xr:uid="{00000000-0009-0000-0100-00000E000000}"/>
  <tableColumns count="5">
    <tableColumn id="1" xr3:uid="{934845D0-98B3-453E-9326-B030D91644B4}" name="COMISIONES" totalsRowFunction="sum" dataDxfId="628" totalsRowDxfId="627" dataCellStyle="Millares"/>
    <tableColumn id="2" xr3:uid="{0668C941-8536-4157-BC05-0EAE835666F8}" name="IVA 21" totalsRowFunction="sum" dataDxfId="626" totalsRowDxfId="625" dataCellStyle="Millares">
      <calculatedColumnFormula>Tabla356111927375152545556575855152535[[#This Row],[COMISIONES]]*0.21</calculatedColumnFormula>
    </tableColumn>
    <tableColumn id="3" xr3:uid="{D3D94F40-BAA9-49A7-8C1C-BC2E850090A9}" name="IVA 10,5" totalsRowFunction="sum" dataDxfId="624" totalsRowDxfId="623" dataCellStyle="Millares">
      <calculatedColumnFormula>Tabla356111927375152545556575855152535[[#This Row],[COMISIONES]]*0.105</calculatedColumnFormula>
    </tableColumn>
    <tableColumn id="4" xr3:uid="{2969F4E8-A58A-4940-B006-921E81F0C08E}" name="Ret IIBB Caba" totalsRowFunction="sum" dataDxfId="622" totalsRowDxfId="621" dataCellStyle="Millares"/>
    <tableColumn id="5" xr3:uid="{B22337F7-6139-4A9E-9260-65E9D23988C9}" name="PERC IVA" totalsRowFunction="sum" dataDxfId="620" totalsRowDxfId="619" dataCellStyle="Millares"/>
  </tableColumns>
  <tableStyleInfo name="TableStyleLight8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3E68742-85A4-45BF-A08B-BF38A1FD61F7}" name="Tabla6122028386162646566676866162636" displayName="Tabla6122028386162646566676866162636" ref="T33:X62" totalsRowCount="1" headerRowDxfId="618" totalsRowDxfId="617">
  <autoFilter ref="T33:X61" xr:uid="{00000000-0009-0000-0100-00000F000000}"/>
  <tableColumns count="5">
    <tableColumn id="1" xr3:uid="{050F4053-6AD8-460B-B720-093F0B761202}" name="COMISIONES" totalsRowFunction="sum" totalsRowDxfId="616"/>
    <tableColumn id="2" xr3:uid="{4C039D5D-3D59-4A39-989A-796B1A32FB2D}" name="IVA 21" totalsRowFunction="sum" dataDxfId="615" totalsRowDxfId="614">
      <calculatedColumnFormula>Tabla6122028386162646566676866162636[[#This Row],[COMISIONES]]*0.21</calculatedColumnFormula>
    </tableColumn>
    <tableColumn id="3" xr3:uid="{8436FCEF-EFF9-42E4-8F6C-9990A5B91CDA}" name="IVA 10,5" totalsRowFunction="sum" totalsRowDxfId="613"/>
    <tableColumn id="4" xr3:uid="{7A79DD4F-B9E9-4DDB-8E77-1063C0CECECC}" name="Ret IIBB Caba" totalsRowFunction="sum" totalsRowDxfId="612"/>
    <tableColumn id="5" xr3:uid="{857153B2-A470-4888-8006-58D78E14CBB6}" name="PERC IVA" totalsRowFunction="sum" totalsRowDxfId="611"/>
  </tableColumns>
  <tableStyleInfo name="TableStyleLight8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89A7935-4EC6-4DFA-81A6-4B6AECE5B5A2}" name="Tabla3568132129397172747576777877172737" displayName="Tabla3568132129397172747576777877172737" ref="Z15:AD169" totalsRowCount="1" headerRowDxfId="610" dataDxfId="609" totalsRowDxfId="607" tableBorderDxfId="608" dataCellStyle="Millares">
  <autoFilter ref="Z15:AD168" xr:uid="{00000000-0009-0000-0100-000010000000}"/>
  <tableColumns count="5">
    <tableColumn id="1" xr3:uid="{5A50E418-E024-4317-96ED-0E1407E968C5}" name="COMISIONES" totalsRowFunction="sum" dataDxfId="606" totalsRowDxfId="605" dataCellStyle="Millares"/>
    <tableColumn id="2" xr3:uid="{D322C6C5-1655-4984-B607-1FC0B51A850A}" name="IVA 21" totalsRowFunction="sum" dataDxfId="604" totalsRowDxfId="603" dataCellStyle="Millares">
      <calculatedColumnFormula>Tabla3568132129397172747576777877172737[[#This Row],[COMISIONES]]*0.21</calculatedColumnFormula>
    </tableColumn>
    <tableColumn id="3" xr3:uid="{E2907AE4-A3CD-47D5-9102-F4C1F76B6D35}" name="IVA 10,5" totalsRowFunction="sum" dataDxfId="602" totalsRowDxfId="601" dataCellStyle="Millares">
      <calculatedColumnFormula>Tabla3568132129397172747576777877172737[[#This Row],[COMISIONES]]*0.105</calculatedColumnFormula>
    </tableColumn>
    <tableColumn id="4" xr3:uid="{B139C5E4-341E-414E-88D0-0400BCE49465}" name="Ret IIBB Caba" totalsRowFunction="sum" dataDxfId="600" totalsRowDxfId="599" dataCellStyle="Millares"/>
    <tableColumn id="5" xr3:uid="{C65B3E5F-AA2B-4F45-A7B7-C0FA5B335541}" name="PERC IVA" totalsRowFunction="sum" dataDxfId="598" totalsRowDxfId="597" dataCellStyle="Millares"/>
  </tableColumns>
  <tableStyleInfo name="TableStyleLight8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33C5BF52-B588-4760-BFE7-7C2C40CC0791}" name="Tabla356813142230408182848586878888182838" displayName="Tabla356813142230408182848586878888182838" ref="AF15:AJ26" totalsRowCount="1" headerRowDxfId="596" dataDxfId="595" totalsRowDxfId="593" tableBorderDxfId="594" dataCellStyle="Millares">
  <autoFilter ref="AF15:AJ25" xr:uid="{00000000-0009-0000-0100-000011000000}"/>
  <tableColumns count="5">
    <tableColumn id="1" xr3:uid="{73AB3AB0-7C23-4A02-A35E-A2061E506055}" name="COMISIONES" totalsRowFunction="sum" dataDxfId="592" totalsRowDxfId="591" dataCellStyle="Millares"/>
    <tableColumn id="2" xr3:uid="{CC828FA6-4C62-4023-AC3B-5AB96AB02FB1}" name="IVA 21" totalsRowFunction="sum" dataDxfId="590" totalsRowDxfId="589" dataCellStyle="Millares">
      <calculatedColumnFormula>Tabla356813142230408182848586878888182838[[#This Row],[COMISIONES]]*0.21</calculatedColumnFormula>
    </tableColumn>
    <tableColumn id="3" xr3:uid="{C54DB861-980A-47E2-9491-4B506BF9CA25}" name="IVA 10,5" totalsRowFunction="sum" dataDxfId="588" totalsRowDxfId="587" dataCellStyle="Millares"/>
    <tableColumn id="4" xr3:uid="{F256E79A-3C4E-42ED-B6BB-C4F2AEB0377F}" name="Ret IIBB Caba" totalsRowFunction="sum" dataDxfId="586" totalsRowDxfId="585" dataCellStyle="Millares"/>
    <tableColumn id="5" xr3:uid="{B4BD4D9F-34AF-4C35-A60F-670BA80A9816}" name="PERC IVA" totalsRowFunction="sum" dataDxfId="584" totalsRowDxfId="583" dataCellStyle="Millares"/>
  </tableColumns>
  <tableStyleInfo name="TableStyleLight8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E1920B1C-2EAB-455E-9DCD-77ADC827813B}" name="Tabla39152331419192949596979899192939" displayName="Tabla39152331419192949596979899192939" ref="H55:L102" totalsRowCount="1" headerRowDxfId="582" dataDxfId="581" totalsRowDxfId="579" tableBorderDxfId="580" dataCellStyle="Millares">
  <autoFilter ref="H55:L101" xr:uid="{00000000-0009-0000-0100-000012000000}"/>
  <tableColumns count="5">
    <tableColumn id="1" xr3:uid="{4AE62451-6125-4E49-B4BA-4F94391F1ED6}" name="COMISIONES" totalsRowFunction="sum" dataDxfId="578" totalsRowDxfId="577" dataCellStyle="Millares"/>
    <tableColumn id="2" xr3:uid="{E20EFFE7-4996-425E-A279-026F67642FA3}" name="IVA 21" totalsRowFunction="sum" dataDxfId="576" totalsRowDxfId="575" dataCellStyle="Millares">
      <calculatedColumnFormula>Tabla39152331419192949596979899192939[[#This Row],[COMISIONES]]*0.21</calculatedColumnFormula>
    </tableColumn>
    <tableColumn id="3" xr3:uid="{A8E064FB-C573-4A64-B280-3379805774EA}" name="IVA 10,5" totalsRowFunction="sum" dataDxfId="574" totalsRowDxfId="573" dataCellStyle="Millares"/>
    <tableColumn id="4" xr3:uid="{18EC2F82-536E-425C-86A2-EC95293021B4}" name="Ret IIBB Caba" totalsRowFunction="sum" dataDxfId="572" totalsRowDxfId="571" dataCellStyle="Millares"/>
    <tableColumn id="5" xr3:uid="{BA938E94-8C42-4BE7-AA5A-7E75F9AD43FD}" name="PERC IVA" totalsRowFunction="sum" dataDxfId="570" totalsRowDxfId="569" dataCellStyle="Millares"/>
  </tableColumns>
  <tableStyleInfo name="TableStyleLight8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78979F85-8296-42DD-B882-1822C76FD3B3}" name="Tabla61220283342102030506070809010203040" displayName="Tabla61220283342102030506070809010203040" ref="T65:X123" totalsRowCount="1" headerRowDxfId="568" totalsRowDxfId="567">
  <autoFilter ref="T65:X122" xr:uid="{00000000-0009-0000-0100-000013000000}"/>
  <tableColumns count="5">
    <tableColumn id="1" xr3:uid="{8522786E-7050-4C3E-AE47-514D0554E1C1}" name="COMISIONES" totalsRowFunction="sum" totalsRowDxfId="566"/>
    <tableColumn id="2" xr3:uid="{21AD80E3-B66F-44F9-BA74-9206934361A8}" name="IVA 21" totalsRowFunction="sum" dataDxfId="565" totalsRowDxfId="564">
      <calculatedColumnFormula>Tabla61220283342102030506070809010203040[[#This Row],[COMISIONES]]*0.21</calculatedColumnFormula>
    </tableColumn>
    <tableColumn id="3" xr3:uid="{FF9AF814-38B6-4FA1-968A-930C8B81E809}" name="IVA 10,5" totalsRowFunction="sum" totalsRowDxfId="563"/>
    <tableColumn id="4" xr3:uid="{50A5B380-ED74-463E-9CC5-BBC7D4D15B7B}" name="Ret IIBB Caba" totalsRowFunction="sum" totalsRowDxfId="562"/>
    <tableColumn id="5" xr3:uid="{C75E9015-A1D7-4D89-B06A-54F98F3B6325}" name="PERC IVA" totalsRowFunction="sum" totalsRowDxfId="561"/>
  </tableColumns>
  <tableStyleInfo name="TableStyleLight8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6D9FF736-EBBD-4604-991D-4C27FEC003E4}" name="Tabla3561119273443112131516171819111213141" displayName="Tabla3561119273443112131516171819111213141" ref="AK15:AO31" totalsRowCount="1" headerRowDxfId="560" dataDxfId="559" totalsRowDxfId="557" tableBorderDxfId="558" dataCellStyle="Millares">
  <autoFilter ref="AK15:AO30" xr:uid="{00000000-0009-0000-0100-000014000000}"/>
  <tableColumns count="5">
    <tableColumn id="1" xr3:uid="{64C78A72-5A3D-4ADE-8828-2A2996AFFDD7}" name="COMISIONES" totalsRowFunction="sum" dataDxfId="556" totalsRowDxfId="555" dataCellStyle="Millares"/>
    <tableColumn id="2" xr3:uid="{49CF7833-4A89-4204-B53E-4243CF877A13}" name="IVA 21" totalsRowFunction="sum" dataDxfId="554" totalsRowDxfId="553" dataCellStyle="Millares">
      <calculatedColumnFormula>Tabla3561119273443112131516171819111213141[[#This Row],[COMISIONES]]*0.21</calculatedColumnFormula>
    </tableColumn>
    <tableColumn id="3" xr3:uid="{FCE9EEFC-AB73-4FD1-B22F-A5DD63140443}" name="IVA 10,5" totalsRowFunction="sum" dataDxfId="552" totalsRowDxfId="551" dataCellStyle="Millares"/>
    <tableColumn id="4" xr3:uid="{8D43081E-847E-4177-AE8A-E74247AA943E}" name="Ret IIBB Caba" totalsRowFunction="sum" dataDxfId="550" totalsRowDxfId="549" dataCellStyle="Millares"/>
    <tableColumn id="5" xr3:uid="{4769B1AF-9505-4F3D-8D2A-BEB5D80381F4}" name="PERC IVA" totalsRowFunction="sum" dataDxfId="548" totalsRowDxfId="547" dataCellStyle="Millares"/>
  </tableColumns>
  <tableStyleInfo name="TableStyleLight8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749E1295-0411-4620-81C5-989BA40815E4}" name="Tabla13162432212223352627282212223242" displayName="Tabla13162432212223352627282212223242" ref="B15:F61" totalsRowCount="1" headerRowDxfId="546" totalsRowDxfId="545">
  <autoFilter ref="B15:F60" xr:uid="{00000000-0009-0000-0100-00000B000000}"/>
  <tableColumns count="5">
    <tableColumn id="1" xr3:uid="{FEEF67BA-DA38-4F58-9CEE-3510A648F6BC}" name="COMISIONES" totalsRowFunction="sum" dataDxfId="544" totalsRowDxfId="543"/>
    <tableColumn id="2" xr3:uid="{B624E60A-4991-4ED4-9B16-F6170DDC82B0}" name="IVA 21" totalsRowFunction="sum" dataDxfId="542" totalsRowDxfId="541">
      <calculatedColumnFormula>Tabla13162432212223352627282212223242[[#This Row],[COMISIONES]]*0.21</calculatedColumnFormula>
    </tableColumn>
    <tableColumn id="3" xr3:uid="{CDEDB2DA-4898-42F0-9D66-2AA373306227}" name="IVA 10,5" totalsRowFunction="sum" dataDxfId="540" totalsRowDxfId="539">
      <calculatedColumnFormula>Tabla13162432212223352627282212223242[[#This Row],[COMISIONES]]*0.105</calculatedColumnFormula>
    </tableColumn>
    <tableColumn id="4" xr3:uid="{743CBE7A-994C-4297-9012-2D670F4DA974}" name="Ret IIBB Caba" totalsRowFunction="sum" dataDxfId="538" totalsRowDxfId="537"/>
    <tableColumn id="5" xr3:uid="{369BF855-95DE-4F8D-9E95-22DBC37FA0E0}" name="PERC IVA" totalsRowFunction="sum" totalsRowDxfId="536"/>
  </tableColumns>
  <tableStyleInfo name="TableStyleLight8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5DA0289-4EEF-41BB-ADDD-4FF4A477B457}" name="Tabla39172535313233453637383313233343" displayName="Tabla39172535313233453637383313233343" ref="H15:L53" totalsRowCount="1" headerRowDxfId="535" dataDxfId="534" totalsRowDxfId="532" tableBorderDxfId="533" dataCellStyle="Millares">
  <autoFilter ref="H15:L52" xr:uid="{00000000-0009-0000-0100-00000C000000}"/>
  <tableColumns count="5">
    <tableColumn id="1" xr3:uid="{815A0C00-2F15-4848-B5A7-822EEE403353}" name="COMISIONES" totalsRowFunction="sum" dataDxfId="531" totalsRowDxfId="530" dataCellStyle="Millares"/>
    <tableColumn id="2" xr3:uid="{1848F3F8-FFFE-4E84-B015-A751EA954CA1}" name="IVA 21" totalsRowFunction="sum" dataDxfId="529" totalsRowDxfId="528" dataCellStyle="Millares">
      <calculatedColumnFormula>Tabla39172535313233453637383313233343[[#This Row],[COMISIONES]]*0.21</calculatedColumnFormula>
    </tableColumn>
    <tableColumn id="3" xr3:uid="{6479197E-D514-4DA4-8E44-C3A476B15BB7}" name="IVA 10,5" totalsRowFunction="sum" dataDxfId="527" totalsRowDxfId="526" dataCellStyle="Millares"/>
    <tableColumn id="4" xr3:uid="{73E58C6C-D822-46D6-937B-CFB07F874AF0}" name="Ret IIBB Caba" totalsRowFunction="sum" dataDxfId="525" totalsRowDxfId="524" dataCellStyle="Millares"/>
    <tableColumn id="5" xr3:uid="{8921E65D-C217-42B7-A50D-564A60A3FF80}" name="PERC IVA" totalsRowFunction="sum" dataDxfId="523" totalsRowDxfId="522" dataCellStyle="Millares"/>
  </tableColumns>
  <tableStyleInfo name="TableStyleLight8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41DA4788-17E6-4705-917A-6DFC20F3B7CF}" name="Tabla3510182636414244454647484414243444" displayName="Tabla3510182636414244454647484414243444" ref="N15:R135" totalsRowCount="1" headerRowDxfId="521" dataDxfId="520" totalsRowDxfId="518" tableBorderDxfId="519" dataCellStyle="Millares">
  <autoFilter ref="N15:R134" xr:uid="{00000000-0009-0000-0100-00000D000000}"/>
  <tableColumns count="5">
    <tableColumn id="1" xr3:uid="{E239FE0B-7C4A-4600-A428-E9C9DAB05F3B}" name="COMISIONES" totalsRowFunction="sum" dataDxfId="517" totalsRowDxfId="516" dataCellStyle="Millares"/>
    <tableColumn id="2" xr3:uid="{A9AC8278-0AD1-4360-AFC9-AC658D3A9CC1}" name="IVA 21" totalsRowFunction="sum" dataDxfId="515" totalsRowDxfId="514" dataCellStyle="Millares">
      <calculatedColumnFormula>Tabla3510182636414244454647484414243444[[#This Row],[COMISIONES]]*0.21</calculatedColumnFormula>
    </tableColumn>
    <tableColumn id="3" xr3:uid="{B47E9010-3732-4D9D-A96E-19FE8BB2BD5C}" name="IVA 10,5" totalsRowFunction="sum" dataDxfId="513" totalsRowDxfId="512" dataCellStyle="Millares"/>
    <tableColumn id="4" xr3:uid="{F3BAF771-6525-4B16-92DE-DC35917CDE50}" name="Ret IIBB Caba" totalsRowFunction="sum" dataDxfId="511" totalsRowDxfId="510" dataCellStyle="Millares"/>
    <tableColumn id="5" xr3:uid="{3E00E80F-03B7-4EB7-9106-896F46282DE3}" name="PERC IVA" totalsRowFunction="sum" dataDxfId="509" totalsRowDxfId="508" dataCellStyle="Millares"/>
  </tableColumns>
  <tableStyleInfo name="TableStyleLight8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9FDB91D-75AA-4A45-8460-5B902C25D665}" name="Tabla35611192737515254555657585515253545" displayName="Tabla35611192737515254555657585515253545" ref="T15:X31" totalsRowCount="1" headerRowDxfId="507" dataDxfId="506" totalsRowDxfId="504" tableBorderDxfId="505" dataCellStyle="Millares">
  <autoFilter ref="T15:X30" xr:uid="{00000000-0009-0000-0100-00000E000000}"/>
  <tableColumns count="5">
    <tableColumn id="1" xr3:uid="{5A5F165E-0513-47E7-A9AB-C94375349CC0}" name="COMISIONES" totalsRowFunction="sum" dataDxfId="503" totalsRowDxfId="502" dataCellStyle="Millares"/>
    <tableColumn id="2" xr3:uid="{FDB8405D-045C-4130-BB2D-D2DB29550E39}" name="IVA 21" totalsRowFunction="sum" dataDxfId="501" totalsRowDxfId="500" dataCellStyle="Millares">
      <calculatedColumnFormula>Tabla35611192737515254555657585515253545[[#This Row],[COMISIONES]]*0.21</calculatedColumnFormula>
    </tableColumn>
    <tableColumn id="3" xr3:uid="{8E6FC241-5284-4ED2-BC01-699C052D8048}" name="IVA 10,5" totalsRowFunction="sum" dataDxfId="499" totalsRowDxfId="498" dataCellStyle="Millares">
      <calculatedColumnFormula>Tabla35611192737515254555657585515253545[[#This Row],[COMISIONES]]*0.105</calculatedColumnFormula>
    </tableColumn>
    <tableColumn id="4" xr3:uid="{2005765A-19AC-4CBA-8503-9FDDD53103AE}" name="Ret IIBB Caba" totalsRowFunction="sum" dataDxfId="497" totalsRowDxfId="496" dataCellStyle="Millares"/>
    <tableColumn id="5" xr3:uid="{695F7C59-8D8F-4B72-9977-F520989BDEBB}" name="PERC IVA" totalsRowFunction="sum" dataDxfId="495" totalsRowDxfId="494" dataCellStyle="Millares"/>
  </tableColumns>
  <tableStyleInfo name="TableStyleLight8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9AF62150-48B9-407D-8E3D-2993D3471CA3}" name="Tabla612202838616264656667686616263646" displayName="Tabla612202838616264656667686616263646" ref="T33:X62" totalsRowCount="1" headerRowDxfId="493" totalsRowDxfId="492">
  <autoFilter ref="T33:X61" xr:uid="{00000000-0009-0000-0100-00000F000000}"/>
  <tableColumns count="5">
    <tableColumn id="1" xr3:uid="{0AE989D4-F542-43E4-AAED-732E2DFFD78F}" name="COMISIONES" totalsRowFunction="sum" totalsRowDxfId="491"/>
    <tableColumn id="2" xr3:uid="{1EEEAC20-760E-43C6-B28C-E6C5C201C3CB}" name="IVA 21" totalsRowFunction="sum" dataDxfId="490" totalsRowDxfId="489">
      <calculatedColumnFormula>Tabla612202838616264656667686616263646[[#This Row],[COMISIONES]]*0.21</calculatedColumnFormula>
    </tableColumn>
    <tableColumn id="3" xr3:uid="{5D19350B-EA3A-45B9-86EF-DF7741D38345}" name="IVA 10,5" totalsRowFunction="sum" totalsRowDxfId="488"/>
    <tableColumn id="4" xr3:uid="{0CF3126B-C4E6-438D-AFDD-B771810EDA28}" name="Ret IIBB Caba" totalsRowFunction="sum" totalsRowDxfId="487"/>
    <tableColumn id="5" xr3:uid="{EC4D4F25-0C54-4AB0-832A-6793740C55E6}" name="PERC IVA" totalsRowFunction="sum" totalsRowDxfId="486"/>
  </tableColumns>
  <tableStyleInfo name="TableStyleLight8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449DFA10-21F7-49FA-B0E8-98D793B28ED5}" name="Tabla356813212939717274757677787717273747" displayName="Tabla356813212939717274757677787717273747" ref="Z15:AD169" totalsRowCount="1" headerRowDxfId="485" dataDxfId="484" totalsRowDxfId="482" tableBorderDxfId="483" dataCellStyle="Millares">
  <autoFilter ref="Z15:AD168" xr:uid="{00000000-0009-0000-0100-000010000000}"/>
  <tableColumns count="5">
    <tableColumn id="1" xr3:uid="{FCE449B0-8FCA-4115-95C0-4561E71110FD}" name="COMISIONES" totalsRowFunction="sum" dataDxfId="481" totalsRowDxfId="480" dataCellStyle="Millares"/>
    <tableColumn id="2" xr3:uid="{12D6E400-D0FA-4637-AA1E-25A2D31E67DD}" name="IVA 21" totalsRowFunction="sum" dataDxfId="479" totalsRowDxfId="478" dataCellStyle="Millares">
      <calculatedColumnFormula>Tabla356813212939717274757677787717273747[[#This Row],[COMISIONES]]*0.21</calculatedColumnFormula>
    </tableColumn>
    <tableColumn id="3" xr3:uid="{5CBAAC58-1453-4D18-917A-7F79BB7A126F}" name="IVA 10,5" totalsRowFunction="sum" dataDxfId="477" totalsRowDxfId="476" dataCellStyle="Millares">
      <calculatedColumnFormula>Tabla356813212939717274757677787717273747[[#This Row],[COMISIONES]]*0.105</calculatedColumnFormula>
    </tableColumn>
    <tableColumn id="4" xr3:uid="{835EE9C9-5C78-4A03-8D45-BB61523D294A}" name="Ret IIBB Caba" totalsRowFunction="sum" dataDxfId="475" totalsRowDxfId="474" dataCellStyle="Millares"/>
    <tableColumn id="5" xr3:uid="{2EE840B2-48A9-46C6-A6EF-361649F1BBB4}" name="PERC IVA" totalsRowFunction="sum" dataDxfId="473" totalsRowDxfId="472" dataCellStyle="Millares"/>
  </tableColumns>
  <tableStyleInfo name="TableStyleLight8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3C36F6D8-FC41-4BF1-8E02-975D6948AF0F}" name="Tabla35681314223040818284858687888818283848" displayName="Tabla35681314223040818284858687888818283848" ref="AF15:AJ26" totalsRowCount="1" headerRowDxfId="471" dataDxfId="470" totalsRowDxfId="468" tableBorderDxfId="469" dataCellStyle="Millares">
  <autoFilter ref="AF15:AJ25" xr:uid="{00000000-0009-0000-0100-000011000000}"/>
  <tableColumns count="5">
    <tableColumn id="1" xr3:uid="{4098664B-A93F-44F4-B99F-E900F58FACF8}" name="COMISIONES" totalsRowFunction="sum" dataDxfId="467" totalsRowDxfId="466" dataCellStyle="Millares"/>
    <tableColumn id="2" xr3:uid="{636065AF-40B9-4E14-82D6-D988FCCCC6BB}" name="IVA 21" totalsRowFunction="sum" dataDxfId="465" totalsRowDxfId="464" dataCellStyle="Millares">
      <calculatedColumnFormula>Tabla35681314223040818284858687888818283848[[#This Row],[COMISIONES]]*0.21</calculatedColumnFormula>
    </tableColumn>
    <tableColumn id="3" xr3:uid="{58C3FC3D-7C26-4BD2-9179-A3EE3F8FE424}" name="IVA 10,5" totalsRowFunction="sum" dataDxfId="463" totalsRowDxfId="462" dataCellStyle="Millares"/>
    <tableColumn id="4" xr3:uid="{0BC24815-F83F-4BA2-A1B8-FBDF10CA7D2B}" name="Ret IIBB Caba" totalsRowFunction="sum" dataDxfId="461" totalsRowDxfId="460" dataCellStyle="Millares"/>
    <tableColumn id="5" xr3:uid="{CB45919D-A28F-4219-9AA1-288EB7EACDE8}" name="PERC IVA" totalsRowFunction="sum" dataDxfId="459" totalsRowDxfId="458" dataCellStyle="Millares"/>
  </tableColumns>
  <tableStyleInfo name="TableStyleLight8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A15DB48D-097D-4E1E-A44F-6D28A3B6935C}" name="Tabla3915233141919294959697989919293949" displayName="Tabla3915233141919294959697989919293949" ref="H55:L102" totalsRowCount="1" headerRowDxfId="457" dataDxfId="456" totalsRowDxfId="454" tableBorderDxfId="455" dataCellStyle="Millares">
  <autoFilter ref="H55:L101" xr:uid="{00000000-0009-0000-0100-000012000000}"/>
  <tableColumns count="5">
    <tableColumn id="1" xr3:uid="{8FA8DB11-49A2-45F6-A84E-5EC8EC7C362B}" name="COMISIONES" totalsRowFunction="sum" dataDxfId="453" totalsRowDxfId="452" dataCellStyle="Millares"/>
    <tableColumn id="2" xr3:uid="{9D5D39EB-9822-4533-AD4A-A5885E02A9BD}" name="IVA 21" totalsRowFunction="sum" dataDxfId="451" totalsRowDxfId="450" dataCellStyle="Millares">
      <calculatedColumnFormula>Tabla3915233141919294959697989919293949[[#This Row],[COMISIONES]]*0.21</calculatedColumnFormula>
    </tableColumn>
    <tableColumn id="3" xr3:uid="{86611A1F-CC40-4850-9E4D-5C7FDC8F6E8D}" name="IVA 10,5" totalsRowFunction="sum" dataDxfId="449" totalsRowDxfId="448" dataCellStyle="Millares"/>
    <tableColumn id="4" xr3:uid="{F9453957-8C04-4588-8DDD-CC20AA1ADD11}" name="Ret IIBB Caba" totalsRowFunction="sum" dataDxfId="447" totalsRowDxfId="446" dataCellStyle="Millares"/>
    <tableColumn id="5" xr3:uid="{7CCD70DD-318B-4A0B-BB04-2D61F2E66FF0}" name="PERC IVA" totalsRowFunction="sum" dataDxfId="445" totalsRowDxfId="444" dataCellStyle="Millares"/>
  </tableColumns>
  <tableStyleInfo name="TableStyleLight8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394E7371-5E56-4F50-A93C-3105686DBD58}" name="Tabla6122028334210203050607080901020304050" displayName="Tabla6122028334210203050607080901020304050" ref="T65:X123" totalsRowCount="1" headerRowDxfId="443" totalsRowDxfId="442">
  <autoFilter ref="T65:X122" xr:uid="{00000000-0009-0000-0100-000013000000}"/>
  <tableColumns count="5">
    <tableColumn id="1" xr3:uid="{0FC99D84-751B-416C-9850-96F00A6DEABF}" name="COMISIONES" totalsRowFunction="sum" totalsRowDxfId="441"/>
    <tableColumn id="2" xr3:uid="{06821E2E-2049-44C7-BFF3-13179845AAA0}" name="IVA 21" totalsRowFunction="sum" dataDxfId="440" totalsRowDxfId="439">
      <calculatedColumnFormula>Tabla6122028334210203050607080901020304050[[#This Row],[COMISIONES]]*0.21</calculatedColumnFormula>
    </tableColumn>
    <tableColumn id="3" xr3:uid="{4F870946-F282-47D9-B400-BEE065E0A109}" name="IVA 10,5" totalsRowFunction="sum" totalsRowDxfId="438"/>
    <tableColumn id="4" xr3:uid="{5ED784F5-D006-4C8B-AE3C-A4B9081F3D1E}" name="Ret IIBB Caba" totalsRowFunction="sum" totalsRowDxfId="437"/>
    <tableColumn id="5" xr3:uid="{12E1BACF-A44A-4171-A888-DF957DD3D336}" name="PERC IVA" totalsRowFunction="sum" totalsRowDxfId="436"/>
  </tableColumns>
  <tableStyleInfo name="TableStyleLight8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D2C7BB1C-3C83-4F8B-8A75-681450752F3F}" name="Tabla356111927344311213151617181911121314151" displayName="Tabla356111927344311213151617181911121314151" ref="AK15:AO31" totalsRowCount="1" headerRowDxfId="435" dataDxfId="434" totalsRowDxfId="432" tableBorderDxfId="433" dataCellStyle="Millares">
  <autoFilter ref="AK15:AO30" xr:uid="{00000000-0009-0000-0100-000014000000}"/>
  <tableColumns count="5">
    <tableColumn id="1" xr3:uid="{D269DF09-37F2-44AE-8CD3-4E74D6089E0E}" name="COMISIONES" totalsRowFunction="sum" dataDxfId="431" totalsRowDxfId="430" dataCellStyle="Millares"/>
    <tableColumn id="2" xr3:uid="{7C094BE6-7E26-4844-9688-CA5F30DB2523}" name="IVA 21" totalsRowFunction="sum" dataDxfId="429" totalsRowDxfId="428" dataCellStyle="Millares">
      <calculatedColumnFormula>Tabla356111927344311213151617181911121314151[[#This Row],[COMISIONES]]*0.21</calculatedColumnFormula>
    </tableColumn>
    <tableColumn id="3" xr3:uid="{A9855DE8-E478-4939-A95D-35F7344AA39E}" name="IVA 10,5" totalsRowFunction="sum" dataDxfId="427" totalsRowDxfId="426" dataCellStyle="Millares"/>
    <tableColumn id="4" xr3:uid="{F65A972E-AA0A-4566-90D2-54C1FE20939C}" name="Ret IIBB Caba" totalsRowFunction="sum" dataDxfId="425" totalsRowDxfId="424" dataCellStyle="Millares"/>
    <tableColumn id="5" xr3:uid="{A47F5D9B-EEE4-47CF-9F46-A37EBFE04A45}" name="PERC IVA" totalsRowFunction="sum" dataDxfId="423" totalsRowDxfId="422" dataCellStyle="Millares"/>
  </tableColumns>
  <tableStyleInfo name="TableStyleLight8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44B9C4CF-E7DF-425A-8AA8-2A161B8C9BED}" name="Tabla1316243221222335262728221222324252" displayName="Tabla1316243221222335262728221222324252" ref="B15:F61" totalsRowCount="1" headerRowDxfId="421" totalsRowDxfId="420">
  <autoFilter ref="B15:F60" xr:uid="{00000000-0009-0000-0100-00000B000000}"/>
  <tableColumns count="5">
    <tableColumn id="1" xr3:uid="{0F5A2FE3-E81B-4462-B6E3-B2C5EF656983}" name="COMISIONES" totalsRowFunction="sum" dataDxfId="419" totalsRowDxfId="418"/>
    <tableColumn id="2" xr3:uid="{CAC29C26-F699-4747-BA27-17D8D0E99404}" name="IVA 21" totalsRowFunction="sum" dataDxfId="417" totalsRowDxfId="416">
      <calculatedColumnFormula>Tabla1316243221222335262728221222324252[[#This Row],[COMISIONES]]*0.21</calculatedColumnFormula>
    </tableColumn>
    <tableColumn id="3" xr3:uid="{CA4B6832-FBCC-4A49-B50C-5DED6AB17452}" name="IVA 10,5" totalsRowFunction="sum" dataDxfId="415" totalsRowDxfId="414">
      <calculatedColumnFormula>Tabla1316243221222335262728221222324252[[#This Row],[COMISIONES]]*0.105</calculatedColumnFormula>
    </tableColumn>
    <tableColumn id="4" xr3:uid="{7938FC7F-BE66-4445-B839-3CDCFC680893}" name="Ret IIBB Caba" totalsRowFunction="sum" dataDxfId="413" totalsRowDxfId="412"/>
    <tableColumn id="5" xr3:uid="{88D7C94F-5D05-4896-9882-23407A563A5A}" name="PERC IVA" totalsRowFunction="sum" totalsRowDxfId="411"/>
  </tableColumns>
  <tableStyleInfo name="TableStyleLight8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98D3B9DC-941E-413B-B54D-DEFEC6C82882}" name="Tabla3917253531323345363738331323334353" displayName="Tabla3917253531323345363738331323334353" ref="H15:L53" totalsRowCount="1" headerRowDxfId="410" dataDxfId="409" totalsRowDxfId="407" tableBorderDxfId="408" dataCellStyle="Millares">
  <autoFilter ref="H15:L52" xr:uid="{00000000-0009-0000-0100-00000C000000}"/>
  <tableColumns count="5">
    <tableColumn id="1" xr3:uid="{9DE7406D-FDB4-4E72-BB1B-595F97D8CD31}" name="COMISIONES" totalsRowFunction="sum" dataDxfId="406" totalsRowDxfId="405" dataCellStyle="Millares"/>
    <tableColumn id="2" xr3:uid="{C93CCDC1-64BC-49EA-94AA-F875B5522464}" name="IVA 21" totalsRowFunction="sum" dataDxfId="404" totalsRowDxfId="403" dataCellStyle="Millares">
      <calculatedColumnFormula>Tabla3917253531323345363738331323334353[[#This Row],[COMISIONES]]*0.21</calculatedColumnFormula>
    </tableColumn>
    <tableColumn id="3" xr3:uid="{83D331A3-A1F8-4A94-89C1-50417EF6EA9A}" name="IVA 10,5" totalsRowFunction="sum" dataDxfId="402" totalsRowDxfId="401" dataCellStyle="Millares"/>
    <tableColumn id="4" xr3:uid="{68F1BD43-9242-49DD-AB49-323ECF02EC9A}" name="Ret IIBB Caba" totalsRowFunction="sum" dataDxfId="400" totalsRowDxfId="399" dataCellStyle="Millares"/>
    <tableColumn id="5" xr3:uid="{A35BD6BA-EB1D-4FBD-98AE-3DA029CE7B57}" name="PERC IVA" totalsRowFunction="sum" dataDxfId="398" totalsRowDxfId="397" dataCellStyle="Millares"/>
  </tableColumns>
  <tableStyleInfo name="TableStyleLight8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F1B45949-FAF2-42E5-BB3A-683610845488}" name="Tabla351018263641424445464748441424344454" displayName="Tabla351018263641424445464748441424344454" ref="N15:R135" totalsRowCount="1" headerRowDxfId="396" dataDxfId="395" totalsRowDxfId="393" tableBorderDxfId="394" dataCellStyle="Millares">
  <autoFilter ref="N15:R134" xr:uid="{00000000-0009-0000-0100-00000D000000}"/>
  <tableColumns count="5">
    <tableColumn id="1" xr3:uid="{A5DABEFF-DD2B-4D03-8B81-7CE29E364D8F}" name="COMISIONES" totalsRowFunction="sum" dataDxfId="392" totalsRowDxfId="391" dataCellStyle="Millares"/>
    <tableColumn id="2" xr3:uid="{4509CF9C-E27B-4435-8FB1-BF1783A88975}" name="IVA 21" totalsRowFunction="sum" dataDxfId="390" totalsRowDxfId="389" dataCellStyle="Millares">
      <calculatedColumnFormula>Tabla351018263641424445464748441424344454[[#This Row],[COMISIONES]]*0.21</calculatedColumnFormula>
    </tableColumn>
    <tableColumn id="3" xr3:uid="{2BEB10CF-EF5E-44C9-835B-90BDAF8260BC}" name="IVA 10,5" totalsRowFunction="sum" dataDxfId="388" totalsRowDxfId="387" dataCellStyle="Millares"/>
    <tableColumn id="4" xr3:uid="{416D5639-E85D-4247-A42B-7FB47B3FE3D2}" name="Ret IIBB Caba" totalsRowFunction="sum" dataDxfId="386" totalsRowDxfId="385" dataCellStyle="Millares"/>
    <tableColumn id="5" xr3:uid="{621A6CC4-E84C-4C40-98F1-D4119217F0F3}" name="PERC IVA" totalsRowFunction="sum" dataDxfId="384" totalsRowDxfId="383" dataCellStyle="Millares"/>
  </tableColumns>
  <tableStyleInfo name="TableStyleLight8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94311ABE-6CF6-463F-A2EA-04E7BF138829}" name="Tabla3561119273751525455565758551525354555" displayName="Tabla3561119273751525455565758551525354555" ref="T15:X31" totalsRowCount="1" headerRowDxfId="382" dataDxfId="381" totalsRowDxfId="379" tableBorderDxfId="380" dataCellStyle="Millares">
  <autoFilter ref="T15:X30" xr:uid="{00000000-0009-0000-0100-00000E000000}"/>
  <tableColumns count="5">
    <tableColumn id="1" xr3:uid="{CF967A09-4DA9-41E1-AE0D-D73210CF2507}" name="COMISIONES" totalsRowFunction="sum" dataDxfId="378" totalsRowDxfId="377" dataCellStyle="Millares"/>
    <tableColumn id="2" xr3:uid="{F8D603AB-194A-4F9F-82E5-EE94655D9868}" name="IVA 21" totalsRowFunction="sum" dataDxfId="376" totalsRowDxfId="375" dataCellStyle="Millares">
      <calculatedColumnFormula>Tabla3561119273751525455565758551525354555[[#This Row],[COMISIONES]]*0.21</calculatedColumnFormula>
    </tableColumn>
    <tableColumn id="3" xr3:uid="{200B8AE4-6825-4C23-B75F-6CA0A38EF250}" name="IVA 10,5" totalsRowFunction="sum" dataDxfId="374" totalsRowDxfId="373" dataCellStyle="Millares">
      <calculatedColumnFormula>Tabla3561119273751525455565758551525354555[[#This Row],[COMISIONES]]*0.105</calculatedColumnFormula>
    </tableColumn>
    <tableColumn id="4" xr3:uid="{F5364087-9180-4927-BAD7-2E33C145F25B}" name="Ret IIBB Caba" totalsRowFunction="sum" dataDxfId="372" totalsRowDxfId="371" dataCellStyle="Millares"/>
    <tableColumn id="5" xr3:uid="{92CD7B04-9A1E-4168-889D-B421651372C9}" name="PERC IVA" totalsRowFunction="sum" dataDxfId="370" totalsRowDxfId="369" dataCellStyle="Millares"/>
  </tableColumns>
  <tableStyleInfo name="TableStyleLight8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C999AC4C-7B26-4B42-9393-B7535D1A2F3D}" name="Tabla61220283861626465666768661626364656" displayName="Tabla61220283861626465666768661626364656" ref="T33:X62" totalsRowCount="1" headerRowDxfId="368" totalsRowDxfId="367">
  <autoFilter ref="T33:X61" xr:uid="{00000000-0009-0000-0100-00000F000000}"/>
  <tableColumns count="5">
    <tableColumn id="1" xr3:uid="{B36018A1-F0A9-41A7-8210-34115A6E71A5}" name="COMISIONES" totalsRowFunction="sum" totalsRowDxfId="366"/>
    <tableColumn id="2" xr3:uid="{5E0E7FB6-3797-4F96-918A-5AE6E654E05D}" name="IVA 21" totalsRowFunction="sum" dataDxfId="365" totalsRowDxfId="364">
      <calculatedColumnFormula>Tabla61220283861626465666768661626364656[[#This Row],[COMISIONES]]*0.21</calculatedColumnFormula>
    </tableColumn>
    <tableColumn id="3" xr3:uid="{D392D9DE-049D-4691-854B-913B4A7FF1E6}" name="IVA 10,5" totalsRowFunction="sum" totalsRowDxfId="363"/>
    <tableColumn id="4" xr3:uid="{93C35BE2-B3DC-4EE3-9A6A-C1191B080D02}" name="Ret IIBB Caba" totalsRowFunction="sum" totalsRowDxfId="362"/>
    <tableColumn id="5" xr3:uid="{32A30395-AB1E-47B4-8D50-622E7634D367}" name="PERC IVA" totalsRowFunction="sum" totalsRowDxfId="361"/>
  </tableColumns>
  <tableStyleInfo name="TableStyleLight8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F3177AE-BE79-4343-9FBE-774B69E58994}" name="Tabla35681321293971727475767778771727374757" displayName="Tabla35681321293971727475767778771727374757" ref="Z15:AD169" totalsRowCount="1" headerRowDxfId="360" dataDxfId="359" totalsRowDxfId="357" tableBorderDxfId="358" dataCellStyle="Millares">
  <autoFilter ref="Z15:AD168" xr:uid="{00000000-0009-0000-0100-000010000000}"/>
  <tableColumns count="5">
    <tableColumn id="1" xr3:uid="{741B3A14-350D-40CA-B2A2-D889CA21BF48}" name="COMISIONES" totalsRowFunction="sum" dataDxfId="356" totalsRowDxfId="355" dataCellStyle="Millares"/>
    <tableColumn id="2" xr3:uid="{8885D8C7-F22A-46F6-AFCE-ADF43D692215}" name="IVA 21" totalsRowFunction="sum" dataDxfId="354" totalsRowDxfId="353" dataCellStyle="Millares">
      <calculatedColumnFormula>Tabla35681321293971727475767778771727374757[[#This Row],[COMISIONES]]*0.21</calculatedColumnFormula>
    </tableColumn>
    <tableColumn id="3" xr3:uid="{CD1163B2-D503-410A-98A3-121EBB38E8BF}" name="IVA 10,5" totalsRowFunction="sum" dataDxfId="352" totalsRowDxfId="351" dataCellStyle="Millares">
      <calculatedColumnFormula>Tabla35681321293971727475767778771727374757[[#This Row],[COMISIONES]]*0.105</calculatedColumnFormula>
    </tableColumn>
    <tableColumn id="4" xr3:uid="{A5A8BFAB-3A8C-4B64-8E40-1C86290C44EF}" name="Ret IIBB Caba" totalsRowFunction="sum" dataDxfId="350" totalsRowDxfId="349" dataCellStyle="Millares"/>
    <tableColumn id="5" xr3:uid="{C0A98A67-11FC-4AD5-9EAC-402767A8E281}" name="PERC IVA" totalsRowFunction="sum" dataDxfId="348" totalsRowDxfId="347" dataCellStyle="Millares"/>
  </tableColumns>
  <tableStyleInfo name="TableStyleLight8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85448AE9-6D81-4FDB-977A-8A30207D89C6}" name="Tabla3568131422304081828485868788881828384858" displayName="Tabla3568131422304081828485868788881828384858" ref="AF15:AJ26" totalsRowCount="1" headerRowDxfId="346" dataDxfId="345" totalsRowDxfId="343" tableBorderDxfId="344" dataCellStyle="Millares">
  <autoFilter ref="AF15:AJ25" xr:uid="{00000000-0009-0000-0100-000011000000}"/>
  <tableColumns count="5">
    <tableColumn id="1" xr3:uid="{5B1B575C-D538-4B10-900D-D4F569F4DF9A}" name="COMISIONES" totalsRowFunction="sum" dataDxfId="342" totalsRowDxfId="341" dataCellStyle="Millares"/>
    <tableColumn id="2" xr3:uid="{882D38CD-7EC1-4DEA-85D3-1D765BC86316}" name="IVA 21" totalsRowFunction="sum" dataDxfId="340" totalsRowDxfId="339" dataCellStyle="Millares">
      <calculatedColumnFormula>Tabla3568131422304081828485868788881828384858[[#This Row],[COMISIONES]]*0.21</calculatedColumnFormula>
    </tableColumn>
    <tableColumn id="3" xr3:uid="{42BF6732-E934-445B-A734-8A5B5F588A04}" name="IVA 10,5" totalsRowFunction="sum" dataDxfId="338" totalsRowDxfId="337" dataCellStyle="Millares"/>
    <tableColumn id="4" xr3:uid="{3A4903BA-000A-4752-9E16-BC88C68BC2B8}" name="Ret IIBB Caba" totalsRowFunction="sum" dataDxfId="336" totalsRowDxfId="335" dataCellStyle="Millares"/>
    <tableColumn id="5" xr3:uid="{54C98BCE-9AAB-4712-AE9E-24521BA22CFB}" name="PERC IVA" totalsRowFunction="sum" dataDxfId="334" totalsRowDxfId="333" dataCellStyle="Millares"/>
  </tableColumns>
  <tableStyleInfo name="TableStyleLight8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7F18D25-B9F0-4B59-8F17-0E4BCA69ED65}" name="Tabla391523314191929495969798991929394959" displayName="Tabla391523314191929495969798991929394959" ref="H55:L102" totalsRowCount="1" headerRowDxfId="332" dataDxfId="331" totalsRowDxfId="329" tableBorderDxfId="330" dataCellStyle="Millares">
  <autoFilter ref="H55:L101" xr:uid="{00000000-0009-0000-0100-000012000000}"/>
  <tableColumns count="5">
    <tableColumn id="1" xr3:uid="{3E38704E-215E-4017-8CDF-EE7F019F7E5E}" name="COMISIONES" totalsRowFunction="sum" dataDxfId="328" totalsRowDxfId="327" dataCellStyle="Millares"/>
    <tableColumn id="2" xr3:uid="{EA8AEC87-FA48-4160-B45B-F255C62854F5}" name="IVA 21" totalsRowFunction="sum" dataDxfId="326" totalsRowDxfId="325" dataCellStyle="Millares">
      <calculatedColumnFormula>Tabla391523314191929495969798991929394959[[#This Row],[COMISIONES]]*0.21</calculatedColumnFormula>
    </tableColumn>
    <tableColumn id="3" xr3:uid="{7186237B-D6AE-4093-A33E-481A8B9E7EAD}" name="IVA 10,5" totalsRowFunction="sum" dataDxfId="324" totalsRowDxfId="323" dataCellStyle="Millares"/>
    <tableColumn id="4" xr3:uid="{033A9524-CAD5-4BD7-A7AC-82D37FEA2A3B}" name="Ret IIBB Caba" totalsRowFunction="sum" dataDxfId="322" totalsRowDxfId="321" dataCellStyle="Millares"/>
    <tableColumn id="5" xr3:uid="{AA58C025-7C16-4310-9262-3D0D1595AEF8}" name="PERC IVA" totalsRowFunction="sum" dataDxfId="320" totalsRowDxfId="319" dataCellStyle="Millares"/>
  </tableColumns>
  <tableStyleInfo name="TableStyleLight8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7D135F84-6FE8-4F4D-86C0-A0E9D6E4230B}" name="Tabla612202833421020305060708090102030405060" displayName="Tabla612202833421020305060708090102030405060" ref="T65:X253" totalsRowCount="1" headerRowDxfId="318" totalsRowDxfId="317">
  <autoFilter ref="T65:X252" xr:uid="{00000000-0009-0000-0100-000013000000}"/>
  <tableColumns count="5">
    <tableColumn id="1" xr3:uid="{2B9CE802-6662-4ABE-9FBA-D0F80B721ECB}" name="COMISIONES" totalsRowFunction="sum" totalsRowDxfId="316"/>
    <tableColumn id="2" xr3:uid="{B959B306-F7A6-4E3F-8C32-9BD828287EF0}" name="IVA 21" totalsRowFunction="sum" dataDxfId="315" totalsRowDxfId="314">
      <calculatedColumnFormula>Tabla612202833421020305060708090102030405060[[#This Row],[COMISIONES]]*0.21</calculatedColumnFormula>
    </tableColumn>
    <tableColumn id="3" xr3:uid="{75A64562-4264-4405-A4D3-3654C2A85609}" name="IVA 10,5" totalsRowFunction="sum" totalsRowDxfId="313"/>
    <tableColumn id="4" xr3:uid="{5C828CB5-9353-4D99-B0ED-EF6C6FB363EE}" name="Ret IIBB Caba" totalsRowFunction="sum" totalsRowDxfId="312"/>
    <tableColumn id="5" xr3:uid="{671A15D0-21A1-443C-ACD4-8ED362F4084F}" name="PERC IVA" totalsRowFunction="sum" totalsRowDxfId="311"/>
  </tableColumns>
  <tableStyleInfo name="TableStyleLight8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129CB311-6FBF-4223-B415-48FE97BB22FA}" name="Tabla35611192734431121315161718191112131415161" displayName="Tabla35611192734431121315161718191112131415161" ref="AK15:AO31" totalsRowCount="1" headerRowDxfId="310" dataDxfId="309" totalsRowDxfId="307" tableBorderDxfId="308" dataCellStyle="Millares">
  <autoFilter ref="AK15:AO30" xr:uid="{00000000-0009-0000-0100-000014000000}"/>
  <tableColumns count="5">
    <tableColumn id="1" xr3:uid="{A5E14D59-5A08-4118-AB62-48B3165A9E75}" name="COMISIONES" totalsRowFunction="sum" dataDxfId="306" totalsRowDxfId="305" dataCellStyle="Millares"/>
    <tableColumn id="2" xr3:uid="{45185ACC-0FDD-4102-8F93-307643B60E2C}" name="IVA 21" totalsRowFunction="sum" dataDxfId="304" totalsRowDxfId="303" dataCellStyle="Millares">
      <calculatedColumnFormula>Tabla35611192734431121315161718191112131415161[[#This Row],[COMISIONES]]*0.21</calculatedColumnFormula>
    </tableColumn>
    <tableColumn id="3" xr3:uid="{520859AF-F829-4155-BD8D-110D7C471F91}" name="IVA 10,5" totalsRowFunction="sum" dataDxfId="302" totalsRowDxfId="301" dataCellStyle="Millares"/>
    <tableColumn id="4" xr3:uid="{35074EA0-0E1A-4CE7-B11C-9E5873964196}" name="Ret IIBB Caba" totalsRowFunction="sum" dataDxfId="300" totalsRowDxfId="299" dataCellStyle="Millares"/>
    <tableColumn id="5" xr3:uid="{6511EB41-B1F0-4CB0-805E-0F97ED5F503D}" name="PERC IVA" totalsRowFunction="sum" dataDxfId="298" totalsRowDxfId="297" dataCellStyle="Millares"/>
  </tableColumns>
  <tableStyleInfo name="TableStyleLight8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659FAF6A-A7E1-4EAC-A2F9-B7486B5261F2}" name="Tabla131624322122233526272822122232425262" displayName="Tabla131624322122233526272822122232425262" ref="B11:F57" totalsRowCount="1" headerRowDxfId="296" totalsRowDxfId="295">
  <autoFilter ref="B11:F56" xr:uid="{00000000-0009-0000-0100-00000B000000}"/>
  <tableColumns count="5">
    <tableColumn id="1" xr3:uid="{DC1CA920-9709-45EE-8C20-DE4A61739C6A}" name="COMISIONES" totalsRowFunction="sum" dataDxfId="294" totalsRowDxfId="293"/>
    <tableColumn id="2" xr3:uid="{A28E69EB-3135-44AF-B89F-888C493AF935}" name="IVA 21" totalsRowFunction="sum" dataDxfId="292" totalsRowDxfId="291">
      <calculatedColumnFormula>Tabla131624322122233526272822122232425262[[#This Row],[COMISIONES]]*0.21</calculatedColumnFormula>
    </tableColumn>
    <tableColumn id="3" xr3:uid="{FB2E2103-F081-4066-9E8E-5D9909C46767}" name="IVA 10,5" totalsRowFunction="sum" dataDxfId="290" totalsRowDxfId="289">
      <calculatedColumnFormula>Tabla131624322122233526272822122232425262[[#This Row],[COMISIONES]]*0.105</calculatedColumnFormula>
    </tableColumn>
    <tableColumn id="4" xr3:uid="{ABB97589-BADB-4AF9-AEFC-CAFC63ED9A7C}" name="Ret IIBB Caba" totalsRowFunction="sum" dataDxfId="288" totalsRowDxfId="287"/>
    <tableColumn id="5" xr3:uid="{D5F38200-C11C-4A14-A361-058FF30D9C68}" name="PERC IVA" totalsRowFunction="sum" totalsRowDxfId="286"/>
  </tableColumns>
  <tableStyleInfo name="TableStyleLight8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2D4FA8A6-41FF-4AB6-B85B-20DA76E1D4DF}" name="Tabla35101826364142444546474844142434445464" displayName="Tabla35101826364142444546474844142434445464" ref="I11:M131" totalsRowCount="1" headerRowDxfId="285" dataDxfId="284" totalsRowDxfId="282" tableBorderDxfId="283" dataCellStyle="Millares">
  <autoFilter ref="I11:M130" xr:uid="{00000000-0009-0000-0100-00000D000000}"/>
  <tableColumns count="5">
    <tableColumn id="1" xr3:uid="{7541598A-1776-488A-9BC4-DB0F65FF7582}" name="COMISIONES" totalsRowFunction="sum" dataDxfId="281" totalsRowDxfId="280" dataCellStyle="Millares"/>
    <tableColumn id="2" xr3:uid="{6CB41DE6-3F63-468A-869F-B33394ACFD08}" name="IVA 21" totalsRowFunction="sum" dataDxfId="279" totalsRowDxfId="278" dataCellStyle="Millares">
      <calculatedColumnFormula>Tabla35101826364142444546474844142434445464[[#This Row],[COMISIONES]]*0.21</calculatedColumnFormula>
    </tableColumn>
    <tableColumn id="3" xr3:uid="{91505D2C-9127-44E7-9C42-E1E553B5693F}" name="IVA 10,5" totalsRowFunction="sum" dataDxfId="277" dataCellStyle="Millares"/>
    <tableColumn id="4" xr3:uid="{D8402622-F8AE-444A-894D-3DD822B7F56E}" name="Ret IIBB Caba" totalsRowFunction="sum" dataDxfId="276" totalsRowDxfId="275" dataCellStyle="Millares"/>
    <tableColumn id="5" xr3:uid="{DA430EEA-1529-4802-A0B4-AF0CB28512FA}" name="PERC IVA" totalsRowFunction="sum" dataDxfId="274" totalsRowDxfId="273" dataCellStyle="Millares"/>
  </tableColumns>
  <tableStyleInfo name="TableStyleLight8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D4BF4D43-2268-4047-BD1D-B85C72C225EA}" name="Tabla356813142230408182848586878888182838485868" displayName="Tabla356813142230408182848586878888182838485868" ref="O11:S64" totalsRowCount="1" headerRowDxfId="272" dataDxfId="271" totalsRowDxfId="269" tableBorderDxfId="270" dataCellStyle="Millares">
  <autoFilter ref="O11:S63" xr:uid="{00000000-0009-0000-0100-000011000000}"/>
  <tableColumns count="5">
    <tableColumn id="1" xr3:uid="{69F3EF36-3F91-4DAE-A5A0-189072BEAA39}" name="COMISIONES" totalsRowFunction="sum" dataDxfId="268" totalsRowDxfId="267" dataCellStyle="Millares"/>
    <tableColumn id="2" xr3:uid="{49FD5E8B-36D7-4342-88B9-EEC9EBCF0EE5}" name="IVA 21" totalsRowFunction="sum" dataDxfId="266" totalsRowDxfId="265" dataCellStyle="Millares">
      <calculatedColumnFormula>Tabla356813142230408182848586878888182838485868[[#This Row],[COMISIONES]]*0.21</calculatedColumnFormula>
    </tableColumn>
    <tableColumn id="3" xr3:uid="{446CCB92-09D3-482C-A3BD-776DDAE1B2BD}" name="IVA 10,5" totalsRowFunction="sum" dataDxfId="264" totalsRowDxfId="263" dataCellStyle="Millares"/>
    <tableColumn id="4" xr3:uid="{64349763-C5BF-4D09-8FF6-B39006950D8C}" name="Ret IIBB Caba" totalsRowFunction="sum" dataDxfId="262" totalsRowDxfId="261" dataCellStyle="Millares"/>
    <tableColumn id="5" xr3:uid="{1A52493A-651C-40C7-9D07-FB054F01E592}" name="PERC IVA" totalsRowFunction="sum" dataDxfId="260" totalsRowDxfId="259" dataCellStyle="Millares"/>
  </tableColumns>
  <tableStyleInfo name="TableStyleLight8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AEADC1FC-467E-4A96-A3AC-91F1BF2EE3F5}" name="Tabla3561119273443112131516171819111213141516171" displayName="Tabla3561119273443112131516171819111213141516171" ref="U11:Y51" totalsRowCount="1" headerRowDxfId="258" dataDxfId="257" totalsRowDxfId="255" tableBorderDxfId="256" dataCellStyle="Millares">
  <autoFilter ref="U11:Y50" xr:uid="{00000000-0009-0000-0100-000014000000}"/>
  <tableColumns count="5">
    <tableColumn id="1" xr3:uid="{F0DD15C7-4B2C-4E6A-A00C-BA8078DC8BA9}" name="COMISIONES" totalsRowFunction="sum" dataDxfId="254" totalsRowDxfId="253" dataCellStyle="Millares"/>
    <tableColumn id="2" xr3:uid="{B8C4F1B5-B6E3-4424-891A-B6F510707B48}" name="IVA 21" totalsRowFunction="sum" dataDxfId="252" totalsRowDxfId="251" dataCellStyle="Millares">
      <calculatedColumnFormula>Tabla3561119273443112131516171819111213141516171[[#This Row],[COMISIONES]]*0.21</calculatedColumnFormula>
    </tableColumn>
    <tableColumn id="3" xr3:uid="{12F151D3-92CA-4F69-B6DF-3B30A998BD5C}" name="IVA 10,5" totalsRowFunction="sum" dataDxfId="250" totalsRowDxfId="249" dataCellStyle="Millares"/>
    <tableColumn id="4" xr3:uid="{A378DCCA-18A9-4D62-91D0-3DFEEF10F33A}" name="Ret IIBB Caba" totalsRowFunction="sum" dataDxfId="248" totalsRowDxfId="247" dataCellStyle="Millares"/>
    <tableColumn id="5" xr3:uid="{09B8FA1F-77A0-4D06-86D3-D124DFA74CC1}" name="PERC IVA" totalsRowFunction="sum" dataDxfId="246" totalsRowDxfId="245" dataCellStyle="Millares"/>
  </tableColumns>
  <tableStyleInfo name="TableStyleLight8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4338895A-B9B3-47FE-87EA-0BF529E98819}" name="Tabla73" displayName="Tabla73" ref="AA11:AE27" totalsRowCount="1" headerRowDxfId="244" dataCellStyle="Millares">
  <autoFilter ref="AA11:AE26" xr:uid="{4338895A-B9B3-47FE-87EA-0BF529E98819}"/>
  <tableColumns count="5">
    <tableColumn id="1" xr3:uid="{7F4B7246-67C3-469F-BAAC-7CA46366261A}" name="COMISIONES" totalsRowFunction="custom" totalsRowDxfId="243" dataCellStyle="Millares">
      <totalsRowFormula>SUM(Tabla73[COMISIONES])</totalsRowFormula>
    </tableColumn>
    <tableColumn id="2" xr3:uid="{3077B4FE-A93D-469E-87EF-3A1479C5D49F}" name="IVA 21" totalsRowFunction="custom" dataDxfId="242" totalsRowDxfId="241" dataCellStyle="Millares">
      <calculatedColumnFormula>Tabla73[[#This Row],[COMISIONES]]*0.21</calculatedColumnFormula>
      <totalsRowFormula>SUM(Tabla73[IVA 21])</totalsRowFormula>
    </tableColumn>
    <tableColumn id="3" xr3:uid="{3567931F-37CE-43FD-B0D6-B7D721B2F5F7}" name="IVA 10,5" totalsRowFunction="custom" totalsRowDxfId="240" dataCellStyle="Millares">
      <totalsRowFormula>SUM(Tabla73[IVA 10,5])</totalsRowFormula>
    </tableColumn>
    <tableColumn id="4" xr3:uid="{02CEC5DF-2152-48D7-8342-C288A6608D23}" name="Ret IIBB Caba" totalsRowFunction="custom" totalsRowDxfId="239" dataCellStyle="Millares">
      <totalsRowFormula>SUM(Tabla73[Ret IIBB Caba])</totalsRowFormula>
    </tableColumn>
    <tableColumn id="5" xr3:uid="{70ADA41B-2263-4521-927E-E8E2836C2233}" name="PERC IVA" totalsRowFunction="custom" totalsRowDxfId="238" dataCellStyle="Millares">
      <totalsRowFormula>SUM(Tabla73[PERC IVA])</totalsRowFormula>
    </tableColumn>
  </tableColumns>
  <tableStyleInfo name="TableStyleLight8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F81EBFAA-8663-4EA6-8062-83A69DB71E61}" name="Tabla13162432212223352627282212223242526263" displayName="Tabla13162432212223352627282212223242526263" ref="B11:F57" totalsRowCount="1" headerRowDxfId="237" totalsRowDxfId="236">
  <autoFilter ref="B11:F56" xr:uid="{00000000-0009-0000-0100-00000B000000}"/>
  <tableColumns count="5">
    <tableColumn id="1" xr3:uid="{753960C3-3863-45DB-A9B2-5B05AFDF7EE1}" name="COMISIONES" totalsRowFunction="sum" dataDxfId="235" totalsRowDxfId="234"/>
    <tableColumn id="2" xr3:uid="{7DB3234C-27DB-4511-844A-96BFB1A9AC0E}" name="IVA 21" totalsRowFunction="sum" dataDxfId="233" totalsRowDxfId="232">
      <calculatedColumnFormula>Tabla13162432212223352627282212223242526263[[#This Row],[COMISIONES]]*0.21</calculatedColumnFormula>
    </tableColumn>
    <tableColumn id="3" xr3:uid="{638F2EEB-2312-4DA0-8C33-0140F2E7E3E6}" name="IVA 10,5" totalsRowFunction="sum" dataDxfId="231" totalsRowDxfId="230">
      <calculatedColumnFormula>Tabla13162432212223352627282212223242526263[[#This Row],[COMISIONES]]*0.105</calculatedColumnFormula>
    </tableColumn>
    <tableColumn id="4" xr3:uid="{AC8CA765-A4D2-46B2-AFC8-E5C856AAA9B7}" name="Ret IIBB Caba" totalsRowFunction="sum" dataDxfId="229" totalsRowDxfId="228"/>
    <tableColumn id="5" xr3:uid="{D54ED8B2-BE20-4C14-BC1A-FE979B2B44E0}" name="PERC IVA" totalsRowFunction="sum" totalsRowDxfId="227"/>
  </tableColumns>
  <tableStyleInfo name="TableStyleLight8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D9C6887D-B292-4D49-A662-DF4A8BDC5676}" name="Tabla3510182636414244454647484414243444546465" displayName="Tabla3510182636414244454647484414243444546465" ref="I11:M131" totalsRowCount="1" headerRowDxfId="226" dataDxfId="225" totalsRowDxfId="223" tableBorderDxfId="224" dataCellStyle="Millares">
  <autoFilter ref="I11:M130" xr:uid="{00000000-0009-0000-0100-00000D000000}"/>
  <tableColumns count="5">
    <tableColumn id="1" xr3:uid="{EA1FC995-BB0C-4E75-875D-5707804D6AAF}" name="COMISIONES" totalsRowFunction="sum" dataDxfId="222" totalsRowDxfId="221" dataCellStyle="Millares"/>
    <tableColumn id="2" xr3:uid="{1CC8D1C7-C4B2-4C49-8DAC-46386E9275D6}" name="IVA 21" totalsRowFunction="sum" dataDxfId="220" totalsRowDxfId="219" dataCellStyle="Millares">
      <calculatedColumnFormula>Tabla3510182636414244454647484414243444546465[[#This Row],[COMISIONES]]*0.21</calculatedColumnFormula>
    </tableColumn>
    <tableColumn id="3" xr3:uid="{154A7E30-E513-44BB-81DC-92A5247AB693}" name="IVA 10,5" totalsRowFunction="sum" dataDxfId="218" totalsRowDxfId="217" dataCellStyle="Millares"/>
    <tableColumn id="4" xr3:uid="{9235B16B-E75E-413F-8B07-CB906352F40B}" name="Ret IIBB Caba" totalsRowFunction="sum" dataDxfId="216" totalsRowDxfId="215" dataCellStyle="Millares"/>
    <tableColumn id="5" xr3:uid="{FFD63776-FE53-4296-99FB-DD6091CF6E81}" name="PERC IVA" totalsRowFunction="sum" dataDxfId="214" totalsRowDxfId="213" dataCellStyle="Millares"/>
  </tableColumns>
  <tableStyleInfo name="TableStyleLight8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87CACA00-C9B2-4105-A566-E04DC7621FBE}" name="Tabla35681314223040818284858687888818283848586866" displayName="Tabla35681314223040818284858687888818283848586866" ref="O11:S77" totalsRowCount="1" headerRowDxfId="212" dataDxfId="211" totalsRowDxfId="209" tableBorderDxfId="210" dataCellStyle="Millares">
  <autoFilter ref="O11:S76" xr:uid="{00000000-0009-0000-0100-000011000000}"/>
  <tableColumns count="5">
    <tableColumn id="1" xr3:uid="{018B8150-FE40-43B3-8A9E-CBBBD14B3423}" name="COMISIONES" totalsRowFunction="sum" dataDxfId="208" totalsRowDxfId="207" dataCellStyle="Millares"/>
    <tableColumn id="2" xr3:uid="{B5FD279E-DC4E-4E8B-A2EF-EC8750B1987B}" name="IVA 21" totalsRowFunction="sum" dataDxfId="206" totalsRowDxfId="205" dataCellStyle="Millares">
      <calculatedColumnFormula>Tabla35681314223040818284858687888818283848586866[[#This Row],[COMISIONES]]*0.21</calculatedColumnFormula>
    </tableColumn>
    <tableColumn id="3" xr3:uid="{4A6F149F-C516-4DC7-9856-98B713CBE1F2}" name="IVA 10,5" totalsRowFunction="sum" dataDxfId="204" totalsRowDxfId="203" dataCellStyle="Millares"/>
    <tableColumn id="4" xr3:uid="{87CEE4F6-0BC6-4A58-8F24-6820FD4A8198}" name="Ret IIBB Caba" totalsRowFunction="sum" dataDxfId="202" totalsRowDxfId="201" dataCellStyle="Millares"/>
    <tableColumn id="5" xr3:uid="{E24C0640-EE12-4E00-848C-12AF359D890C}" name="PERC IVA" totalsRowFunction="sum" dataDxfId="200" totalsRowDxfId="199" dataCellStyle="Millares"/>
  </tableColumns>
  <tableStyleInfo name="TableStyleLight8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97C04423-0E8E-429A-B63F-4FA39FE301F5}" name="Tabla356111927344311213151617181911121314151617167" displayName="Tabla356111927344311213151617181911121314151617167" ref="U11:Y51" totalsRowCount="1" headerRowDxfId="198" dataDxfId="197" totalsRowDxfId="195" tableBorderDxfId="196" dataCellStyle="Millares">
  <autoFilter ref="U11:Y50" xr:uid="{00000000-0009-0000-0100-000014000000}"/>
  <tableColumns count="5">
    <tableColumn id="1" xr3:uid="{D08C2F1B-1FC6-432F-92C5-750D07EA71B8}" name="COMISIONES" totalsRowFunction="sum" dataDxfId="194" totalsRowDxfId="193" dataCellStyle="Millares"/>
    <tableColumn id="2" xr3:uid="{7CDB88B7-C87A-485C-90C6-1AD3461A607E}" name="IVA 21" totalsRowFunction="sum" dataDxfId="192" totalsRowDxfId="191" dataCellStyle="Millares">
      <calculatedColumnFormula>Tabla356111927344311213151617181911121314151617167[[#This Row],[COMISIONES]]*0.21</calculatedColumnFormula>
    </tableColumn>
    <tableColumn id="3" xr3:uid="{061915E1-0E36-4F7C-AC97-DF495E42FF12}" name="IVA 10,5" totalsRowFunction="sum" dataDxfId="190" dataCellStyle="Millares"/>
    <tableColumn id="4" xr3:uid="{B5255BD9-8EA2-4633-9F17-2D6C1331E71F}" name="Ret IIBB Caba" totalsRowFunction="sum" dataDxfId="189" totalsRowDxfId="188" dataCellStyle="Millares"/>
    <tableColumn id="5" xr3:uid="{F7372EC0-7516-47BE-BB66-BA1D912FF95B}" name="PERC IVA" totalsRowFunction="sum" dataDxfId="187" totalsRowDxfId="186" dataCellStyle="Millares"/>
  </tableColumns>
  <tableStyleInfo name="TableStyleLight8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BE372174-E718-43BD-929B-19E7062A495F}" name="Tabla7369" displayName="Tabla7369" ref="AA11:AE27" totalsRowCount="1" headerRowDxfId="185" dataCellStyle="Millares">
  <autoFilter ref="AA11:AE26" xr:uid="{4338895A-B9B3-47FE-87EA-0BF529E98819}"/>
  <tableColumns count="5">
    <tableColumn id="1" xr3:uid="{B7AC9664-81D8-4D9D-90E6-140B763A1C10}" name="COMISIONES" totalsRowFunction="custom" totalsRowDxfId="184" dataCellStyle="Millares">
      <totalsRowFormula>SUM(Tabla7369[COMISIONES])</totalsRowFormula>
    </tableColumn>
    <tableColumn id="2" xr3:uid="{93BF5125-EF3F-46A2-80C5-0EBDFFE88734}" name="IVA 21" totalsRowFunction="custom" dataDxfId="183" totalsRowDxfId="182" dataCellStyle="Millares">
      <calculatedColumnFormula>Tabla7369[[#This Row],[COMISIONES]]*0.21</calculatedColumnFormula>
      <totalsRowFormula>SUM(Tabla7369[IVA 21])</totalsRowFormula>
    </tableColumn>
    <tableColumn id="3" xr3:uid="{5ADACD44-86DD-43F7-9BA8-33992BADCD67}" name="IVA 10,5" totalsRowFunction="custom" totalsRowDxfId="181" dataCellStyle="Millares">
      <totalsRowFormula>SUM(Tabla7369[IVA 10,5])</totalsRowFormula>
    </tableColumn>
    <tableColumn id="4" xr3:uid="{C159DE3F-92E5-40ED-B65B-B09306B66BB4}" name="Ret IIBB Caba" totalsRowFunction="custom" totalsRowDxfId="180" dataCellStyle="Millares">
      <totalsRowFormula>SUM(Tabla7369[Ret IIBB Caba])</totalsRowFormula>
    </tableColumn>
    <tableColumn id="5" xr3:uid="{EBE82C81-45C0-4C58-A563-53658733B935}" name="PERC IVA" totalsRowFunction="custom" totalsRowDxfId="179" dataCellStyle="Millares">
      <totalsRowFormula>SUM(Tabla7369[PERC IVA])</totalsRowFormula>
    </tableColumn>
  </tableColumns>
  <tableStyleInfo name="TableStyleLight8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B314AD9B-698B-43B4-A48C-D354E716C280}" name="Tabla1316243221222335262728221222324252626370" displayName="Tabla1316243221222335262728221222324252626370" ref="B11:F57" totalsRowCount="1" headerRowDxfId="178" totalsRowDxfId="177">
  <autoFilter ref="B11:F56" xr:uid="{00000000-0009-0000-0100-00000B000000}"/>
  <tableColumns count="5">
    <tableColumn id="1" xr3:uid="{B1713C10-F9C0-48EC-851F-321279E52187}" name="COMISIONES" totalsRowFunction="sum" dataDxfId="176" totalsRowDxfId="175"/>
    <tableColumn id="2" xr3:uid="{85848C9A-E677-4445-B9AA-AF52251B7BA5}" name="IVA 21" totalsRowFunction="sum" dataDxfId="174" totalsRowDxfId="173">
      <calculatedColumnFormula>Tabla1316243221222335262728221222324252626370[[#This Row],[COMISIONES]]*0.21</calculatedColumnFormula>
    </tableColumn>
    <tableColumn id="3" xr3:uid="{59EA4CB1-5F43-402F-92BA-E68AFD0699D2}" name="IVA 10,5" totalsRowFunction="sum" dataDxfId="172" totalsRowDxfId="171">
      <calculatedColumnFormula>Tabla1316243221222335262728221222324252626370[[#This Row],[COMISIONES]]*0.105</calculatedColumnFormula>
    </tableColumn>
    <tableColumn id="4" xr3:uid="{6F10FDFA-1D6D-4CA7-BCE3-B80468C4FD0C}" name="Ret IIBB Caba" totalsRowFunction="sum" dataDxfId="170" totalsRowDxfId="169"/>
    <tableColumn id="5" xr3:uid="{95CF7916-233A-4CEF-803E-3CB430B5D65F}" name="PERC IVA" totalsRowFunction="sum" totalsRowDxfId="168"/>
  </tableColumns>
  <tableStyleInfo name="TableStyleLight8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4406CC4-6D0C-4D3E-932B-253AA7F408EB}" name="Tabla351018263641424445464748441424344454646572" displayName="Tabla351018263641424445464748441424344454646572" ref="I11:M131" totalsRowCount="1" headerRowDxfId="167" dataDxfId="166" totalsRowDxfId="164" tableBorderDxfId="165" dataCellStyle="Millares">
  <autoFilter ref="I11:M130" xr:uid="{00000000-0009-0000-0100-00000D000000}"/>
  <tableColumns count="5">
    <tableColumn id="1" xr3:uid="{973AF4C0-EEAD-4722-AB19-D2D42DAB0BC5}" name="COMISIONES" totalsRowFunction="sum" dataDxfId="163" totalsRowDxfId="162" dataCellStyle="Millares"/>
    <tableColumn id="2" xr3:uid="{22F634F4-B0D8-467E-A6D5-AF3CA2AFE510}" name="IVA 21" totalsRowFunction="sum" dataDxfId="161" totalsRowDxfId="160" dataCellStyle="Millares">
      <calculatedColumnFormula>Tabla351018263641424445464748441424344454646572[[#This Row],[COMISIONES]]*0.21</calculatedColumnFormula>
    </tableColumn>
    <tableColumn id="3" xr3:uid="{3A9684AC-BE0C-493B-B0D3-00AFEB25A92E}" name="IVA 10,5" totalsRowFunction="sum" dataDxfId="159" totalsRowDxfId="158" dataCellStyle="Millares"/>
    <tableColumn id="4" xr3:uid="{CDB75508-BF63-41D2-82AB-C579BD80A26A}" name="Ret IIBB Caba" totalsRowFunction="sum" dataDxfId="157" totalsRowDxfId="156" dataCellStyle="Millares"/>
    <tableColumn id="5" xr3:uid="{12FDB491-A697-43A4-9332-AACC774B168F}" name="PERC IVA" totalsRowFunction="sum" dataDxfId="155" totalsRowDxfId="154" dataCellStyle="Millares"/>
  </tableColumns>
  <tableStyleInfo name="TableStyleLight8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E509B228-BBBD-4D90-9E34-3225F600A4FE}" name="Tabla3568131422304081828485868788881828384858686673" displayName="Tabla3568131422304081828485868788881828384858686673" ref="O11:S77" totalsRowCount="1" headerRowDxfId="153" dataDxfId="152" totalsRowDxfId="150" tableBorderDxfId="151" dataCellStyle="Millares">
  <autoFilter ref="O11:S76" xr:uid="{00000000-0009-0000-0100-000011000000}"/>
  <tableColumns count="5">
    <tableColumn id="1" xr3:uid="{590AFF48-8FC3-4507-A9BC-1BCB0B67E045}" name="COMISIONES" totalsRowFunction="sum" dataDxfId="149" totalsRowDxfId="148" dataCellStyle="Millares"/>
    <tableColumn id="2" xr3:uid="{517A4CAD-0B0B-4B23-9CD4-8110112BA6B8}" name="IVA 21" totalsRowFunction="sum" dataDxfId="147" totalsRowDxfId="146" dataCellStyle="Millares">
      <calculatedColumnFormula>Tabla3568131422304081828485868788881828384858686673[[#This Row],[COMISIONES]]*0.21</calculatedColumnFormula>
    </tableColumn>
    <tableColumn id="3" xr3:uid="{F972106A-1F10-4F19-8E1C-43E0D6CA8CDA}" name="IVA 10,5" totalsRowFunction="sum" dataDxfId="145" dataCellStyle="Millares"/>
    <tableColumn id="4" xr3:uid="{BD5EE419-E4E0-4E09-80C9-C847BD53148F}" name="Ret IIBB Caba" totalsRowFunction="sum" dataDxfId="144" totalsRowDxfId="143" dataCellStyle="Millares"/>
    <tableColumn id="5" xr3:uid="{6C23780E-D070-47D0-B989-F04D152D7642}" name="PERC IVA" totalsRowFunction="sum" dataDxfId="142" totalsRowDxfId="141" dataCellStyle="Millares"/>
  </tableColumns>
  <tableStyleInfo name="TableStyleLight8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AF93A268-467E-49DD-8F97-EDAFAAFC36E4}" name="Tabla35611192734431121315161718191112131415161716775" displayName="Tabla35611192734431121315161718191112131415161716775" ref="U11:Y51" totalsRowCount="1" headerRowDxfId="140" dataDxfId="139" totalsRowDxfId="137" tableBorderDxfId="138" dataCellStyle="Millares">
  <autoFilter ref="U11:Y50" xr:uid="{00000000-0009-0000-0100-000014000000}"/>
  <tableColumns count="5">
    <tableColumn id="1" xr3:uid="{A837B3D1-FA89-4A0F-BFD2-A5B0F4C3EA05}" name="COMISIONES" totalsRowFunction="sum" dataDxfId="136" totalsRowDxfId="135" dataCellStyle="Millares"/>
    <tableColumn id="2" xr3:uid="{3CFB0157-9BEC-4BB8-8D41-2A00B9C7A851}" name="IVA 21" totalsRowFunction="sum" dataDxfId="134" totalsRowDxfId="133" dataCellStyle="Millares">
      <calculatedColumnFormula>Tabla35611192734431121315161718191112131415161716775[[#This Row],[COMISIONES]]*0.21</calculatedColumnFormula>
    </tableColumn>
    <tableColumn id="3" xr3:uid="{81FF8218-1E22-4269-9795-41D7D62233D4}" name="IVA 10,5" totalsRowFunction="sum" dataDxfId="132" totalsRowDxfId="131" dataCellStyle="Millares"/>
    <tableColumn id="4" xr3:uid="{35D21767-CEB2-424C-9B2A-8C6C910BCF11}" name="Ret IIBB Caba" totalsRowFunction="sum" dataDxfId="130" totalsRowDxfId="129" dataCellStyle="Millares"/>
    <tableColumn id="5" xr3:uid="{BC051E83-D39A-494A-A551-B9B21A78B598}" name="PERC IVA" totalsRowFunction="sum" dataDxfId="128" totalsRowDxfId="127" dataCellStyle="Millares"/>
  </tableColumns>
  <tableStyleInfo name="TableStyleLight8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3DBCAB9F-9A2E-487A-91FB-0CB6BD3FDBC1}" name="Tabla736976" displayName="Tabla736976" ref="AA11:AE27" totalsRowCount="1" headerRowDxfId="126" dataCellStyle="Millares">
  <autoFilter ref="AA11:AE26" xr:uid="{4338895A-B9B3-47FE-87EA-0BF529E98819}"/>
  <tableColumns count="5">
    <tableColumn id="1" xr3:uid="{9EE18FD3-199F-470D-A4FC-6497E4AA9F7A}" name="COMISIONES" totalsRowFunction="custom" totalsRowDxfId="125" dataCellStyle="Millares">
      <totalsRowFormula>SUM(Tabla736976[COMISIONES])</totalsRowFormula>
    </tableColumn>
    <tableColumn id="2" xr3:uid="{AD4C7A61-878F-4EB0-B2BD-E369AA957A8A}" name="IVA 21" totalsRowFunction="custom" dataDxfId="124" totalsRowDxfId="123" dataCellStyle="Millares">
      <calculatedColumnFormula>Tabla736976[[#This Row],[COMISIONES]]*0.21</calculatedColumnFormula>
      <totalsRowFormula>SUM(Tabla736976[IVA 21])</totalsRowFormula>
    </tableColumn>
    <tableColumn id="3" xr3:uid="{7D3A472B-884F-4508-A20C-DEB7059D3DA9}" name="IVA 10,5" totalsRowFunction="custom" totalsRowDxfId="122" dataCellStyle="Millares">
      <totalsRowFormula>SUM(Tabla736976[IVA 10,5])</totalsRowFormula>
    </tableColumn>
    <tableColumn id="4" xr3:uid="{E70A507E-33BF-4D72-BDC2-7EADBC1EC08F}" name="Ret IIBB Caba" totalsRowFunction="custom" totalsRowDxfId="121" dataCellStyle="Millares">
      <totalsRowFormula>SUM(Tabla736976[Ret IIBB Caba])</totalsRowFormula>
    </tableColumn>
    <tableColumn id="5" xr3:uid="{CAA210E7-691F-41A0-A163-6C7C2A252199}" name="PERC IVA" totalsRowFunction="custom" totalsRowDxfId="120" dataCellStyle="Millares">
      <totalsRowFormula>SUM(Tabla736976[PERC IVA])</totalsRowFormula>
    </tableColumn>
  </tableColumns>
  <tableStyleInfo name="TableStyleLight8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803060B7-34B8-4CD6-AFBD-9A009887758B}" name="Tabla131624322122233526272822122232425262637077" displayName="Tabla131624322122233526272822122232425262637077" ref="B11:F57" totalsRowCount="1" headerRowDxfId="119" totalsRowDxfId="118">
  <autoFilter ref="B11:F56" xr:uid="{00000000-0009-0000-0100-00000B000000}"/>
  <tableColumns count="5">
    <tableColumn id="1" xr3:uid="{881DFC54-AEDB-46F8-8C96-5104353D5DE5}" name="COMISIONES" totalsRowFunction="sum" dataDxfId="117" totalsRowDxfId="116"/>
    <tableColumn id="2" xr3:uid="{E8A469CA-3B84-4A53-9CDD-27A6FB5377A6}" name="IVA 21" totalsRowFunction="sum" dataDxfId="115" totalsRowDxfId="114">
      <calculatedColumnFormula>Tabla131624322122233526272822122232425262637077[[#This Row],[COMISIONES]]*0.21</calculatedColumnFormula>
    </tableColumn>
    <tableColumn id="3" xr3:uid="{0CA924EF-E889-4C7C-9126-7A26E5EFD46A}" name="IVA 10,5" totalsRowFunction="sum" dataDxfId="113" totalsRowDxfId="112">
      <calculatedColumnFormula>Tabla131624322122233526272822122232425262637077[[#This Row],[COMISIONES]]*0.105</calculatedColumnFormula>
    </tableColumn>
    <tableColumn id="4" xr3:uid="{3DD6B2F5-4B84-43D1-9F36-6A8ED00819A3}" name="Ret IIBB Caba" totalsRowFunction="sum" dataDxfId="111" totalsRowDxfId="110"/>
    <tableColumn id="5" xr3:uid="{461E71ED-D617-48CE-B82E-BD3C8FE85ACF}" name="PERC IVA" totalsRowFunction="sum" totalsRowDxfId="109"/>
  </tableColumns>
  <tableStyleInfo name="TableStyleLight8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CCF5CDAA-886E-4A29-8151-980EE7B49E0D}" name="Tabla35101826364142444546474844142434445464657278" displayName="Tabla35101826364142444546474844142434445464657278" ref="I11:M131" totalsRowCount="1" headerRowDxfId="108" dataDxfId="107" totalsRowDxfId="105" tableBorderDxfId="106" dataCellStyle="Millares">
  <autoFilter ref="I11:M130" xr:uid="{00000000-0009-0000-0100-00000D000000}"/>
  <tableColumns count="5">
    <tableColumn id="1" xr3:uid="{0CD7675A-6233-4A1D-A874-2E98E0D86DC4}" name="COMISIONES" totalsRowFunction="sum" dataDxfId="104" totalsRowDxfId="103" dataCellStyle="Millares"/>
    <tableColumn id="2" xr3:uid="{3D6D3639-AD0B-4A56-894D-96010FEEA57C}" name="IVA 21" totalsRowFunction="sum" dataDxfId="102" totalsRowDxfId="101" dataCellStyle="Millares">
      <calculatedColumnFormula>Tabla35101826364142444546474844142434445464657278[[#This Row],[COMISIONES]]*0.21</calculatedColumnFormula>
    </tableColumn>
    <tableColumn id="3" xr3:uid="{E8B5E719-C18C-4B8A-88C9-37461F34379D}" name="IVA 10,5" totalsRowFunction="sum" dataDxfId="100" totalsRowDxfId="99" dataCellStyle="Millares"/>
    <tableColumn id="4" xr3:uid="{5DEB87C7-F825-4A52-B248-7B0107AEC5FE}" name="Ret IIBB Caba" totalsRowFunction="sum" dataDxfId="98" totalsRowDxfId="97" dataCellStyle="Millares"/>
    <tableColumn id="5" xr3:uid="{173E41EB-05F9-4062-8AAA-84287A982A89}" name="PERC IVA" totalsRowFunction="sum" dataDxfId="96" totalsRowDxfId="95" dataCellStyle="Millares"/>
  </tableColumns>
  <tableStyleInfo name="TableStyleLight8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8170C6C-414C-4587-A3E3-4B78C53EBEDA}" name="Tabla356813142230408182848586878888182838485868667379" displayName="Tabla356813142230408182848586878888182838485868667379" ref="O11:S77" totalsRowCount="1" headerRowDxfId="94" dataDxfId="93" totalsRowDxfId="91" tableBorderDxfId="92" dataCellStyle="Millares">
  <autoFilter ref="O11:S76" xr:uid="{00000000-0009-0000-0100-000011000000}"/>
  <tableColumns count="5">
    <tableColumn id="1" xr3:uid="{BBE06721-8DAF-4AD3-ACD8-A7F4566663AF}" name="COMISIONES" totalsRowFunction="sum" dataDxfId="90" totalsRowDxfId="89" dataCellStyle="Millares"/>
    <tableColumn id="2" xr3:uid="{3C520F10-A3A2-4F60-BC24-38EB75867644}" name="IVA 21" totalsRowFunction="sum" dataDxfId="88" totalsRowDxfId="87" dataCellStyle="Millares">
      <calculatedColumnFormula>Tabla356813142230408182848586878888182838485868667379[[#This Row],[COMISIONES]]*0.21</calculatedColumnFormula>
    </tableColumn>
    <tableColumn id="3" xr3:uid="{F8B3423D-0486-43FF-BEE9-54FB9E9CA11F}" name="IVA 10,5" totalsRowFunction="sum" dataDxfId="86" totalsRowDxfId="85" dataCellStyle="Millares"/>
    <tableColumn id="4" xr3:uid="{4EA918CB-E46D-4D06-9E12-1FC7791C6998}" name="Ret IIBB Caba" totalsRowFunction="sum" dataDxfId="84" totalsRowDxfId="83" dataCellStyle="Millares"/>
    <tableColumn id="5" xr3:uid="{A02AE9A4-6210-4F5C-8538-F47E4E31D187}" name="PERC IVA" totalsRowFunction="sum" dataDxfId="82" totalsRowDxfId="81" dataCellStyle="Millares"/>
  </tableColumns>
  <tableStyleInfo name="TableStyleLight8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159A1C9C-7289-4B57-8ED1-36D7E15E8C9C}" name="Tabla3561119273443112131516171819111213141516171677580" displayName="Tabla3561119273443112131516171819111213141516171677580" ref="U11:Y51" totalsRowCount="1" headerRowDxfId="80" dataDxfId="79" totalsRowDxfId="77" tableBorderDxfId="78" dataCellStyle="Millares">
  <autoFilter ref="U11:Y50" xr:uid="{00000000-0009-0000-0100-000014000000}"/>
  <tableColumns count="5">
    <tableColumn id="1" xr3:uid="{B80AC149-CB39-4C34-BFEF-6FA26029356B}" name="COMISIONES" totalsRowFunction="sum" dataDxfId="76" totalsRowDxfId="75" dataCellStyle="Millares"/>
    <tableColumn id="2" xr3:uid="{556ADE00-88B1-4351-ADC6-2622A0C94CD8}" name="IVA 21" totalsRowFunction="sum" dataDxfId="74" totalsRowDxfId="73" dataCellStyle="Millares">
      <calculatedColumnFormula>Tabla3561119273443112131516171819111213141516171677580[[#This Row],[COMISIONES]]*0.21</calculatedColumnFormula>
    </tableColumn>
    <tableColumn id="3" xr3:uid="{EABA93E3-E47E-421B-89CA-108124093083}" name="IVA 10,5" totalsRowFunction="sum" dataDxfId="72" totalsRowDxfId="71" dataCellStyle="Millares"/>
    <tableColumn id="4" xr3:uid="{EFB3BBBF-427E-42C9-BFA8-B64F19B58C51}" name="Ret IIBB Caba" totalsRowFunction="sum" dataDxfId="70" totalsRowDxfId="69" dataCellStyle="Millares"/>
    <tableColumn id="5" xr3:uid="{C8DCF304-416E-4B5F-AB15-D4AA7325FD72}" name="PERC IVA" totalsRowFunction="sum" dataDxfId="68" totalsRowDxfId="67" dataCellStyle="Millares"/>
  </tableColumns>
  <tableStyleInfo name="TableStyleLight8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84108C0D-BBA5-4664-9771-FB384650A457}" name="Tabla73697681" displayName="Tabla73697681" ref="AA11:AE27" totalsRowCount="1" headerRowDxfId="66" dataCellStyle="Millares">
  <autoFilter ref="AA11:AE26" xr:uid="{4338895A-B9B3-47FE-87EA-0BF529E98819}"/>
  <tableColumns count="5">
    <tableColumn id="1" xr3:uid="{08E2D773-F878-430E-A040-ED55EE912D5A}" name="COMISIONES" totalsRowFunction="custom" totalsRowDxfId="65" dataCellStyle="Millares">
      <totalsRowFormula>SUM(Tabla73697681[COMISIONES])</totalsRowFormula>
    </tableColumn>
    <tableColumn id="2" xr3:uid="{FA057492-68C3-407A-9193-1CBA72F08F43}" name="IVA 21" totalsRowFunction="custom" dataDxfId="64" totalsRowDxfId="63" dataCellStyle="Millares">
      <calculatedColumnFormula>Tabla73697681[[#This Row],[COMISIONES]]*0.21</calculatedColumnFormula>
      <totalsRowFormula>SUM(Tabla73697681[IVA 21])</totalsRowFormula>
    </tableColumn>
    <tableColumn id="3" xr3:uid="{C459C1BD-0397-4644-8A6C-69A91ADA8952}" name="IVA 10,5" totalsRowFunction="custom" totalsRowDxfId="62" dataCellStyle="Millares">
      <totalsRowFormula>SUM(Tabla73697681[IVA 10,5])</totalsRowFormula>
    </tableColumn>
    <tableColumn id="4" xr3:uid="{39BB8812-3E9F-43B2-ACED-BE40018016E1}" name="Ret IIBB Caba" totalsRowFunction="custom" totalsRowDxfId="61" dataCellStyle="Millares">
      <totalsRowFormula>SUM(Tabla73697681[Ret IIBB Caba])</totalsRowFormula>
    </tableColumn>
    <tableColumn id="5" xr3:uid="{A044E481-0E68-453B-B584-38D76AC44AF2}" name="PERC IVA" totalsRowFunction="custom" totalsRowDxfId="60" dataCellStyle="Millares">
      <totalsRowFormula>SUM(Tabla73697681[PERC IVA])</totalsRowFormula>
    </tableColumn>
  </tableColumns>
  <tableStyleInfo name="TableStyleLight8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4670762B-6851-4D7E-AD6D-57DBA43C796F}" name="Tabla13162432212223352627282212223242526263707792" displayName="Tabla13162432212223352627282212223242526263707792" ref="B11:F57" totalsRowCount="1" headerRowDxfId="1231" totalsRowDxfId="1230">
  <autoFilter ref="B11:F56" xr:uid="{00000000-0009-0000-0100-00000B000000}"/>
  <tableColumns count="5">
    <tableColumn id="1" xr3:uid="{65D40D0A-08C3-47B3-9489-7D83836ABE1C}" name="COMISIONES" totalsRowFunction="sum" dataDxfId="1229" totalsRowDxfId="1228"/>
    <tableColumn id="2" xr3:uid="{348B746F-FBFD-41AE-B431-7DE03CFA3115}" name="IVA 21" totalsRowFunction="sum" dataDxfId="1227" totalsRowDxfId="1226">
      <calculatedColumnFormula>Tabla13162432212223352627282212223242526263707792[[#This Row],[COMISIONES]]*0.21</calculatedColumnFormula>
    </tableColumn>
    <tableColumn id="3" xr3:uid="{3C654D0F-5593-4371-8B33-BBAA207B383F}" name="IVA 10,5" totalsRowFunction="sum" dataDxfId="1225" totalsRowDxfId="1224">
      <calculatedColumnFormula>Tabla13162432212223352627282212223242526263707792[[#This Row],[COMISIONES]]*0.105</calculatedColumnFormula>
    </tableColumn>
    <tableColumn id="4" xr3:uid="{9419FF0F-5CEC-4924-9034-531BE0224266}" name="Ret IIBB Caba" totalsRowFunction="sum" dataDxfId="1223" totalsRowDxfId="1222"/>
    <tableColumn id="5" xr3:uid="{DBA03A1C-FFE3-4E13-9273-BB69AC63C862}" name="PERC IVA" totalsRowFunction="sum" totalsRowDxfId="1221"/>
  </tableColumns>
  <tableStyleInfo name="TableStyleLight8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4BCD890A-F1E6-47BE-BD0B-9D2394785BA1}" name="Tabla3510182636414244454647484414243444546465727893" displayName="Tabla3510182636414244454647484414243444546465727893" ref="I11:M131" totalsRowCount="1" headerRowDxfId="1220" dataDxfId="1219" totalsRowDxfId="1217" tableBorderDxfId="1218" dataCellStyle="Millares">
  <autoFilter ref="I11:M130" xr:uid="{00000000-0009-0000-0100-00000D000000}"/>
  <tableColumns count="5">
    <tableColumn id="1" xr3:uid="{16B7B4FD-A9DE-4F2C-A4FB-0DF7E7E3655C}" name="COMISIONES" totalsRowFunction="sum" dataDxfId="1216" totalsRowDxfId="1215" dataCellStyle="Millares"/>
    <tableColumn id="2" xr3:uid="{05CA26B5-1E02-41DD-B251-A63018B000F3}" name="IVA 21" totalsRowFunction="sum" dataDxfId="1214" totalsRowDxfId="1213" dataCellStyle="Millares">
      <calculatedColumnFormula>Tabla3510182636414244454647484414243444546465727893[[#This Row],[COMISIONES]]*0.21</calculatedColumnFormula>
    </tableColumn>
    <tableColumn id="3" xr3:uid="{6FD75A70-F430-400D-9DC8-D24C20F1F514}" name="IVA 10,5" totalsRowFunction="sum" dataDxfId="1212" totalsRowDxfId="1211" dataCellStyle="Millares"/>
    <tableColumn id="4" xr3:uid="{C1506E85-F5C0-4B6B-8828-F7684A48441A}" name="Ret IIBB Caba" totalsRowFunction="sum" dataDxfId="1210" totalsRowDxfId="1209" dataCellStyle="Millares"/>
    <tableColumn id="5" xr3:uid="{E96F8992-CEDB-4C3F-8D14-EF0C2C12A382}" name="PERC IVA" totalsRowFunction="sum" dataDxfId="1208" totalsRowDxfId="1207" dataCellStyle="Millares"/>
  </tableColumns>
  <tableStyleInfo name="TableStyleLight8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5A73A624-59C8-4908-B3A0-1604C945D3FB}" name="Tabla35681314223040818284858687888818283848586866737994" displayName="Tabla35681314223040818284858687888818283848586866737994" ref="O11:S77" totalsRowCount="1" headerRowDxfId="1206" dataDxfId="1205" totalsRowDxfId="1203" tableBorderDxfId="1204" dataCellStyle="Millares">
  <autoFilter ref="O11:S76" xr:uid="{00000000-0009-0000-0100-000011000000}"/>
  <tableColumns count="5">
    <tableColumn id="1" xr3:uid="{5BD6B861-8EBB-4A27-869E-8564C973DB53}" name="COMISIONES" totalsRowFunction="sum" dataDxfId="1202" totalsRowDxfId="1201" dataCellStyle="Millares"/>
    <tableColumn id="2" xr3:uid="{24FFF5E5-29E3-4FD4-AB0F-3D7E9E43B364}" name="IVA 21" totalsRowFunction="sum" dataDxfId="1200" totalsRowDxfId="1199" dataCellStyle="Millares">
      <calculatedColumnFormula>Tabla35681314223040818284858687888818283848586866737994[[#This Row],[COMISIONES]]*0.21</calculatedColumnFormula>
    </tableColumn>
    <tableColumn id="3" xr3:uid="{874BACCF-5E58-4F46-B908-CAE4D10A9CCA}" name="IVA 10,5" totalsRowFunction="sum" dataDxfId="1198" totalsRowDxfId="1197" dataCellStyle="Millares"/>
    <tableColumn id="4" xr3:uid="{738A9DA8-2DF5-4B01-8137-0194F5B81803}" name="Ret IIBB Caba" totalsRowFunction="sum" dataDxfId="1196" totalsRowDxfId="1195" dataCellStyle="Millares"/>
    <tableColumn id="5" xr3:uid="{CA1AA981-65CE-4B65-96AA-53994E2B4A94}" name="PERC IVA" totalsRowFunction="sum" dataDxfId="1194" totalsRowDxfId="1193" dataCellStyle="Millares"/>
  </tableColumns>
  <tableStyleInfo name="TableStyleLight8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DBB5EDC2-AE62-4A56-8235-6D35BCA3DE0D}" name="Tabla356111927344311213151617181911121314151617167758095" displayName="Tabla356111927344311213151617181911121314151617167758095" ref="U11:Y51" totalsRowCount="1" headerRowDxfId="1192" dataDxfId="1191" totalsRowDxfId="1189" tableBorderDxfId="1190" dataCellStyle="Millares">
  <autoFilter ref="U11:Y50" xr:uid="{00000000-0009-0000-0100-000014000000}"/>
  <tableColumns count="5">
    <tableColumn id="1" xr3:uid="{6FD78BDC-1561-4E0B-93AC-98EC1185B1BA}" name="COMISIONES" totalsRowFunction="sum" dataDxfId="1188" totalsRowDxfId="1187" dataCellStyle="Millares"/>
    <tableColumn id="2" xr3:uid="{7B89B45A-7732-4C1E-BDE4-01DE2EE12FC7}" name="IVA 21" totalsRowFunction="sum" dataDxfId="1186" totalsRowDxfId="1185" dataCellStyle="Millares">
      <calculatedColumnFormula>Tabla356111927344311213151617181911121314151617167758095[[#This Row],[COMISIONES]]*0.21</calculatedColumnFormula>
    </tableColumn>
    <tableColumn id="3" xr3:uid="{A08F2D18-5455-4642-ADEF-42CC606C9D45}" name="IVA 10,5" totalsRowFunction="sum" dataDxfId="1184" totalsRowDxfId="1183" dataCellStyle="Millares"/>
    <tableColumn id="4" xr3:uid="{4B4759D5-D569-48B3-96CA-DDB9A2518283}" name="Ret IIBB Caba" totalsRowFunction="sum" dataDxfId="1182" totalsRowDxfId="1181" dataCellStyle="Millares"/>
    <tableColumn id="5" xr3:uid="{39A708F6-E397-4C61-9A58-270A232277F7}" name="PERC IVA" totalsRowFunction="sum" dataDxfId="1180" totalsRowDxfId="1179" dataCellStyle="Millares"/>
  </tableColumns>
  <tableStyleInfo name="TableStyleLight8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90EFB497-B892-4580-95A4-B7114E3A7C03}" name="Tabla7369768196" displayName="Tabla7369768196" ref="AA11:AE27" totalsRowCount="1" headerRowDxfId="1178" dataCellStyle="Millares">
  <autoFilter ref="AA11:AE26" xr:uid="{4338895A-B9B3-47FE-87EA-0BF529E98819}"/>
  <tableColumns count="5">
    <tableColumn id="1" xr3:uid="{CF5E8085-B4BD-4054-A022-4247109A6FE6}" name="COMISIONES" totalsRowFunction="custom" totalsRowDxfId="1177" dataCellStyle="Millares">
      <totalsRowFormula>SUM(Tabla7369768196[COMISIONES])</totalsRowFormula>
    </tableColumn>
    <tableColumn id="2" xr3:uid="{BBB51D54-B15F-476F-BB85-F1D086EDE2C9}" name="IVA 21" totalsRowFunction="custom" dataDxfId="1176" totalsRowDxfId="1175" dataCellStyle="Millares">
      <calculatedColumnFormula>Tabla7369768196[[#This Row],[COMISIONES]]*0.21</calculatedColumnFormula>
      <totalsRowFormula>SUM(Tabla7369768196[IVA 21])</totalsRowFormula>
    </tableColumn>
    <tableColumn id="3" xr3:uid="{7B0A0CF1-BC93-403C-AF1A-28C30139A069}" name="IVA 10,5" totalsRowFunction="custom" totalsRowDxfId="1174" dataCellStyle="Millares">
      <totalsRowFormula>SUM(Tabla7369768196[IVA 10,5])</totalsRowFormula>
    </tableColumn>
    <tableColumn id="4" xr3:uid="{999CED28-28DA-4EF8-97CD-D7AF932DAFD5}" name="Ret IIBB Caba" totalsRowFunction="custom" totalsRowDxfId="1173" dataCellStyle="Millares">
      <totalsRowFormula>SUM(Tabla7369768196[Ret IIBB Caba])</totalsRowFormula>
    </tableColumn>
    <tableColumn id="5" xr3:uid="{71B51DF2-6A12-480F-BAEC-733E46720755}" name="PERC IVA" totalsRowFunction="custom" totalsRowDxfId="1172" dataCellStyle="Millares">
      <totalsRowFormula>SUM(Tabla7369768196[PERC IVA])</totalsRowFormula>
    </tableColumn>
  </tableColumns>
  <tableStyleInfo name="TableStyleLight8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E4D350B3-CCF3-444E-98BE-6ABD4A2BD04F}" name="Tabla1316243221222335262728221222324252626370779297" displayName="Tabla1316243221222335262728221222324252626370779297" ref="B11:F57" totalsRowCount="1" headerRowDxfId="59" totalsRowDxfId="58">
  <autoFilter ref="B11:F56" xr:uid="{00000000-0009-0000-0100-00000B000000}"/>
  <tableColumns count="5">
    <tableColumn id="1" xr3:uid="{607CCC9D-3F25-4A6D-AB7B-AC735790AE11}" name="COMISIONES" totalsRowFunction="sum" dataDxfId="57" totalsRowDxfId="29"/>
    <tableColumn id="2" xr3:uid="{F3E1D209-B3BF-444A-881D-C0A36F7FA682}" name="IVA 21" totalsRowFunction="sum" dataDxfId="56" totalsRowDxfId="28">
      <calculatedColumnFormula>Tabla1316243221222335262728221222324252626370779297[[#This Row],[COMISIONES]]*0.21</calculatedColumnFormula>
    </tableColumn>
    <tableColumn id="3" xr3:uid="{386A0482-0012-48CD-991C-8D7203DBF141}" name="IVA 10,5" totalsRowFunction="sum" dataDxfId="55" totalsRowDxfId="27">
      <calculatedColumnFormula>Tabla1316243221222335262728221222324252626370779297[[#This Row],[COMISIONES]]*0.105</calculatedColumnFormula>
    </tableColumn>
    <tableColumn id="4" xr3:uid="{2570D5D8-5387-464F-8DCC-114E8EE323F5}" name="Ret IIBB Caba" totalsRowFunction="sum" dataDxfId="54" totalsRowDxfId="26"/>
    <tableColumn id="5" xr3:uid="{576EDE75-803B-4561-8CF7-F808849DE9C8}" name="PERC IVA" totalsRowFunction="sum" totalsRowDxfId="25"/>
  </tableColumns>
  <tableStyleInfo name="TableStyleLight8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5A2C6D61-0EA4-4B26-A4C7-7FB4BF01C6E2}" name="Tabla351018263641424445464748441424344454646572789398" displayName="Tabla351018263641424445464748441424344454646572789398" ref="I11:M78" totalsRowCount="1" headerRowDxfId="53" dataDxfId="52" totalsRowDxfId="51" tableBorderDxfId="50" dataCellStyle="Millares">
  <autoFilter ref="I11:M77" xr:uid="{00000000-0009-0000-0100-00000D000000}"/>
  <tableColumns count="5">
    <tableColumn id="1" xr3:uid="{48779972-6BDA-4450-A196-86CC3C0EC944}" name="COMISIONES" totalsRowFunction="sum" dataDxfId="24" totalsRowDxfId="19" dataCellStyle="Millares"/>
    <tableColumn id="2" xr3:uid="{788ED3F7-536F-4E6B-A94A-147CEA221831}" name="IVA 21" totalsRowFunction="sum" dataDxfId="23" totalsRowDxfId="18" dataCellStyle="Millares">
      <calculatedColumnFormula>Tabla351018263641424445464748441424344454646572789398[[#This Row],[COMISIONES]]*0.21</calculatedColumnFormula>
    </tableColumn>
    <tableColumn id="3" xr3:uid="{FB143493-6E0A-42EC-A73C-DE6D2E1673A0}" name="IVA 10,5" totalsRowFunction="sum" dataDxfId="22" totalsRowDxfId="17" dataCellStyle="Millares"/>
    <tableColumn id="4" xr3:uid="{01B6FA67-834B-4686-8D37-FE369DE0F0A1}" name="Ret IIBB Caba" totalsRowFunction="sum" dataDxfId="21" totalsRowDxfId="16" dataCellStyle="Millares"/>
    <tableColumn id="5" xr3:uid="{C4CFC1AA-8758-452F-AFBD-F69831826975}" name="PERC IVA" totalsRowFunction="sum" dataDxfId="20" totalsRowDxfId="15" dataCellStyle="Millares"/>
  </tableColumns>
  <tableStyleInfo name="TableStyleLight8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BE875C0-7013-41C2-B298-BB4563E9A7E6}" name="Tabla3568131422304081828485868788881828384858686673799499" displayName="Tabla3568131422304081828485868788881828384858686673799499" ref="O11:S77" totalsRowCount="1" headerRowDxfId="49" dataDxfId="48" totalsRowDxfId="47" tableBorderDxfId="46" dataCellStyle="Millares">
  <autoFilter ref="O11:S76" xr:uid="{00000000-0009-0000-0100-000011000000}"/>
  <tableColumns count="5">
    <tableColumn id="1" xr3:uid="{11AC7798-2D12-4125-ABCD-44B068FE78F2}" name="COMISIONES" totalsRowFunction="sum" dataDxfId="45" totalsRowDxfId="14" dataCellStyle="Millares"/>
    <tableColumn id="2" xr3:uid="{59E1386B-4659-4B47-8E0B-251EF7DCA6E0}" name="IVA 21" totalsRowFunction="sum" dataDxfId="44" totalsRowDxfId="13" dataCellStyle="Millares">
      <calculatedColumnFormula>Tabla3568131422304081828485868788881828384858686673799499[[#This Row],[COMISIONES]]*0.21</calculatedColumnFormula>
    </tableColumn>
    <tableColumn id="3" xr3:uid="{CB53E52A-60D7-40AA-A3DC-63B22D5906F0}" name="IVA 10,5" totalsRowFunction="sum" dataDxfId="43" totalsRowDxfId="12" dataCellStyle="Millares"/>
    <tableColumn id="4" xr3:uid="{A3D7FCFE-0B49-4D0B-8D67-F6143F679537}" name="Ret IIBB Caba" totalsRowFunction="sum" dataDxfId="42" totalsRowDxfId="11" dataCellStyle="Millares"/>
    <tableColumn id="5" xr3:uid="{C42C67A6-8AA3-4B9F-9DBC-DC31B43C358A}" name="PERC IVA" totalsRowFunction="sum" dataDxfId="41" totalsRowDxfId="10" dataCellStyle="Millares"/>
  </tableColumns>
  <tableStyleInfo name="TableStyleLight8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1529C68B-685C-461A-A07B-6E9587BA3C66}" name="Tabla356111927344311213151617181911121314151617167758095100" displayName="Tabla356111927344311213151617181911121314151617167758095100" ref="U11:Y51" totalsRowCount="1" headerRowDxfId="40" dataDxfId="39" totalsRowDxfId="38" tableBorderDxfId="37" dataCellStyle="Millares">
  <autoFilter ref="U11:Y50" xr:uid="{00000000-0009-0000-0100-000014000000}"/>
  <tableColumns count="5">
    <tableColumn id="1" xr3:uid="{9B728C8C-3B2C-4B65-B948-1FEF878D785B}" name="COMISIONES" totalsRowFunction="sum" dataDxfId="36" totalsRowDxfId="9" dataCellStyle="Millares"/>
    <tableColumn id="2" xr3:uid="{A5805628-ADEE-4737-A25C-93BB09A2E035}" name="IVA 21" totalsRowFunction="sum" dataDxfId="35" totalsRowDxfId="8" dataCellStyle="Millares">
      <calculatedColumnFormula>Tabla356111927344311213151617181911121314151617167758095100[[#This Row],[COMISIONES]]*0.21</calculatedColumnFormula>
    </tableColumn>
    <tableColumn id="3" xr3:uid="{CD4048CB-62F0-45FC-86FB-5C9CA6ADBCCB}" name="IVA 10,5" totalsRowFunction="sum" dataDxfId="34" totalsRowDxfId="7" dataCellStyle="Millares"/>
    <tableColumn id="4" xr3:uid="{D01F4012-F143-48A7-91DF-9107FD42F6C0}" name="Ret IIBB Caba" totalsRowFunction="sum" dataDxfId="33" totalsRowDxfId="6" dataCellStyle="Millares"/>
    <tableColumn id="5" xr3:uid="{58D8A123-4674-4984-8D97-DB80C195166E}" name="PERC IVA" totalsRowFunction="sum" dataDxfId="32" totalsRowDxfId="5" dataCellStyle="Millares"/>
  </tableColumns>
  <tableStyleInfo name="TableStyleLight8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88455D0-3AB6-4417-84FF-F1079E8FF875}" name="Tabla7369768196101" displayName="Tabla7369768196101" ref="AA11:AE27" totalsRowCount="1" headerRowDxfId="31" dataCellStyle="Millares">
  <autoFilter ref="AA11:AE26" xr:uid="{4338895A-B9B3-47FE-87EA-0BF529E98819}"/>
  <tableColumns count="5">
    <tableColumn id="1" xr3:uid="{DA62762D-0CF7-4C55-9FDC-7B3BD38EB2DE}" name="COMISIONES" totalsRowFunction="custom" totalsRowDxfId="4" dataCellStyle="Millares">
      <totalsRowFormula>SUM(Tabla7369768196101[COMISIONES])</totalsRowFormula>
    </tableColumn>
    <tableColumn id="2" xr3:uid="{C81A155B-33A3-437D-85CC-8D30D35C6187}" name="IVA 21" totalsRowFunction="custom" dataDxfId="30" totalsRowDxfId="3" dataCellStyle="Millares">
      <calculatedColumnFormula>Tabla7369768196101[[#This Row],[COMISIONES]]*0.21</calculatedColumnFormula>
      <totalsRowFormula>SUM(Tabla7369768196101[IVA 21])</totalsRowFormula>
    </tableColumn>
    <tableColumn id="3" xr3:uid="{03ECF9D5-45EC-424C-97DA-EEF4C08D885B}" name="IVA 10,5" totalsRowFunction="custom" totalsRowDxfId="2" dataCellStyle="Millares">
      <totalsRowFormula>SUM(Tabla7369768196101[IVA 10,5])</totalsRowFormula>
    </tableColumn>
    <tableColumn id="4" xr3:uid="{7101E8CA-A9B9-4261-B3D5-A84011C81A44}" name="Ret IIBB Caba" totalsRowFunction="custom" totalsRowDxfId="1" dataCellStyle="Millares">
      <totalsRowFormula>SUM(Tabla7369768196101[Ret IIBB Caba])</totalsRowFormula>
    </tableColumn>
    <tableColumn id="5" xr3:uid="{3801CC31-B9A6-4CEC-BEA7-F4830F843DB0}" name="PERC IVA" totalsRowFunction="custom" totalsRowDxfId="0" dataCellStyle="Millares">
      <totalsRowFormula>SUM(Tabla7369768196101[PERC IVA])</totalsRow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12" Type="http://schemas.openxmlformats.org/officeDocument/2006/relationships/table" Target="../tables/table2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4.xml"/><Relationship Id="rId11" Type="http://schemas.openxmlformats.org/officeDocument/2006/relationships/table" Target="../tables/table19.xml"/><Relationship Id="rId5" Type="http://schemas.openxmlformats.org/officeDocument/2006/relationships/table" Target="../tables/table13.xml"/><Relationship Id="rId10" Type="http://schemas.openxmlformats.org/officeDocument/2006/relationships/table" Target="../tables/table18.xml"/><Relationship Id="rId4" Type="http://schemas.openxmlformats.org/officeDocument/2006/relationships/table" Target="../tables/table12.xml"/><Relationship Id="rId9" Type="http://schemas.openxmlformats.org/officeDocument/2006/relationships/table" Target="../tables/table1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6.xml"/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12" Type="http://schemas.openxmlformats.org/officeDocument/2006/relationships/table" Target="../tables/table3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24.xml"/><Relationship Id="rId11" Type="http://schemas.openxmlformats.org/officeDocument/2006/relationships/table" Target="../tables/table29.xml"/><Relationship Id="rId5" Type="http://schemas.openxmlformats.org/officeDocument/2006/relationships/table" Target="../tables/table23.xml"/><Relationship Id="rId10" Type="http://schemas.openxmlformats.org/officeDocument/2006/relationships/table" Target="../tables/table28.xml"/><Relationship Id="rId4" Type="http://schemas.openxmlformats.org/officeDocument/2006/relationships/table" Target="../tables/table22.xml"/><Relationship Id="rId9" Type="http://schemas.openxmlformats.org/officeDocument/2006/relationships/table" Target="../tables/table2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6.xml"/><Relationship Id="rId3" Type="http://schemas.openxmlformats.org/officeDocument/2006/relationships/table" Target="../tables/table31.xml"/><Relationship Id="rId7" Type="http://schemas.openxmlformats.org/officeDocument/2006/relationships/table" Target="../tables/table35.xml"/><Relationship Id="rId12" Type="http://schemas.openxmlformats.org/officeDocument/2006/relationships/table" Target="../tables/table40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34.xml"/><Relationship Id="rId11" Type="http://schemas.openxmlformats.org/officeDocument/2006/relationships/table" Target="../tables/table39.xml"/><Relationship Id="rId5" Type="http://schemas.openxmlformats.org/officeDocument/2006/relationships/table" Target="../tables/table33.xml"/><Relationship Id="rId10" Type="http://schemas.openxmlformats.org/officeDocument/2006/relationships/table" Target="../tables/table38.xml"/><Relationship Id="rId4" Type="http://schemas.openxmlformats.org/officeDocument/2006/relationships/table" Target="../tables/table32.xml"/><Relationship Id="rId9" Type="http://schemas.openxmlformats.org/officeDocument/2006/relationships/table" Target="../tables/table3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6.xml"/><Relationship Id="rId3" Type="http://schemas.openxmlformats.org/officeDocument/2006/relationships/table" Target="../tables/table41.xml"/><Relationship Id="rId7" Type="http://schemas.openxmlformats.org/officeDocument/2006/relationships/table" Target="../tables/table45.xml"/><Relationship Id="rId12" Type="http://schemas.openxmlformats.org/officeDocument/2006/relationships/table" Target="../tables/table50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44.xml"/><Relationship Id="rId11" Type="http://schemas.openxmlformats.org/officeDocument/2006/relationships/table" Target="../tables/table49.xml"/><Relationship Id="rId5" Type="http://schemas.openxmlformats.org/officeDocument/2006/relationships/table" Target="../tables/table43.xml"/><Relationship Id="rId10" Type="http://schemas.openxmlformats.org/officeDocument/2006/relationships/table" Target="../tables/table48.xml"/><Relationship Id="rId4" Type="http://schemas.openxmlformats.org/officeDocument/2006/relationships/table" Target="../tables/table42.xml"/><Relationship Id="rId9" Type="http://schemas.openxmlformats.org/officeDocument/2006/relationships/table" Target="../tables/table47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6.xml"/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12" Type="http://schemas.openxmlformats.org/officeDocument/2006/relationships/table" Target="../tables/table60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54.xml"/><Relationship Id="rId11" Type="http://schemas.openxmlformats.org/officeDocument/2006/relationships/table" Target="../tables/table59.xml"/><Relationship Id="rId5" Type="http://schemas.openxmlformats.org/officeDocument/2006/relationships/table" Target="../tables/table53.xml"/><Relationship Id="rId10" Type="http://schemas.openxmlformats.org/officeDocument/2006/relationships/table" Target="../tables/table58.xml"/><Relationship Id="rId4" Type="http://schemas.openxmlformats.org/officeDocument/2006/relationships/table" Target="../tables/table52.xml"/><Relationship Id="rId9" Type="http://schemas.openxmlformats.org/officeDocument/2006/relationships/table" Target="../tables/table57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6.xml"/><Relationship Id="rId3" Type="http://schemas.openxmlformats.org/officeDocument/2006/relationships/table" Target="../tables/table61.xml"/><Relationship Id="rId7" Type="http://schemas.openxmlformats.org/officeDocument/2006/relationships/table" Target="../tables/table65.xml"/><Relationship Id="rId12" Type="http://schemas.openxmlformats.org/officeDocument/2006/relationships/table" Target="../tables/table70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64.xml"/><Relationship Id="rId11" Type="http://schemas.openxmlformats.org/officeDocument/2006/relationships/table" Target="../tables/table69.xml"/><Relationship Id="rId5" Type="http://schemas.openxmlformats.org/officeDocument/2006/relationships/table" Target="../tables/table63.xml"/><Relationship Id="rId10" Type="http://schemas.openxmlformats.org/officeDocument/2006/relationships/table" Target="../tables/table68.xml"/><Relationship Id="rId4" Type="http://schemas.openxmlformats.org/officeDocument/2006/relationships/table" Target="../tables/table62.xml"/><Relationship Id="rId9" Type="http://schemas.openxmlformats.org/officeDocument/2006/relationships/table" Target="../tables/table6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1.xml"/><Relationship Id="rId7" Type="http://schemas.openxmlformats.org/officeDocument/2006/relationships/table" Target="../tables/table7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74.xml"/><Relationship Id="rId5" Type="http://schemas.openxmlformats.org/officeDocument/2006/relationships/table" Target="../tables/table73.xml"/><Relationship Id="rId4" Type="http://schemas.openxmlformats.org/officeDocument/2006/relationships/table" Target="../tables/table7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6.xml"/><Relationship Id="rId7" Type="http://schemas.openxmlformats.org/officeDocument/2006/relationships/table" Target="../tables/table80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79.xml"/><Relationship Id="rId5" Type="http://schemas.openxmlformats.org/officeDocument/2006/relationships/table" Target="../tables/table78.xml"/><Relationship Id="rId4" Type="http://schemas.openxmlformats.org/officeDocument/2006/relationships/table" Target="../tables/table7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1.xml"/><Relationship Id="rId7" Type="http://schemas.openxmlformats.org/officeDocument/2006/relationships/table" Target="../tables/table95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94.xml"/><Relationship Id="rId5" Type="http://schemas.openxmlformats.org/officeDocument/2006/relationships/table" Target="../tables/table93.xml"/><Relationship Id="rId4" Type="http://schemas.openxmlformats.org/officeDocument/2006/relationships/table" Target="../tables/table9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6.xml"/><Relationship Id="rId7" Type="http://schemas.openxmlformats.org/officeDocument/2006/relationships/table" Target="../tables/table100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99.xml"/><Relationship Id="rId5" Type="http://schemas.openxmlformats.org/officeDocument/2006/relationships/table" Target="../tables/table98.xml"/><Relationship Id="rId4" Type="http://schemas.openxmlformats.org/officeDocument/2006/relationships/table" Target="../tables/table9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7BDC9-E886-4D78-9C8F-6CB146891564}">
  <dimension ref="A1:AO169"/>
  <sheetViews>
    <sheetView showGridLines="0" zoomScale="115" zoomScaleNormal="115" workbookViewId="0">
      <selection activeCell="H11" sqref="H11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4" bestFit="1" customWidth="1"/>
    <col min="4" max="4" width="12.140625" bestFit="1" customWidth="1"/>
    <col min="5" max="5" width="11.5703125" customWidth="1"/>
    <col min="6" max="6" width="13" bestFit="1" customWidth="1"/>
    <col min="7" max="7" width="2.42578125" style="6" customWidth="1"/>
    <col min="8" max="8" width="12.7109375" customWidth="1"/>
    <col min="9" max="9" width="13.5703125" customWidth="1"/>
    <col min="10" max="10" width="12.28515625" bestFit="1" customWidth="1"/>
    <col min="11" max="11" width="12.85546875" customWidth="1"/>
    <col min="13" max="13" width="2.5703125" style="6" customWidth="1"/>
    <col min="14" max="14" width="12.7109375" customWidth="1"/>
    <col min="17" max="17" width="12.85546875" customWidth="1"/>
    <col min="19" max="19" width="2.5703125" style="6" customWidth="1"/>
    <col min="20" max="20" width="12.7109375" customWidth="1"/>
    <col min="23" max="23" width="12.85546875" customWidth="1"/>
    <col min="24" max="24" width="13.5703125" customWidth="1"/>
    <col min="25" max="25" width="2.5703125" style="6" customWidth="1"/>
    <col min="26" max="26" width="15.42578125" bestFit="1" customWidth="1"/>
    <col min="27" max="27" width="13.28515625" customWidth="1"/>
    <col min="29" max="29" width="15.7109375" bestFit="1" customWidth="1"/>
    <col min="31" max="31" width="2.5703125" style="6" customWidth="1"/>
    <col min="32" max="32" width="15.42578125" bestFit="1" customWidth="1"/>
    <col min="35" max="35" width="15.7109375" bestFit="1" customWidth="1"/>
  </cols>
  <sheetData>
    <row r="1" spans="1:41" x14ac:dyDescent="0.25">
      <c r="G1"/>
      <c r="M1"/>
      <c r="S1"/>
      <c r="Y1"/>
      <c r="AE1"/>
    </row>
    <row r="2" spans="1:41" ht="18.75" x14ac:dyDescent="0.25">
      <c r="C2" s="15" t="s">
        <v>2</v>
      </c>
      <c r="D2" s="16" t="s">
        <v>0</v>
      </c>
      <c r="E2" s="16" t="s">
        <v>1</v>
      </c>
      <c r="F2" s="16" t="s">
        <v>3</v>
      </c>
      <c r="G2" s="53" t="s">
        <v>4</v>
      </c>
      <c r="H2" s="54"/>
      <c r="J2" s="55">
        <v>45536</v>
      </c>
      <c r="K2" s="55"/>
      <c r="M2"/>
      <c r="S2"/>
      <c r="Y2"/>
      <c r="AE2"/>
    </row>
    <row r="3" spans="1:41" x14ac:dyDescent="0.25">
      <c r="B3" s="25" t="str">
        <f>+B14</f>
        <v>Extracto Santander</v>
      </c>
      <c r="C3" s="14">
        <v>8055.63</v>
      </c>
      <c r="D3" s="14"/>
      <c r="E3" s="14">
        <v>845.84114999999997</v>
      </c>
      <c r="F3" s="14">
        <v>483.34</v>
      </c>
      <c r="G3" s="32"/>
      <c r="H3" s="33">
        <v>120.83</v>
      </c>
      <c r="J3" s="2"/>
      <c r="K3" s="3"/>
      <c r="M3"/>
      <c r="N3" t="s">
        <v>5</v>
      </c>
      <c r="S3"/>
      <c r="Y3"/>
      <c r="AE3"/>
    </row>
    <row r="4" spans="1:41" x14ac:dyDescent="0.25">
      <c r="B4" s="25" t="str">
        <f>+H14</f>
        <v>CABAL 22/3</v>
      </c>
      <c r="C4" s="14"/>
      <c r="D4" s="14"/>
      <c r="E4" s="14"/>
      <c r="F4" s="14"/>
      <c r="G4" s="32"/>
      <c r="H4" s="33"/>
      <c r="J4" s="2"/>
      <c r="K4" s="3"/>
      <c r="M4"/>
      <c r="S4"/>
      <c r="Y4"/>
      <c r="AE4"/>
    </row>
    <row r="5" spans="1:41" x14ac:dyDescent="0.25">
      <c r="B5" s="25" t="str">
        <f>+N14</f>
        <v>BBVA VISA</v>
      </c>
      <c r="C5" s="14">
        <v>5619.83</v>
      </c>
      <c r="D5" s="14">
        <v>1180.1642999999999</v>
      </c>
      <c r="E5" s="14"/>
      <c r="F5" s="14">
        <v>15164.09</v>
      </c>
      <c r="G5" s="32"/>
      <c r="H5" s="33">
        <v>168.59</v>
      </c>
      <c r="M5"/>
      <c r="S5"/>
      <c r="Y5"/>
      <c r="AE5"/>
    </row>
    <row r="6" spans="1:41" x14ac:dyDescent="0.25">
      <c r="B6" s="25" t="str">
        <f>+T14</f>
        <v>GALICIA EXTRACTO (31/03)</v>
      </c>
      <c r="C6" s="14">
        <v>38000</v>
      </c>
      <c r="D6" s="14">
        <v>7980</v>
      </c>
      <c r="E6" s="14"/>
      <c r="F6" s="14">
        <v>2280</v>
      </c>
      <c r="G6" s="32"/>
      <c r="H6" s="34">
        <v>1140</v>
      </c>
      <c r="M6"/>
      <c r="S6"/>
      <c r="Y6"/>
      <c r="AE6"/>
    </row>
    <row r="7" spans="1:41" x14ac:dyDescent="0.25">
      <c r="B7" s="25" t="str">
        <f>+Z14</f>
        <v>SANTANDER - GETNET</v>
      </c>
      <c r="C7" s="31">
        <v>989441.90999999992</v>
      </c>
      <c r="D7" s="14">
        <v>118659.31450000002</v>
      </c>
      <c r="E7" s="14">
        <v>44561.737200000003</v>
      </c>
      <c r="F7" s="14">
        <v>1418142.17</v>
      </c>
      <c r="G7" s="32"/>
      <c r="H7" s="33"/>
      <c r="M7"/>
      <c r="S7"/>
      <c r="Y7"/>
      <c r="AE7"/>
    </row>
    <row r="8" spans="1:41" x14ac:dyDescent="0.25">
      <c r="B8" s="25" t="s">
        <v>14</v>
      </c>
      <c r="C8" s="14">
        <v>343456.23</v>
      </c>
      <c r="D8" s="14">
        <v>50454.6</v>
      </c>
      <c r="E8" s="14">
        <v>10835.604149999999</v>
      </c>
      <c r="F8" s="14">
        <v>20516.77</v>
      </c>
      <c r="G8"/>
      <c r="H8" s="32">
        <v>8710.4399999999987</v>
      </c>
      <c r="M8"/>
      <c r="S8"/>
      <c r="Y8"/>
      <c r="AE8"/>
    </row>
    <row r="9" spans="1:41" x14ac:dyDescent="0.25">
      <c r="B9" s="28" t="s">
        <v>17</v>
      </c>
      <c r="C9" s="14">
        <v>202125.47</v>
      </c>
      <c r="D9" s="14">
        <v>42446.348700000002</v>
      </c>
      <c r="E9" s="14"/>
      <c r="F9" s="14">
        <v>157183.79999999999</v>
      </c>
      <c r="G9" s="32"/>
      <c r="H9" s="33"/>
      <c r="M9"/>
      <c r="S9"/>
      <c r="Y9"/>
      <c r="AE9"/>
    </row>
    <row r="10" spans="1:41" x14ac:dyDescent="0.25">
      <c r="B10" s="28" t="s">
        <v>15</v>
      </c>
      <c r="C10" s="14"/>
      <c r="D10" s="14"/>
      <c r="E10" s="14"/>
      <c r="F10" s="14"/>
      <c r="G10" s="32"/>
      <c r="H10" s="33"/>
      <c r="J10" s="3">
        <f>E7*100/10.5</f>
        <v>424397.49714285723</v>
      </c>
      <c r="M10"/>
      <c r="S10"/>
      <c r="Y10"/>
      <c r="AE10"/>
    </row>
    <row r="11" spans="1:41" x14ac:dyDescent="0.25">
      <c r="B11" s="28" t="s">
        <v>13</v>
      </c>
      <c r="C11" s="14">
        <v>3966.94</v>
      </c>
      <c r="D11" s="14">
        <v>833.05740000000003</v>
      </c>
      <c r="E11" s="14"/>
      <c r="F11" s="14">
        <v>420.16</v>
      </c>
      <c r="G11" s="32"/>
      <c r="H11" s="33">
        <v>119.01</v>
      </c>
      <c r="M11"/>
      <c r="S11"/>
      <c r="Y11"/>
      <c r="AE11"/>
    </row>
    <row r="12" spans="1:41" x14ac:dyDescent="0.25">
      <c r="A12" s="26"/>
      <c r="B12" s="26"/>
      <c r="C12" s="27">
        <f>SUM(C3:C11)</f>
        <v>1590666.0099999998</v>
      </c>
      <c r="D12" s="27">
        <f t="shared" ref="D12:F12" si="0">SUM(D3:D11)</f>
        <v>221553.48490000001</v>
      </c>
      <c r="E12" s="27">
        <f t="shared" si="0"/>
        <v>56243.182500000003</v>
      </c>
      <c r="F12" s="27">
        <f t="shared" si="0"/>
        <v>1614190.3299999998</v>
      </c>
      <c r="G12" s="56">
        <f>SUM(G3:H11)</f>
        <v>10258.869999999999</v>
      </c>
      <c r="H12" s="56"/>
      <c r="M12"/>
      <c r="S12"/>
      <c r="Y12"/>
      <c r="AE12"/>
    </row>
    <row r="13" spans="1:41" x14ac:dyDescent="0.25">
      <c r="A13" s="26"/>
      <c r="B13" s="26"/>
      <c r="G13"/>
      <c r="J13" t="s">
        <v>7</v>
      </c>
      <c r="M13"/>
      <c r="S13"/>
      <c r="V13" t="s">
        <v>7</v>
      </c>
      <c r="Y13"/>
      <c r="AE13"/>
    </row>
    <row r="14" spans="1:41" ht="16.5" customHeight="1" x14ac:dyDescent="0.3">
      <c r="B14" s="52" t="s">
        <v>10</v>
      </c>
      <c r="C14" s="52"/>
      <c r="D14" s="52"/>
      <c r="E14" s="52"/>
      <c r="F14" s="52"/>
      <c r="H14" s="52" t="s">
        <v>8</v>
      </c>
      <c r="I14" s="52"/>
      <c r="J14" s="52"/>
      <c r="K14" s="52"/>
      <c r="L14" s="52"/>
      <c r="N14" s="52" t="s">
        <v>11</v>
      </c>
      <c r="O14" s="52"/>
      <c r="P14" s="52"/>
      <c r="Q14" s="52"/>
      <c r="R14" s="52"/>
      <c r="T14" s="52" t="s">
        <v>6</v>
      </c>
      <c r="U14" s="52"/>
      <c r="V14" s="52"/>
      <c r="W14" s="52"/>
      <c r="X14" s="52"/>
      <c r="Z14" s="52" t="s">
        <v>16</v>
      </c>
      <c r="AA14" s="52"/>
      <c r="AB14" s="52"/>
      <c r="AC14" s="52"/>
      <c r="AD14" s="52"/>
      <c r="AF14" s="52" t="s">
        <v>17</v>
      </c>
      <c r="AG14" s="52"/>
      <c r="AH14" s="52"/>
      <c r="AI14" s="52"/>
      <c r="AJ14" s="52"/>
      <c r="AK14" s="52" t="s">
        <v>13</v>
      </c>
      <c r="AL14" s="52"/>
      <c r="AM14" s="52"/>
      <c r="AN14" s="52"/>
      <c r="AO14" s="52"/>
    </row>
    <row r="15" spans="1:41" s="5" customFormat="1" x14ac:dyDescent="0.25">
      <c r="B15" s="10" t="s">
        <v>2</v>
      </c>
      <c r="C15" s="9" t="s">
        <v>0</v>
      </c>
      <c r="D15" s="9" t="s">
        <v>1</v>
      </c>
      <c r="E15" s="9" t="s">
        <v>3</v>
      </c>
      <c r="F15" s="9" t="s">
        <v>4</v>
      </c>
      <c r="G15" s="7"/>
      <c r="H15" s="12" t="s">
        <v>2</v>
      </c>
      <c r="I15" s="13" t="s">
        <v>0</v>
      </c>
      <c r="J15" s="13" t="s">
        <v>1</v>
      </c>
      <c r="K15" s="13" t="s">
        <v>3</v>
      </c>
      <c r="L15" s="13" t="s">
        <v>4</v>
      </c>
      <c r="M15" s="7"/>
      <c r="N15" s="12" t="s">
        <v>2</v>
      </c>
      <c r="O15" s="13" t="s">
        <v>0</v>
      </c>
      <c r="P15" s="13" t="s">
        <v>1</v>
      </c>
      <c r="Q15" s="13" t="s">
        <v>3</v>
      </c>
      <c r="R15" s="13" t="s">
        <v>4</v>
      </c>
      <c r="S15" s="7"/>
      <c r="T15" s="12" t="s">
        <v>2</v>
      </c>
      <c r="U15" s="13" t="s">
        <v>0</v>
      </c>
      <c r="V15" s="13" t="s">
        <v>1</v>
      </c>
      <c r="W15" s="13" t="s">
        <v>3</v>
      </c>
      <c r="X15" s="13" t="s">
        <v>4</v>
      </c>
      <c r="Y15" s="7"/>
      <c r="Z15" s="12" t="s">
        <v>2</v>
      </c>
      <c r="AA15" s="13" t="s">
        <v>0</v>
      </c>
      <c r="AB15" s="13" t="s">
        <v>1</v>
      </c>
      <c r="AC15" s="13" t="s">
        <v>3</v>
      </c>
      <c r="AD15" s="13" t="s">
        <v>4</v>
      </c>
      <c r="AE15" s="7"/>
      <c r="AF15" s="12" t="s">
        <v>2</v>
      </c>
      <c r="AG15" s="13" t="s">
        <v>0</v>
      </c>
      <c r="AH15" s="13" t="s">
        <v>1</v>
      </c>
      <c r="AI15" s="13" t="s">
        <v>3</v>
      </c>
      <c r="AJ15" s="13" t="s">
        <v>4</v>
      </c>
      <c r="AK15" s="12" t="s">
        <v>2</v>
      </c>
      <c r="AL15" s="13" t="s">
        <v>0</v>
      </c>
      <c r="AM15" s="13" t="s">
        <v>1</v>
      </c>
      <c r="AN15" s="13" t="s">
        <v>3</v>
      </c>
      <c r="AO15" s="13" t="s">
        <v>4</v>
      </c>
    </row>
    <row r="16" spans="1:41" x14ac:dyDescent="0.25">
      <c r="B16" s="2">
        <v>8055.63</v>
      </c>
      <c r="C16" s="2"/>
      <c r="D16" s="3">
        <f>Tabla13162432212223352627282[[#This Row],[COMISIONES]]*0.105</f>
        <v>845.84114999999997</v>
      </c>
      <c r="E16" s="3">
        <v>483.34</v>
      </c>
      <c r="F16" s="1">
        <v>120.83</v>
      </c>
      <c r="G16" s="8"/>
      <c r="H16" s="3"/>
      <c r="I16" s="11">
        <f>Tabla39172535313233453637383[[#This Row],[COMISIONES]]*0.21</f>
        <v>0</v>
      </c>
      <c r="J16" s="11"/>
      <c r="K16" s="11"/>
      <c r="L16" s="3"/>
      <c r="M16" s="8"/>
      <c r="N16" s="3">
        <v>5619.83</v>
      </c>
      <c r="O16" s="11">
        <f>Tabla3510182636414244454647484[[#This Row],[COMISIONES]]*0.21</f>
        <v>1180.1642999999999</v>
      </c>
      <c r="P16" s="11"/>
      <c r="Q16" s="1">
        <v>5901.92</v>
      </c>
      <c r="R16">
        <v>168.59</v>
      </c>
      <c r="S16" s="8"/>
      <c r="T16" s="11">
        <v>38000</v>
      </c>
      <c r="U16" s="11">
        <f>Tabla35611192737515254555657585[[#This Row],[COMISIONES]]*0.21</f>
        <v>7980</v>
      </c>
      <c r="V16" s="11"/>
      <c r="W16" s="11">
        <v>2280</v>
      </c>
      <c r="X16" s="11">
        <v>1140</v>
      </c>
      <c r="Y16" s="8"/>
      <c r="Z16" s="3">
        <v>12287.4</v>
      </c>
      <c r="AA16" s="11">
        <f>Tabla356813212939717274757677787[[#This Row],[COMISIONES]]*0.21</f>
        <v>2580.3539999999998</v>
      </c>
      <c r="AB16" s="3"/>
      <c r="AC16" s="1">
        <v>51535.45</v>
      </c>
      <c r="AE16" s="8"/>
      <c r="AF16" s="3">
        <v>202125.47</v>
      </c>
      <c r="AG16" s="11">
        <f>Tabla35681314223040818284858687888[[#This Row],[COMISIONES]]*0.21</f>
        <v>42446.348700000002</v>
      </c>
      <c r="AH16" s="11"/>
      <c r="AI16" s="1">
        <v>2641</v>
      </c>
      <c r="AJ16" s="11"/>
      <c r="AK16" s="11">
        <v>3966.94</v>
      </c>
      <c r="AL16" s="11">
        <f>Tabla35611192734431121315161718191[[#This Row],[COMISIONES]]*0.21</f>
        <v>833.05740000000003</v>
      </c>
      <c r="AM16" s="11"/>
      <c r="AN16" s="11">
        <v>210.08</v>
      </c>
      <c r="AO16" s="11">
        <v>119.01</v>
      </c>
    </row>
    <row r="17" spans="2:41" x14ac:dyDescent="0.25">
      <c r="B17" s="3"/>
      <c r="C17" s="2">
        <f>Tabla13162432212223352627282[[#This Row],[COMISIONES]]*0.21</f>
        <v>0</v>
      </c>
      <c r="D17" s="3">
        <f>Tabla13162432212223352627282[[#This Row],[COMISIONES]]*0.105</f>
        <v>0</v>
      </c>
      <c r="E17" s="3"/>
      <c r="F17" s="3"/>
      <c r="G17" s="8"/>
      <c r="H17" s="11"/>
      <c r="I17" s="11">
        <f>Tabla39172535313233453637383[[#This Row],[COMISIONES]]*0.21</f>
        <v>0</v>
      </c>
      <c r="J17" s="11"/>
      <c r="K17" s="11"/>
      <c r="L17" s="11"/>
      <c r="M17" s="8"/>
      <c r="N17" s="11"/>
      <c r="O17" s="11"/>
      <c r="P17" s="11">
        <f>Tabla3510182636414244454647484[[#This Row],[COMISIONES]]*0.105</f>
        <v>0</v>
      </c>
      <c r="Q17" s="1">
        <v>9262.17</v>
      </c>
      <c r="S17" s="8"/>
      <c r="T17" s="11"/>
      <c r="U17" s="11">
        <f>Tabla35611192737515254555657585[[#This Row],[COMISIONES]]*0.21</f>
        <v>0</v>
      </c>
      <c r="V17" s="11"/>
      <c r="W17" s="11"/>
      <c r="X17" s="11"/>
      <c r="Y17" s="8"/>
      <c r="Z17" s="3">
        <v>37892.32</v>
      </c>
      <c r="AA17" s="11">
        <f>Tabla356813212939717274757677787[[#This Row],[COMISIONES]]*0.21</f>
        <v>7957.3871999999992</v>
      </c>
      <c r="AB17" s="3"/>
      <c r="AC17" s="1">
        <v>572.62</v>
      </c>
      <c r="AE17" s="8"/>
      <c r="AF17" s="11"/>
      <c r="AG17" s="11">
        <f>Tabla35681314223040818284858687888[[#This Row],[COMISIONES]]*0.21</f>
        <v>0</v>
      </c>
      <c r="AH17" s="11"/>
      <c r="AI17" s="11">
        <v>154542.79999999999</v>
      </c>
      <c r="AJ17" s="11"/>
      <c r="AK17" s="11"/>
      <c r="AL17" s="11">
        <f>Tabla35611192734431121315161718191[[#This Row],[COMISIONES]]*0.21</f>
        <v>0</v>
      </c>
      <c r="AM17" s="11"/>
      <c r="AN17" s="11">
        <v>210.08</v>
      </c>
      <c r="AO17" s="11"/>
    </row>
    <row r="18" spans="2:41" x14ac:dyDescent="0.25">
      <c r="B18" s="3"/>
      <c r="C18" s="2">
        <f>Tabla13162432212223352627282[[#This Row],[COMISIONES]]*0.21</f>
        <v>0</v>
      </c>
      <c r="D18" s="3">
        <f>Tabla13162432212223352627282[[#This Row],[COMISIONES]]*0.105</f>
        <v>0</v>
      </c>
      <c r="E18" s="3"/>
      <c r="F18" s="3"/>
      <c r="H18" s="11"/>
      <c r="I18" s="11">
        <f>Tabla39172535313233453637383[[#This Row],[COMISIONES]]*0.21</f>
        <v>0</v>
      </c>
      <c r="J18" s="11"/>
      <c r="K18" s="11"/>
      <c r="L18" s="11"/>
      <c r="N18" s="1"/>
      <c r="O18" s="11">
        <f>Tabla3510182636414244454647484[[#This Row],[COMISIONES]]*0.21</f>
        <v>0</v>
      </c>
      <c r="P18" s="11"/>
      <c r="Q18" s="11"/>
      <c r="R18" s="23"/>
      <c r="T18" s="11"/>
      <c r="U18" s="11">
        <f>Tabla35611192737515254555657585[[#This Row],[COMISIONES]]*0.21</f>
        <v>0</v>
      </c>
      <c r="V18" s="11"/>
      <c r="W18" s="11"/>
      <c r="X18" s="11"/>
      <c r="Z18" s="3">
        <v>49026.62</v>
      </c>
      <c r="AA18" s="11"/>
      <c r="AB18" s="3">
        <f>Tabla356813212939717274757677787[[#This Row],[COMISIONES]]*0.105</f>
        <v>5147.7951000000003</v>
      </c>
      <c r="AC18">
        <v>858.57</v>
      </c>
      <c r="AF18" s="11"/>
      <c r="AG18" s="11">
        <f>Tabla35681314223040818284858687888[[#This Row],[COMISIONES]]*0.21</f>
        <v>0</v>
      </c>
      <c r="AH18" s="11"/>
      <c r="AI18" s="11"/>
      <c r="AJ18" s="11"/>
      <c r="AK18" s="11"/>
      <c r="AL18" s="11">
        <f>Tabla35611192734431121315161718191[[#This Row],[COMISIONES]]*0.21</f>
        <v>0</v>
      </c>
      <c r="AM18" s="11"/>
      <c r="AN18" s="11"/>
      <c r="AO18" s="11"/>
    </row>
    <row r="19" spans="2:41" x14ac:dyDescent="0.25">
      <c r="B19" s="3"/>
      <c r="C19" s="2">
        <f>Tabla13162432212223352627282[[#This Row],[COMISIONES]]*0.21</f>
        <v>0</v>
      </c>
      <c r="D19" s="3">
        <f>Tabla13162432212223352627282[[#This Row],[COMISIONES]]*0.105</f>
        <v>0</v>
      </c>
      <c r="E19" s="3"/>
      <c r="F19" s="3"/>
      <c r="G19" s="8"/>
      <c r="H19" s="11"/>
      <c r="I19" s="11">
        <f>Tabla39172535313233453637383[[#This Row],[COMISIONES]]*0.21</f>
        <v>0</v>
      </c>
      <c r="J19" s="11"/>
      <c r="K19" s="11"/>
      <c r="L19" s="11"/>
      <c r="M19" s="8"/>
      <c r="N19" s="1"/>
      <c r="O19" s="11">
        <f>Tabla3510182636414244454647484[[#This Row],[COMISIONES]]*0.21</f>
        <v>0</v>
      </c>
      <c r="P19" s="11"/>
      <c r="Q19" s="11"/>
      <c r="R19" s="23"/>
      <c r="S19" s="8"/>
      <c r="T19" s="11"/>
      <c r="U19" s="11">
        <f>Tabla35611192737515254555657585[[#This Row],[COMISIONES]]*0.21</f>
        <v>0</v>
      </c>
      <c r="V19" s="11"/>
      <c r="W19" s="11"/>
      <c r="X19" s="11"/>
      <c r="Y19" s="8"/>
      <c r="Z19" s="3">
        <v>4914.08</v>
      </c>
      <c r="AA19" s="11">
        <f>Tabla356813212939717274757677787[[#This Row],[COMISIONES]]*0.21</f>
        <v>1031.9567999999999</v>
      </c>
      <c r="AB19" s="3"/>
      <c r="AC19" s="1">
        <v>77271.14</v>
      </c>
      <c r="AE19" s="8"/>
      <c r="AF19" s="11"/>
      <c r="AG19" s="11">
        <f>Tabla35681314223040818284858687888[[#This Row],[COMISIONES]]*0.21</f>
        <v>0</v>
      </c>
      <c r="AH19" s="11"/>
      <c r="AI19" s="11"/>
      <c r="AJ19" s="11"/>
      <c r="AK19" s="11"/>
      <c r="AL19" s="11">
        <f>Tabla35611192734431121315161718191[[#This Row],[COMISIONES]]*0.21</f>
        <v>0</v>
      </c>
      <c r="AM19" s="11"/>
      <c r="AN19" s="11"/>
      <c r="AO19" s="11"/>
    </row>
    <row r="20" spans="2:41" x14ac:dyDescent="0.25">
      <c r="B20" s="3"/>
      <c r="C20" s="2">
        <f>Tabla13162432212223352627282[[#This Row],[COMISIONES]]*0.21</f>
        <v>0</v>
      </c>
      <c r="D20" s="3">
        <f>Tabla13162432212223352627282[[#This Row],[COMISIONES]]*0.105</f>
        <v>0</v>
      </c>
      <c r="E20" s="3"/>
      <c r="F20" s="3"/>
      <c r="H20" s="11"/>
      <c r="I20" s="11">
        <f>Tabla39172535313233453637383[[#This Row],[COMISIONES]]*0.21</f>
        <v>0</v>
      </c>
      <c r="J20" s="11"/>
      <c r="K20" s="11"/>
      <c r="L20" s="11"/>
      <c r="N20" s="1"/>
      <c r="O20" s="11">
        <f>Tabla3510182636414244454647484[[#This Row],[COMISIONES]]*0.21</f>
        <v>0</v>
      </c>
      <c r="P20" s="11"/>
      <c r="Q20" s="11"/>
      <c r="R20" s="23"/>
      <c r="T20" s="11"/>
      <c r="U20" s="11">
        <f>Tabla35611192737515254555657585[[#This Row],[COMISIONES]]*0.21</f>
        <v>0</v>
      </c>
      <c r="V20" s="11"/>
      <c r="W20" s="11"/>
      <c r="X20" s="11"/>
      <c r="Z20" s="3">
        <v>5280</v>
      </c>
      <c r="AA20" s="11">
        <f>Tabla356813212939717274757677787[[#This Row],[COMISIONES]]*0.21</f>
        <v>1108.8</v>
      </c>
      <c r="AB20" s="11"/>
      <c r="AC20" s="1">
        <v>304.16000000000003</v>
      </c>
      <c r="AF20" s="11"/>
      <c r="AG20" s="11">
        <f>Tabla35681314223040818284858687888[[#This Row],[COMISIONES]]*0.21</f>
        <v>0</v>
      </c>
      <c r="AH20" s="11"/>
      <c r="AI20" s="11"/>
      <c r="AJ20" s="11"/>
      <c r="AK20" s="11"/>
      <c r="AL20" s="11">
        <f>Tabla35611192734431121315161718191[[#This Row],[COMISIONES]]*0.21</f>
        <v>0</v>
      </c>
      <c r="AM20" s="11"/>
      <c r="AN20" s="11"/>
      <c r="AO20" s="11"/>
    </row>
    <row r="21" spans="2:41" x14ac:dyDescent="0.25">
      <c r="B21" s="3"/>
      <c r="C21" s="2">
        <f>Tabla13162432212223352627282[[#This Row],[COMISIONES]]*0.21</f>
        <v>0</v>
      </c>
      <c r="D21" s="3">
        <f>Tabla13162432212223352627282[[#This Row],[COMISIONES]]*0.105</f>
        <v>0</v>
      </c>
      <c r="E21" s="3"/>
      <c r="F21" s="3"/>
      <c r="H21" s="11"/>
      <c r="I21" s="11">
        <f>Tabla39172535313233453637383[[#This Row],[COMISIONES]]*0.21</f>
        <v>0</v>
      </c>
      <c r="J21" s="11"/>
      <c r="K21" s="11"/>
      <c r="L21" s="11"/>
      <c r="N21" s="11"/>
      <c r="O21" s="11">
        <f>Tabla3510182636414244454647484[[#This Row],[COMISIONES]]*0.21</f>
        <v>0</v>
      </c>
      <c r="P21" s="11"/>
      <c r="Q21" s="11"/>
      <c r="R21" s="11"/>
      <c r="T21" s="11"/>
      <c r="U21" s="11">
        <f>Tabla35611192737515254555657585[[#This Row],[COMISIONES]]*0.21</f>
        <v>0</v>
      </c>
      <c r="V21" s="11"/>
      <c r="W21" s="11"/>
      <c r="X21" s="11"/>
      <c r="Z21" s="3">
        <v>22720</v>
      </c>
      <c r="AA21" s="11">
        <f>Tabla356813212939717274757677787[[#This Row],[COMISIONES]]*0.21</f>
        <v>4771.2</v>
      </c>
      <c r="AB21" s="11"/>
      <c r="AC21" s="1">
        <v>27374.12</v>
      </c>
      <c r="AF21" s="11"/>
      <c r="AG21" s="11">
        <f>Tabla35681314223040818284858687888[[#This Row],[COMISIONES]]*0.21</f>
        <v>0</v>
      </c>
      <c r="AH21" s="11"/>
      <c r="AI21" s="11"/>
      <c r="AJ21" s="11"/>
      <c r="AK21" s="11"/>
      <c r="AL21" s="11">
        <f>Tabla35611192734431121315161718191[[#This Row],[COMISIONES]]*0.21</f>
        <v>0</v>
      </c>
      <c r="AM21" s="11"/>
      <c r="AN21" s="11"/>
      <c r="AO21" s="11"/>
    </row>
    <row r="22" spans="2:41" x14ac:dyDescent="0.25">
      <c r="B22" s="3"/>
      <c r="C22" s="2">
        <f>Tabla13162432212223352627282[[#This Row],[COMISIONES]]*0.21</f>
        <v>0</v>
      </c>
      <c r="D22" s="3">
        <f>Tabla13162432212223352627282[[#This Row],[COMISIONES]]*0.105</f>
        <v>0</v>
      </c>
      <c r="E22" s="3"/>
      <c r="F22" s="3"/>
      <c r="H22" s="11"/>
      <c r="I22" s="11">
        <f>Tabla39172535313233453637383[[#This Row],[COMISIONES]]*0.21</f>
        <v>0</v>
      </c>
      <c r="J22" s="11"/>
      <c r="K22" s="11"/>
      <c r="L22" s="11"/>
      <c r="N22" s="11"/>
      <c r="O22" s="11">
        <f>Tabla3510182636414244454647484[[#This Row],[COMISIONES]]*0.21</f>
        <v>0</v>
      </c>
      <c r="P22" s="11"/>
      <c r="Q22" s="11"/>
      <c r="R22" s="11"/>
      <c r="T22" s="11"/>
      <c r="U22" s="11">
        <f>Tabla35611192737515254555657585[[#This Row],[COMISIONES]]*0.21</f>
        <v>0</v>
      </c>
      <c r="V22" s="11"/>
      <c r="W22" s="11"/>
      <c r="X22" s="11"/>
      <c r="Z22" s="3">
        <v>55709.7</v>
      </c>
      <c r="AA22" s="11"/>
      <c r="AB22" s="29">
        <f>Tabla356813212939717274757677787[[#This Row],[COMISIONES]]*0.105</f>
        <v>5849.5184999999992</v>
      </c>
      <c r="AC22" s="1">
        <v>260.81</v>
      </c>
      <c r="AD22" s="11"/>
      <c r="AF22" s="11"/>
      <c r="AG22" s="11">
        <f>Tabla35681314223040818284858687888[[#This Row],[COMISIONES]]*0.21</f>
        <v>0</v>
      </c>
      <c r="AH22" s="11"/>
      <c r="AI22" s="11"/>
      <c r="AJ22" s="11"/>
      <c r="AK22" s="11"/>
      <c r="AL22" s="11">
        <f>Tabla35611192734431121315161718191[[#This Row],[COMISIONES]]*0.21</f>
        <v>0</v>
      </c>
      <c r="AM22" s="11"/>
      <c r="AN22" s="11"/>
      <c r="AO22" s="11"/>
    </row>
    <row r="23" spans="2:41" x14ac:dyDescent="0.25">
      <c r="B23" s="3"/>
      <c r="C23" s="2">
        <f>Tabla13162432212223352627282[[#This Row],[COMISIONES]]*0.21</f>
        <v>0</v>
      </c>
      <c r="D23" s="3">
        <f>Tabla13162432212223352627282[[#This Row],[COMISIONES]]*0.105</f>
        <v>0</v>
      </c>
      <c r="E23" s="3"/>
      <c r="F23" s="3"/>
      <c r="H23" s="11"/>
      <c r="I23" s="11">
        <f>Tabla39172535313233453637383[[#This Row],[COMISIONES]]*0.21</f>
        <v>0</v>
      </c>
      <c r="J23" s="11"/>
      <c r="K23" s="11"/>
      <c r="L23" s="11"/>
      <c r="N23" s="11"/>
      <c r="O23" s="11">
        <f>Tabla3510182636414244454647484[[#This Row],[COMISIONES]]*0.21</f>
        <v>0</v>
      </c>
      <c r="P23" s="11"/>
      <c r="Q23" s="11"/>
      <c r="R23" s="11"/>
      <c r="T23" s="11"/>
      <c r="U23" s="11">
        <f>Tabla35611192737515254555657585[[#This Row],[COMISIONES]]*0.21</f>
        <v>0</v>
      </c>
      <c r="V23" s="11"/>
      <c r="W23" s="11"/>
      <c r="X23" s="11"/>
      <c r="Z23" s="3">
        <v>363.84</v>
      </c>
      <c r="AA23" s="11">
        <f>Tabla356813212939717274757677787[[#This Row],[COMISIONES]]*0.21</f>
        <v>76.406399999999991</v>
      </c>
      <c r="AB23" s="3"/>
      <c r="AC23" s="1">
        <v>23472.5</v>
      </c>
      <c r="AD23" s="11"/>
      <c r="AF23" s="11"/>
      <c r="AG23" s="11">
        <f>Tabla35681314223040818284858687888[[#This Row],[COMISIONES]]*0.21</f>
        <v>0</v>
      </c>
      <c r="AH23" s="11"/>
      <c r="AI23" s="11"/>
      <c r="AJ23" s="11"/>
      <c r="AK23" s="11"/>
      <c r="AL23" s="11">
        <f>Tabla35611192734431121315161718191[[#This Row],[COMISIONES]]*0.21</f>
        <v>0</v>
      </c>
      <c r="AM23" s="11"/>
      <c r="AN23" s="11"/>
      <c r="AO23" s="11"/>
    </row>
    <row r="24" spans="2:41" x14ac:dyDescent="0.25">
      <c r="B24" s="3"/>
      <c r="C24" s="2">
        <f>Tabla13162432212223352627282[[#This Row],[COMISIONES]]*0.21</f>
        <v>0</v>
      </c>
      <c r="D24" s="3">
        <f>Tabla13162432212223352627282[[#This Row],[COMISIONES]]*0.105</f>
        <v>0</v>
      </c>
      <c r="E24" s="3"/>
      <c r="F24" s="3"/>
      <c r="H24" s="11"/>
      <c r="I24" s="11">
        <f>Tabla39172535313233453637383[[#This Row],[COMISIONES]]*0.21</f>
        <v>0</v>
      </c>
      <c r="J24" s="11"/>
      <c r="K24" s="11"/>
      <c r="L24" s="11"/>
      <c r="N24" s="11"/>
      <c r="O24" s="11">
        <f>Tabla3510182636414244454647484[[#This Row],[COMISIONES]]*0.21</f>
        <v>0</v>
      </c>
      <c r="P24" s="11"/>
      <c r="Q24" s="11"/>
      <c r="R24" s="11"/>
      <c r="T24" s="11"/>
      <c r="U24" s="11">
        <f>Tabla35611192737515254555657585[[#This Row],[COMISIONES]]*0.21</f>
        <v>0</v>
      </c>
      <c r="V24" s="11"/>
      <c r="W24" s="11"/>
      <c r="X24" s="11"/>
      <c r="Z24" s="3">
        <v>4037.4</v>
      </c>
      <c r="AA24" s="11">
        <f>Tabla356813212939717274757677787[[#This Row],[COMISIONES]]*0.21</f>
        <v>847.85400000000004</v>
      </c>
      <c r="AB24" s="11"/>
      <c r="AC24" s="1">
        <v>47112.72</v>
      </c>
      <c r="AD24" s="11"/>
      <c r="AF24" s="11"/>
      <c r="AG24" s="11">
        <f>Tabla35681314223040818284858687888[[#This Row],[COMISIONES]]*0.21</f>
        <v>0</v>
      </c>
      <c r="AH24" s="11"/>
      <c r="AI24" s="11"/>
      <c r="AJ24" s="11"/>
      <c r="AK24" s="11"/>
      <c r="AL24" s="11">
        <f>Tabla35611192734431121315161718191[[#This Row],[COMISIONES]]*0.21</f>
        <v>0</v>
      </c>
      <c r="AM24" s="11"/>
      <c r="AN24" s="11"/>
      <c r="AO24" s="11"/>
    </row>
    <row r="25" spans="2:41" x14ac:dyDescent="0.25">
      <c r="B25" s="3"/>
      <c r="C25" s="2">
        <f>Tabla13162432212223352627282[[#This Row],[COMISIONES]]*0.21</f>
        <v>0</v>
      </c>
      <c r="D25" s="3">
        <f>Tabla13162432212223352627282[[#This Row],[COMISIONES]]*0.105</f>
        <v>0</v>
      </c>
      <c r="E25" s="3"/>
      <c r="F25" s="3"/>
      <c r="H25" s="11"/>
      <c r="I25" s="11">
        <f>Tabla39172535313233453637383[[#This Row],[COMISIONES]]*0.21</f>
        <v>0</v>
      </c>
      <c r="J25" s="11"/>
      <c r="K25" s="11"/>
      <c r="L25" s="11"/>
      <c r="N25" s="11"/>
      <c r="O25" s="11">
        <f>Tabla3510182636414244454647484[[#This Row],[COMISIONES]]*0.21</f>
        <v>0</v>
      </c>
      <c r="P25" s="11"/>
      <c r="Q25" s="11"/>
      <c r="R25" s="11"/>
      <c r="T25" s="11"/>
      <c r="U25" s="11">
        <f>Tabla35611192737515254555657585[[#This Row],[COMISIONES]]*0.21</f>
        <v>0</v>
      </c>
      <c r="V25" s="11"/>
      <c r="W25" s="11"/>
      <c r="X25" s="11"/>
      <c r="Z25" s="3">
        <v>20334.87</v>
      </c>
      <c r="AA25" s="11">
        <f>Tabla356813212939717274757677787[[#This Row],[COMISIONES]]*0.21</f>
        <v>4270.3226999999997</v>
      </c>
      <c r="AB25" s="11"/>
      <c r="AC25" s="1">
        <v>523.47</v>
      </c>
      <c r="AD25" s="11"/>
      <c r="AF25" s="11"/>
      <c r="AG25" s="11">
        <f>Tabla35681314223040818284858687888[[#This Row],[COMISIONES]]*0.21</f>
        <v>0</v>
      </c>
      <c r="AH25" s="11"/>
      <c r="AI25" s="11"/>
      <c r="AJ25" s="11"/>
      <c r="AK25" s="11"/>
      <c r="AL25" s="11">
        <f>Tabla35611192734431121315161718191[[#This Row],[COMISIONES]]*0.21</f>
        <v>0</v>
      </c>
      <c r="AM25" s="11"/>
      <c r="AN25" s="11"/>
      <c r="AO25" s="11"/>
    </row>
    <row r="26" spans="2:41" x14ac:dyDescent="0.25">
      <c r="B26" s="3"/>
      <c r="C26" s="2">
        <f>Tabla13162432212223352627282[[#This Row],[COMISIONES]]*0.21</f>
        <v>0</v>
      </c>
      <c r="D26" s="3">
        <f>Tabla13162432212223352627282[[#This Row],[COMISIONES]]*0.105</f>
        <v>0</v>
      </c>
      <c r="E26" s="3"/>
      <c r="F26" s="3"/>
      <c r="H26" s="11"/>
      <c r="I26" s="11">
        <f>Tabla39172535313233453637383[[#This Row],[COMISIONES]]*0.21</f>
        <v>0</v>
      </c>
      <c r="J26" s="11"/>
      <c r="K26" s="11"/>
      <c r="L26" s="11"/>
      <c r="N26" s="11"/>
      <c r="O26" s="11">
        <f>Tabla3510182636414244454647484[[#This Row],[COMISIONES]]*0.21</f>
        <v>0</v>
      </c>
      <c r="P26" s="11"/>
      <c r="Q26" s="11"/>
      <c r="R26" s="11"/>
      <c r="T26" s="11"/>
      <c r="U26" s="11">
        <f>Tabla35611192737515254555657585[[#This Row],[COMISIONES]]*0.21</f>
        <v>0</v>
      </c>
      <c r="V26" s="11"/>
      <c r="W26" s="11"/>
      <c r="X26" s="11"/>
      <c r="Z26" s="3">
        <v>15614.08</v>
      </c>
      <c r="AA26" s="11">
        <f>Tabla356813212939717274757677787[[#This Row],[COMISIONES]]*0.21</f>
        <v>3278.9567999999999</v>
      </c>
      <c r="AB26" s="11"/>
      <c r="AC26" s="1">
        <v>22.52</v>
      </c>
      <c r="AD26" s="11"/>
      <c r="AF26" s="4">
        <f>SUBTOTAL(109,Tabla35681314223040818284858687888[COMISIONES])</f>
        <v>202125.47</v>
      </c>
      <c r="AG26" s="4">
        <f>SUBTOTAL(109,Tabla35681314223040818284858687888[IVA 21])</f>
        <v>42446.348700000002</v>
      </c>
      <c r="AH26" s="4">
        <f>SUBTOTAL(109,Tabla35681314223040818284858687888[IVA 10,5])</f>
        <v>0</v>
      </c>
      <c r="AI26" s="4">
        <f>SUBTOTAL(109,Tabla35681314223040818284858687888[Ret IIBB Caba])</f>
        <v>157183.79999999999</v>
      </c>
      <c r="AJ26" s="4">
        <f>SUBTOTAL(109,Tabla35681314223040818284858687888[PERC IVA])</f>
        <v>0</v>
      </c>
      <c r="AK26" s="11"/>
      <c r="AL26" s="11">
        <f>Tabla35611192734431121315161718191[[#This Row],[COMISIONES]]*0.21</f>
        <v>0</v>
      </c>
      <c r="AM26" s="11"/>
      <c r="AN26" s="11"/>
      <c r="AO26" s="11"/>
    </row>
    <row r="27" spans="2:41" x14ac:dyDescent="0.25">
      <c r="B27" s="3"/>
      <c r="C27" s="2">
        <f>Tabla13162432212223352627282[[#This Row],[COMISIONES]]*0.21</f>
        <v>0</v>
      </c>
      <c r="D27" s="3">
        <f>Tabla13162432212223352627282[[#This Row],[COMISIONES]]*0.105</f>
        <v>0</v>
      </c>
      <c r="E27" s="3"/>
      <c r="F27" s="3"/>
      <c r="H27" s="11"/>
      <c r="I27" s="11">
        <f>Tabla39172535313233453637383[[#This Row],[COMISIONES]]*0.21</f>
        <v>0</v>
      </c>
      <c r="J27" s="11"/>
      <c r="K27" s="11"/>
      <c r="L27" s="11"/>
      <c r="N27" s="11"/>
      <c r="O27" s="11">
        <f>Tabla3510182636414244454647484[[#This Row],[COMISIONES]]*0.21</f>
        <v>0</v>
      </c>
      <c r="P27" s="11"/>
      <c r="Q27" s="11"/>
      <c r="R27" s="11"/>
      <c r="T27" s="11"/>
      <c r="U27" s="11">
        <f>Tabla35611192737515254555657585[[#This Row],[COMISIONES]]*0.21</f>
        <v>0</v>
      </c>
      <c r="V27" s="11"/>
      <c r="W27" s="11"/>
      <c r="X27" s="11"/>
      <c r="Z27" s="3">
        <v>859.52</v>
      </c>
      <c r="AA27" s="11">
        <f>Tabla356813212939717274757677787[[#This Row],[COMISIONES]]*0.21</f>
        <v>180.4992</v>
      </c>
      <c r="AB27" s="11"/>
      <c r="AC27" s="1">
        <v>2026.79</v>
      </c>
      <c r="AK27" s="11"/>
      <c r="AL27" s="11">
        <f>Tabla35611192734431121315161718191[[#This Row],[COMISIONES]]*0.21</f>
        <v>0</v>
      </c>
      <c r="AM27" s="11"/>
      <c r="AN27" s="11"/>
      <c r="AO27" s="11"/>
    </row>
    <row r="28" spans="2:41" x14ac:dyDescent="0.25">
      <c r="B28" s="3"/>
      <c r="C28" s="2">
        <f>Tabla13162432212223352627282[[#This Row],[COMISIONES]]*0.21</f>
        <v>0</v>
      </c>
      <c r="D28" s="3">
        <f>Tabla13162432212223352627282[[#This Row],[COMISIONES]]*0.105</f>
        <v>0</v>
      </c>
      <c r="E28" s="3"/>
      <c r="F28" s="3"/>
      <c r="H28" s="11"/>
      <c r="I28" s="11">
        <f>Tabla39172535313233453637383[[#This Row],[COMISIONES]]*0.21</f>
        <v>0</v>
      </c>
      <c r="J28" s="11"/>
      <c r="K28" s="11"/>
      <c r="L28" s="11"/>
      <c r="N28" s="11"/>
      <c r="O28" s="11">
        <f>Tabla3510182636414244454647484[[#This Row],[COMISIONES]]*0.21</f>
        <v>0</v>
      </c>
      <c r="P28" s="11"/>
      <c r="Q28" s="11"/>
      <c r="R28" s="11"/>
      <c r="T28" s="11"/>
      <c r="U28" s="11">
        <f>Tabla35611192737515254555657585[[#This Row],[COMISIONES]]*0.21</f>
        <v>0</v>
      </c>
      <c r="V28" s="11"/>
      <c r="W28" s="11"/>
      <c r="X28" s="11"/>
      <c r="Z28" s="3">
        <v>9976.69</v>
      </c>
      <c r="AA28" s="11">
        <f>Tabla356813212939717274757677787[[#This Row],[COMISIONES]]*0.21</f>
        <v>2095.1048999999998</v>
      </c>
      <c r="AB28" s="1"/>
      <c r="AC28" s="1">
        <v>199.43</v>
      </c>
      <c r="AD28" s="11"/>
      <c r="AK28" s="11"/>
      <c r="AL28" s="11">
        <f>Tabla35611192734431121315161718191[[#This Row],[COMISIONES]]*0.21</f>
        <v>0</v>
      </c>
      <c r="AM28" s="11"/>
      <c r="AN28" s="11"/>
      <c r="AO28" s="11"/>
    </row>
    <row r="29" spans="2:41" x14ac:dyDescent="0.25">
      <c r="B29" s="3"/>
      <c r="C29" s="2">
        <f>Tabla13162432212223352627282[[#This Row],[COMISIONES]]*0.21</f>
        <v>0</v>
      </c>
      <c r="D29" s="3">
        <f>Tabla13162432212223352627282[[#This Row],[COMISIONES]]*0.105</f>
        <v>0</v>
      </c>
      <c r="E29" s="3"/>
      <c r="F29" s="3"/>
      <c r="H29" s="11"/>
      <c r="I29" s="11">
        <f>Tabla39172535313233453637383[[#This Row],[COMISIONES]]*0.21</f>
        <v>0</v>
      </c>
      <c r="J29" s="11"/>
      <c r="K29" s="11"/>
      <c r="L29" s="11"/>
      <c r="N29" s="11"/>
      <c r="O29" s="11">
        <f>Tabla3510182636414244454647484[[#This Row],[COMISIONES]]*0.21</f>
        <v>0</v>
      </c>
      <c r="P29" s="11"/>
      <c r="Q29" s="11"/>
      <c r="R29" s="11"/>
      <c r="T29" s="18"/>
      <c r="U29" s="18">
        <f>Tabla35611192737515254555657585[[#This Row],[COMISIONES]]*0.21</f>
        <v>0</v>
      </c>
      <c r="V29" s="18"/>
      <c r="W29" s="18"/>
      <c r="X29" s="18"/>
      <c r="Z29" s="3">
        <v>17101.490000000002</v>
      </c>
      <c r="AA29" s="11">
        <f>Tabla356813212939717274757677787[[#This Row],[COMISIONES]]*0.21</f>
        <v>3591.3129000000004</v>
      </c>
      <c r="AB29" s="1"/>
      <c r="AC29">
        <v>17948.46</v>
      </c>
      <c r="AD29" s="11"/>
      <c r="AK29" s="18"/>
      <c r="AL29" s="18">
        <f>Tabla35611192734431121315161718191[[#This Row],[COMISIONES]]*0.21</f>
        <v>0</v>
      </c>
      <c r="AM29" s="18"/>
      <c r="AN29" s="18"/>
      <c r="AO29" s="18"/>
    </row>
    <row r="30" spans="2:41" x14ac:dyDescent="0.25">
      <c r="B30" s="3"/>
      <c r="C30" s="2">
        <f>Tabla13162432212223352627282[[#This Row],[COMISIONES]]*0.21</f>
        <v>0</v>
      </c>
      <c r="D30" s="3">
        <f>Tabla13162432212223352627282[[#This Row],[COMISIONES]]*0.105</f>
        <v>0</v>
      </c>
      <c r="E30" s="3"/>
      <c r="F30" s="3"/>
      <c r="H30" s="11"/>
      <c r="I30" s="11">
        <f>Tabla39172535313233453637383[[#This Row],[COMISIONES]]*0.21</f>
        <v>0</v>
      </c>
      <c r="J30" s="11"/>
      <c r="K30" s="11"/>
      <c r="L30" s="11"/>
      <c r="N30" s="11"/>
      <c r="O30" s="11">
        <f>Tabla3510182636414244454647484[[#This Row],[COMISIONES]]*0.21</f>
        <v>0</v>
      </c>
      <c r="P30" s="11"/>
      <c r="Q30" s="11"/>
      <c r="R30" s="11"/>
      <c r="T30" s="18"/>
      <c r="U30" s="18">
        <f>Tabla35611192737515254555657585[[#This Row],[COMISIONES]]*0.21</f>
        <v>0</v>
      </c>
      <c r="V30" s="18"/>
      <c r="W30" s="18"/>
      <c r="X30" s="18"/>
      <c r="Z30" s="3">
        <v>27172.83</v>
      </c>
      <c r="AA30" s="11"/>
      <c r="AB30" s="11">
        <f>Tabla356813212939717274757677787[[#This Row],[COMISIONES]]*0.105</f>
        <v>2853.1471500000002</v>
      </c>
      <c r="AC30" s="11">
        <v>35792.35</v>
      </c>
      <c r="AD30" s="11"/>
      <c r="AK30" s="18"/>
      <c r="AL30" s="18">
        <f>Tabla35611192734431121315161718191[[#This Row],[COMISIONES]]*0.21</f>
        <v>0</v>
      </c>
      <c r="AM30" s="18"/>
      <c r="AN30" s="18"/>
      <c r="AO30" s="18"/>
    </row>
    <row r="31" spans="2:41" x14ac:dyDescent="0.25">
      <c r="B31" s="3"/>
      <c r="C31" s="2">
        <f>Tabla13162432212223352627282[[#This Row],[COMISIONES]]*0.21</f>
        <v>0</v>
      </c>
      <c r="D31" s="3">
        <f>Tabla13162432212223352627282[[#This Row],[COMISIONES]]*0.105</f>
        <v>0</v>
      </c>
      <c r="E31" s="1"/>
      <c r="F31" s="3"/>
      <c r="H31" s="11"/>
      <c r="I31" s="11">
        <f>Tabla39172535313233453637383[[#This Row],[COMISIONES]]*0.21</f>
        <v>0</v>
      </c>
      <c r="J31" s="11"/>
      <c r="K31" s="11"/>
      <c r="L31" s="11"/>
      <c r="N31" s="11"/>
      <c r="O31" s="11">
        <f>Tabla3510182636414244454647484[[#This Row],[COMISIONES]]*0.21</f>
        <v>0</v>
      </c>
      <c r="P31" s="11"/>
      <c r="Q31" s="11"/>
      <c r="R31" s="11"/>
      <c r="T31" s="4">
        <f>SUBTOTAL(109,Tabla35611192737515254555657585[COMISIONES])</f>
        <v>38000</v>
      </c>
      <c r="U31" s="4">
        <f>SUBTOTAL(109,Tabla35611192737515254555657585[IVA 21])</f>
        <v>7980</v>
      </c>
      <c r="V31" s="4">
        <f>SUBTOTAL(109,Tabla35611192737515254555657585[IVA 10,5])</f>
        <v>0</v>
      </c>
      <c r="W31" s="4">
        <f>SUBTOTAL(109,Tabla35611192737515254555657585[Ret IIBB Caba])</f>
        <v>2280</v>
      </c>
      <c r="X31" s="4">
        <f>SUBTOTAL(109,Tabla35611192737515254555657585[PERC IVA])</f>
        <v>1140</v>
      </c>
      <c r="Z31" s="3">
        <v>69.599999999999994</v>
      </c>
      <c r="AA31" s="11">
        <f>Tabla356813212939717274757677787[[#This Row],[COMISIONES]]*0.21</f>
        <v>14.615999999999998</v>
      </c>
      <c r="AB31" s="11"/>
      <c r="AC31" s="1">
        <v>397.69</v>
      </c>
      <c r="AK31" s="4">
        <f>SUBTOTAL(109,Tabla35611192734431121315161718191[COMISIONES])</f>
        <v>3966.94</v>
      </c>
      <c r="AL31" s="4">
        <f>SUBTOTAL(109,Tabla35611192734431121315161718191[IVA 21])</f>
        <v>833.05740000000003</v>
      </c>
      <c r="AM31" s="4">
        <f>SUBTOTAL(109,Tabla35611192734431121315161718191[IVA 10,5])</f>
        <v>0</v>
      </c>
      <c r="AN31" s="4">
        <f>SUBTOTAL(109,Tabla35611192734431121315161718191[Ret IIBB Caba])</f>
        <v>420.16</v>
      </c>
      <c r="AO31" s="4">
        <f>SUBTOTAL(109,Tabla35611192734431121315161718191[PERC IVA])</f>
        <v>119.01</v>
      </c>
    </row>
    <row r="32" spans="2:41" ht="18.75" x14ac:dyDescent="0.3">
      <c r="B32" s="3"/>
      <c r="C32" s="2">
        <f>Tabla13162432212223352627282[[#This Row],[COMISIONES]]*0.21</f>
        <v>0</v>
      </c>
      <c r="D32" s="3">
        <f>Tabla13162432212223352627282[[#This Row],[COMISIONES]]*0.105</f>
        <v>0</v>
      </c>
      <c r="E32" s="3"/>
      <c r="F32" s="3"/>
      <c r="H32" s="11"/>
      <c r="I32" s="11">
        <f>Tabla39172535313233453637383[[#This Row],[COMISIONES]]*0.21</f>
        <v>0</v>
      </c>
      <c r="J32" s="11"/>
      <c r="K32" s="11"/>
      <c r="L32" s="11"/>
      <c r="N32" s="11"/>
      <c r="O32" s="11">
        <f>Tabla3510182636414244454647484[[#This Row],[COMISIONES]]*0.21</f>
        <v>0</v>
      </c>
      <c r="P32" s="11"/>
      <c r="Q32" s="11"/>
      <c r="R32" s="11"/>
      <c r="T32" s="52" t="s">
        <v>9</v>
      </c>
      <c r="U32" s="52"/>
      <c r="V32" s="52"/>
      <c r="W32" s="52"/>
      <c r="X32" s="52"/>
      <c r="Z32" s="3">
        <v>5729.5</v>
      </c>
      <c r="AA32" s="11">
        <f>Tabla356813212939717274757677787[[#This Row],[COMISIONES]]*0.21</f>
        <v>1203.1949999999999</v>
      </c>
      <c r="AB32" s="1"/>
      <c r="AC32" s="11">
        <v>53.2</v>
      </c>
      <c r="AD32" s="11"/>
    </row>
    <row r="33" spans="2:31" x14ac:dyDescent="0.25">
      <c r="B33" s="3"/>
      <c r="C33" s="2">
        <f>Tabla13162432212223352627282[[#This Row],[COMISIONES]]*0.21</f>
        <v>0</v>
      </c>
      <c r="D33" s="3">
        <f>Tabla13162432212223352627282[[#This Row],[COMISIONES]]*0.105</f>
        <v>0</v>
      </c>
      <c r="E33" s="3"/>
      <c r="F33" s="3"/>
      <c r="H33" s="11"/>
      <c r="I33" s="11">
        <f>Tabla39172535313233453637383[[#This Row],[COMISIONES]]*0.21</f>
        <v>0</v>
      </c>
      <c r="J33" s="11"/>
      <c r="K33" s="11"/>
      <c r="L33" s="11"/>
      <c r="N33" s="11"/>
      <c r="O33" s="11">
        <f>Tabla3510182636414244454647484[[#This Row],[COMISIONES]]*0.21</f>
        <v>0</v>
      </c>
      <c r="P33" s="11"/>
      <c r="Q33" s="11"/>
      <c r="R33" s="11"/>
      <c r="T33" s="12" t="s">
        <v>2</v>
      </c>
      <c r="U33" s="13" t="s">
        <v>0</v>
      </c>
      <c r="V33" s="13" t="s">
        <v>1</v>
      </c>
      <c r="W33" s="13" t="s">
        <v>3</v>
      </c>
      <c r="X33" s="13" t="s">
        <v>4</v>
      </c>
      <c r="Z33" s="3">
        <v>28416.3</v>
      </c>
      <c r="AA33" s="11">
        <f>Tabla356813212939717274757677787[[#This Row],[COMISIONES]]*0.21</f>
        <v>5967.4229999999998</v>
      </c>
      <c r="AB33" s="29"/>
      <c r="AC33" s="11">
        <v>4788.01</v>
      </c>
      <c r="AD33" s="11"/>
    </row>
    <row r="34" spans="2:31" x14ac:dyDescent="0.25">
      <c r="B34" s="3"/>
      <c r="C34" s="2">
        <f>Tabla13162432212223352627282[[#This Row],[COMISIONES]]*0.21</f>
        <v>0</v>
      </c>
      <c r="D34" s="3">
        <f>Tabla13162432212223352627282[[#This Row],[COMISIONES]]*0.105</f>
        <v>0</v>
      </c>
      <c r="E34" s="3"/>
      <c r="F34" s="3"/>
      <c r="H34" s="11"/>
      <c r="I34" s="11">
        <f>Tabla39172535313233453637383[[#This Row],[COMISIONES]]*0.21</f>
        <v>0</v>
      </c>
      <c r="J34" s="11"/>
      <c r="K34" s="11"/>
      <c r="L34" s="11"/>
      <c r="N34" s="11"/>
      <c r="O34" s="11">
        <f>Tabla3510182636414244454647484[[#This Row],[COMISIONES]]*0.21</f>
        <v>0</v>
      </c>
      <c r="P34" s="11"/>
      <c r="Q34" s="11"/>
      <c r="R34" s="11"/>
      <c r="T34" s="11">
        <v>10</v>
      </c>
      <c r="U34" s="11">
        <f>Tabla612202838616264656667686[[#This Row],[COMISIONES]]*0.21</f>
        <v>2.1</v>
      </c>
      <c r="V34" s="11"/>
      <c r="W34" s="11">
        <v>6000</v>
      </c>
      <c r="X34" s="11">
        <v>3000</v>
      </c>
      <c r="Z34" s="3">
        <v>24318.99</v>
      </c>
      <c r="AA34" s="11"/>
      <c r="AB34" s="11">
        <f>Tabla356813212939717274757677787[[#This Row],[COMISIONES]]*0.105</f>
        <v>2553.49395</v>
      </c>
      <c r="AC34" s="11">
        <v>492.8</v>
      </c>
      <c r="AD34" s="11"/>
    </row>
    <row r="35" spans="2:31" x14ac:dyDescent="0.25">
      <c r="B35" s="3"/>
      <c r="C35" s="2">
        <f>Tabla13162432212223352627282[[#This Row],[COMISIONES]]*0.21</f>
        <v>0</v>
      </c>
      <c r="D35" s="3">
        <f>Tabla13162432212223352627282[[#This Row],[COMISIONES]]*0.105</f>
        <v>0</v>
      </c>
      <c r="E35" s="3"/>
      <c r="F35" s="3"/>
      <c r="H35" s="11"/>
      <c r="I35" s="11">
        <f>Tabla39172535313233453637383[[#This Row],[COMISIONES]]*0.21</f>
        <v>0</v>
      </c>
      <c r="J35" s="11"/>
      <c r="K35" s="11"/>
      <c r="L35" s="11"/>
      <c r="N35" s="11"/>
      <c r="O35" s="11">
        <f>Tabla3510182636414244454647484[[#This Row],[COMISIONES]]*0.21</f>
        <v>0</v>
      </c>
      <c r="P35" s="11"/>
      <c r="Q35" s="11"/>
      <c r="R35" s="11"/>
      <c r="T35" s="11">
        <v>100000</v>
      </c>
      <c r="U35" s="11">
        <f>Tabla612202838616264656667686[[#This Row],[COMISIONES]]*0.21</f>
        <v>21000</v>
      </c>
      <c r="V35" s="11"/>
      <c r="W35" s="11"/>
      <c r="X35" s="11"/>
      <c r="Z35" s="3">
        <v>466.72</v>
      </c>
      <c r="AA35" s="11">
        <f>Tabla356813212939717274757677787[[#This Row],[COMISIONES]]*0.21</f>
        <v>98.011200000000002</v>
      </c>
      <c r="AB35" s="11"/>
      <c r="AC35" s="11">
        <v>44351.87</v>
      </c>
      <c r="AD35" s="11"/>
    </row>
    <row r="36" spans="2:31" x14ac:dyDescent="0.25">
      <c r="B36" s="3"/>
      <c r="C36" s="2">
        <f>Tabla13162432212223352627282[[#This Row],[COMISIONES]]*0.21</f>
        <v>0</v>
      </c>
      <c r="D36" s="3">
        <f>Tabla13162432212223352627282[[#This Row],[COMISIONES]]*0.105</f>
        <v>0</v>
      </c>
      <c r="E36" s="3"/>
      <c r="F36" s="3"/>
      <c r="H36" s="11"/>
      <c r="I36" s="11">
        <f>Tabla39172535313233453637383[[#This Row],[COMISIONES]]*0.21</f>
        <v>0</v>
      </c>
      <c r="J36" s="11"/>
      <c r="K36" s="11"/>
      <c r="L36" s="11"/>
      <c r="N36" s="11"/>
      <c r="O36" s="11">
        <f>Tabla3510182636414244454647484[[#This Row],[COMISIONES]]*0.21</f>
        <v>0</v>
      </c>
      <c r="P36" s="11"/>
      <c r="Q36" s="11"/>
      <c r="R36" s="11"/>
      <c r="T36" s="11">
        <v>60010.19</v>
      </c>
      <c r="U36" s="19"/>
      <c r="V36" s="19">
        <f>Tabla612202838616264656667686[[#This Row],[COMISIONES]]*0.105</f>
        <v>6301.0699500000001</v>
      </c>
      <c r="W36">
        <v>3600.61</v>
      </c>
      <c r="X36">
        <v>900.15</v>
      </c>
      <c r="Z36" s="3">
        <v>23872.95</v>
      </c>
      <c r="AA36" s="11">
        <f>Tabla356813212939717274757677787[[#This Row],[COMISIONES]]*0.21</f>
        <v>5013.3194999999996</v>
      </c>
      <c r="AB36" s="1"/>
      <c r="AC36" s="11">
        <v>402.18</v>
      </c>
      <c r="AD36" s="11"/>
    </row>
    <row r="37" spans="2:31" x14ac:dyDescent="0.25">
      <c r="B37" s="3"/>
      <c r="C37" s="2">
        <f>Tabla13162432212223352627282[[#This Row],[COMISIONES]]*0.21</f>
        <v>0</v>
      </c>
      <c r="D37" s="3">
        <f>Tabla13162432212223352627282[[#This Row],[COMISIONES]]*0.105</f>
        <v>0</v>
      </c>
      <c r="E37" s="3"/>
      <c r="F37" s="3"/>
      <c r="H37" s="11"/>
      <c r="I37" s="11">
        <f>Tabla39172535313233453637383[[#This Row],[COMISIONES]]*0.21</f>
        <v>0</v>
      </c>
      <c r="J37" s="11"/>
      <c r="K37" s="11"/>
      <c r="L37" s="11"/>
      <c r="N37" s="11"/>
      <c r="O37" s="11">
        <f>Tabla3510182636414244454647484[[#This Row],[COMISIONES]]*0.21</f>
        <v>0</v>
      </c>
      <c r="P37" s="11"/>
      <c r="Q37" s="11"/>
      <c r="R37" s="11"/>
      <c r="T37" s="11">
        <v>52300</v>
      </c>
      <c r="U37" s="19">
        <f>Tabla612202838616264656667686[[#This Row],[COMISIONES]]*0.21</f>
        <v>10983</v>
      </c>
      <c r="W37">
        <v>3138</v>
      </c>
      <c r="X37">
        <v>1569</v>
      </c>
      <c r="Z37" s="3">
        <v>105156.21</v>
      </c>
      <c r="AA37" s="21"/>
      <c r="AB37" s="21">
        <f>Tabla356813212939717274757677787[[#This Row],[COMISIONES]]*0.105</f>
        <v>11041.402050000001</v>
      </c>
      <c r="AC37" s="21">
        <v>36196.01</v>
      </c>
      <c r="AD37" s="22"/>
    </row>
    <row r="38" spans="2:31" x14ac:dyDescent="0.25">
      <c r="B38" s="3"/>
      <c r="C38" s="2">
        <f>Tabla13162432212223352627282[[#This Row],[COMISIONES]]*0.21</f>
        <v>0</v>
      </c>
      <c r="D38" s="3">
        <f>Tabla13162432212223352627282[[#This Row],[COMISIONES]]*0.105</f>
        <v>0</v>
      </c>
      <c r="E38" s="3"/>
      <c r="F38" s="3"/>
      <c r="H38" s="11"/>
      <c r="I38" s="11">
        <f>Tabla39172535313233453637383[[#This Row],[COMISIONES]]*0.21</f>
        <v>0</v>
      </c>
      <c r="J38" s="11"/>
      <c r="K38" s="11"/>
      <c r="L38" s="11"/>
      <c r="N38" s="11"/>
      <c r="O38" s="11">
        <f>Tabla3510182636414244454647484[[#This Row],[COMISIONES]]*0.21</f>
        <v>0</v>
      </c>
      <c r="P38" s="11"/>
      <c r="Q38" s="11"/>
      <c r="R38" s="11"/>
      <c r="T38" s="11">
        <v>86450</v>
      </c>
      <c r="U38" s="19">
        <f>Tabla612202838616264656667686[[#This Row],[COMISIONES]]*0.21</f>
        <v>18154.5</v>
      </c>
      <c r="W38">
        <v>5187</v>
      </c>
      <c r="X38">
        <v>2593.5</v>
      </c>
      <c r="Z38" s="3">
        <v>1672.04</v>
      </c>
      <c r="AA38" s="21">
        <f>Tabla356813212939717274757677787[[#This Row],[COMISIONES]]*0.21</f>
        <v>351.1284</v>
      </c>
      <c r="AB38" s="1"/>
      <c r="AC38" s="1">
        <v>4.3099999999999996</v>
      </c>
    </row>
    <row r="39" spans="2:31" x14ac:dyDescent="0.25">
      <c r="B39" s="3"/>
      <c r="C39" s="2">
        <f>Tabla13162432212223352627282[[#This Row],[COMISIONES]]*0.21</f>
        <v>0</v>
      </c>
      <c r="D39" s="3">
        <f>Tabla13162432212223352627282[[#This Row],[COMISIONES]]*0.105</f>
        <v>0</v>
      </c>
      <c r="E39" s="3"/>
      <c r="F39" s="3"/>
      <c r="H39" s="11"/>
      <c r="I39" s="11">
        <f>Tabla39172535313233453637383[[#This Row],[COMISIONES]]*0.21</f>
        <v>0</v>
      </c>
      <c r="J39" s="11"/>
      <c r="K39" s="11"/>
      <c r="L39" s="11"/>
      <c r="N39" s="11"/>
      <c r="O39" s="11">
        <f>Tabla3510182636414244454647484[[#This Row],[COMISIONES]]*0.21</f>
        <v>0</v>
      </c>
      <c r="P39" s="11"/>
      <c r="Q39" s="11"/>
      <c r="R39" s="11"/>
      <c r="T39" s="11">
        <v>43186.04</v>
      </c>
      <c r="U39" s="19"/>
      <c r="V39" s="19">
        <f>Tabla612202838616264656667686[[#This Row],[COMISIONES]]*0.105</f>
        <v>4534.5342000000001</v>
      </c>
      <c r="W39">
        <v>2591.16</v>
      </c>
      <c r="X39">
        <v>647.79</v>
      </c>
      <c r="Z39" s="3">
        <v>8834.84</v>
      </c>
      <c r="AA39" s="21">
        <f>Tabla356813212939717274757677787[[#This Row],[COMISIONES]]*0.21</f>
        <v>1855.3163999999999</v>
      </c>
      <c r="AB39" s="21"/>
      <c r="AC39" s="21">
        <v>387.71</v>
      </c>
      <c r="AD39" s="21"/>
    </row>
    <row r="40" spans="2:31" x14ac:dyDescent="0.25">
      <c r="B40" s="3"/>
      <c r="C40" s="2">
        <f>Tabla13162432212223352627282[[#This Row],[COMISIONES]]*0.21</f>
        <v>0</v>
      </c>
      <c r="D40" s="3">
        <f>Tabla13162432212223352627282[[#This Row],[COMISIONES]]*0.105</f>
        <v>0</v>
      </c>
      <c r="E40" s="3"/>
      <c r="F40" s="3"/>
      <c r="H40" s="11"/>
      <c r="I40" s="11">
        <f>Tabla39172535313233453637383[[#This Row],[COMISIONES]]*0.21</f>
        <v>0</v>
      </c>
      <c r="J40" s="11"/>
      <c r="K40" s="11"/>
      <c r="L40" s="11"/>
      <c r="N40" s="11"/>
      <c r="O40" s="11">
        <f>Tabla3510182636414244454647484[[#This Row],[COMISIONES]]*0.21</f>
        <v>0</v>
      </c>
      <c r="P40" s="11"/>
      <c r="Q40" s="11"/>
      <c r="R40" s="11"/>
      <c r="T40" s="11">
        <v>300</v>
      </c>
      <c r="U40" s="19">
        <f>Tabla612202838616264656667686[[#This Row],[COMISIONES]]*0.21</f>
        <v>63</v>
      </c>
      <c r="Z40" s="3">
        <v>539.20000000000005</v>
      </c>
      <c r="AA40" s="21">
        <f>Tabla356813212939717274757677787[[#This Row],[COMISIONES]]*0.21</f>
        <v>113.232</v>
      </c>
      <c r="AB40" s="21"/>
      <c r="AC40" s="21">
        <v>255.81</v>
      </c>
      <c r="AD40" s="21"/>
    </row>
    <row r="41" spans="2:31" x14ac:dyDescent="0.25">
      <c r="B41" s="3"/>
      <c r="C41" s="2">
        <f>Tabla13162432212223352627282[[#This Row],[COMISIONES]]*0.21</f>
        <v>0</v>
      </c>
      <c r="D41" s="3">
        <f>Tabla13162432212223352627282[[#This Row],[COMISIONES]]*0.105</f>
        <v>0</v>
      </c>
      <c r="E41" s="3"/>
      <c r="F41" s="3"/>
      <c r="H41" s="18"/>
      <c r="I41" s="18">
        <f>Tabla39172535313233453637383[[#This Row],[COMISIONES]]*0.21</f>
        <v>0</v>
      </c>
      <c r="J41" s="18"/>
      <c r="K41" s="18"/>
      <c r="L41" s="18"/>
      <c r="N41" s="11"/>
      <c r="O41" s="11">
        <f>Tabla3510182636414244454647484[[#This Row],[COMISIONES]]*0.21</f>
        <v>0</v>
      </c>
      <c r="P41" s="11"/>
      <c r="Q41" s="11"/>
      <c r="R41" s="11"/>
      <c r="T41" s="11">
        <v>300</v>
      </c>
      <c r="U41" s="19">
        <f>Tabla612202838616264656667686[[#This Row],[COMISIONES]]*0.21</f>
        <v>63</v>
      </c>
      <c r="Z41" s="3">
        <v>30505.21</v>
      </c>
      <c r="AA41" s="21">
        <f>Tabla356813212939717274757677787[[#This Row],[COMISIONES]]*0.21</f>
        <v>6406.0940999999993</v>
      </c>
      <c r="AB41" s="21"/>
      <c r="AC41" s="21">
        <v>23022.78</v>
      </c>
      <c r="AD41" s="21"/>
    </row>
    <row r="42" spans="2:31" x14ac:dyDescent="0.25">
      <c r="B42" s="3"/>
      <c r="C42" s="2">
        <f>Tabla13162432212223352627282[[#This Row],[COMISIONES]]*0.21</f>
        <v>0</v>
      </c>
      <c r="D42" s="3">
        <f>Tabla13162432212223352627282[[#This Row],[COMISIONES]]*0.105</f>
        <v>0</v>
      </c>
      <c r="E42" s="3"/>
      <c r="F42" s="3"/>
      <c r="H42" s="18"/>
      <c r="I42" s="18">
        <f>Tabla39172535313233453637383[[#This Row],[COMISIONES]]*0.21</f>
        <v>0</v>
      </c>
      <c r="J42" s="18"/>
      <c r="K42" s="18"/>
      <c r="L42" s="18"/>
      <c r="N42" s="11"/>
      <c r="O42" s="11">
        <f>Tabla3510182636414244454647484[[#This Row],[COMISIONES]]*0.21</f>
        <v>0</v>
      </c>
      <c r="P42" s="11"/>
      <c r="Q42" s="11"/>
      <c r="R42" s="11"/>
      <c r="T42" s="11">
        <v>300</v>
      </c>
      <c r="U42" s="19">
        <f>Tabla612202838616264656667686[[#This Row],[COMISIONES]]*0.21</f>
        <v>63</v>
      </c>
      <c r="Z42" s="3">
        <v>59485.95</v>
      </c>
      <c r="AA42" s="21">
        <v>4654.68</v>
      </c>
      <c r="AB42" s="21">
        <v>3918.68</v>
      </c>
      <c r="AC42" s="21">
        <v>656.64</v>
      </c>
      <c r="AD42" s="21"/>
    </row>
    <row r="43" spans="2:31" x14ac:dyDescent="0.25">
      <c r="B43" s="3"/>
      <c r="C43" s="2">
        <f>Tabla13162432212223352627282[[#This Row],[COMISIONES]]*0.21</f>
        <v>0</v>
      </c>
      <c r="D43" s="3">
        <f>Tabla13162432212223352627282[[#This Row],[COMISIONES]]*0.105</f>
        <v>0</v>
      </c>
      <c r="E43" s="3"/>
      <c r="F43" s="3"/>
      <c r="G43" s="8"/>
      <c r="H43" s="18"/>
      <c r="I43" s="18">
        <f>Tabla39172535313233453637383[[#This Row],[COMISIONES]]*0.21</f>
        <v>0</v>
      </c>
      <c r="J43" s="18"/>
      <c r="K43" s="18"/>
      <c r="L43" s="18"/>
      <c r="M43" s="8"/>
      <c r="N43" s="11"/>
      <c r="O43" s="11">
        <f>Tabla3510182636414244454647484[[#This Row],[COMISIONES]]*0.21</f>
        <v>0</v>
      </c>
      <c r="P43" s="11"/>
      <c r="Q43" s="11"/>
      <c r="R43" s="11"/>
      <c r="S43" s="8"/>
      <c r="T43" s="11">
        <v>300</v>
      </c>
      <c r="U43" s="19">
        <f>Tabla612202838616264656667686[[#This Row],[COMISIONES]]*0.21</f>
        <v>63</v>
      </c>
      <c r="Y43" s="8"/>
      <c r="Z43" s="3">
        <v>1413.76</v>
      </c>
      <c r="AA43" s="21">
        <f>Tabla356813212939717274757677787[[#This Row],[COMISIONES]]*0.21</f>
        <v>296.88959999999997</v>
      </c>
      <c r="AB43" s="21"/>
      <c r="AC43" s="21">
        <v>59097.37</v>
      </c>
      <c r="AD43" s="21"/>
      <c r="AE43" s="8"/>
    </row>
    <row r="44" spans="2:31" x14ac:dyDescent="0.25">
      <c r="B44" s="3"/>
      <c r="C44" s="2">
        <f>Tabla13162432212223352627282[[#This Row],[COMISIONES]]*0.21</f>
        <v>0</v>
      </c>
      <c r="D44" s="3">
        <f>Tabla13162432212223352627282[[#This Row],[COMISIONES]]*0.105</f>
        <v>0</v>
      </c>
      <c r="E44" s="3"/>
      <c r="F44" s="3"/>
      <c r="H44" s="18"/>
      <c r="I44" s="18">
        <f>Tabla39172535313233453637383[[#This Row],[COMISIONES]]*0.21</f>
        <v>0</v>
      </c>
      <c r="J44" s="18"/>
      <c r="K44" s="18"/>
      <c r="L44" s="18"/>
      <c r="N44" s="11"/>
      <c r="O44" s="11">
        <f>Tabla3510182636414244454647484[[#This Row],[COMISIONES]]*0.21</f>
        <v>0</v>
      </c>
      <c r="P44" s="11"/>
      <c r="Q44" s="11"/>
      <c r="R44" s="11"/>
      <c r="T44">
        <v>300</v>
      </c>
      <c r="U44" s="19">
        <f>Tabla612202838616264656667686[[#This Row],[COMISIONES]]*0.21</f>
        <v>63</v>
      </c>
      <c r="Z44" s="3">
        <v>2620.3200000000002</v>
      </c>
      <c r="AA44" s="21">
        <f>Tabla356813212939717274757677787[[#This Row],[COMISIONES]]*0.21</f>
        <v>550.2672</v>
      </c>
      <c r="AB44" s="21"/>
      <c r="AC44" s="21">
        <v>28.88</v>
      </c>
      <c r="AD44" s="21"/>
    </row>
    <row r="45" spans="2:31" x14ac:dyDescent="0.25">
      <c r="B45" s="3"/>
      <c r="C45" s="2">
        <f>Tabla13162432212223352627282[[#This Row],[COMISIONES]]*0.21</f>
        <v>0</v>
      </c>
      <c r="D45" s="3">
        <f>Tabla13162432212223352627282[[#This Row],[COMISIONES]]*0.105</f>
        <v>0</v>
      </c>
      <c r="E45" s="3"/>
      <c r="F45" s="3"/>
      <c r="H45" s="18"/>
      <c r="I45" s="18">
        <f>Tabla39172535313233453637383[[#This Row],[COMISIONES]]*0.21</f>
        <v>0</v>
      </c>
      <c r="J45" s="18"/>
      <c r="K45" s="18"/>
      <c r="L45" s="18"/>
      <c r="N45" s="11"/>
      <c r="O45" s="11">
        <f>Tabla3510182636414244454647484[[#This Row],[COMISIONES]]*0.21</f>
        <v>0</v>
      </c>
      <c r="P45" s="11"/>
      <c r="Q45" s="11"/>
      <c r="R45" s="11"/>
      <c r="U45" s="19">
        <f>Tabla612202838616264656667686[[#This Row],[COMISIONES]]*0.21</f>
        <v>0</v>
      </c>
      <c r="Z45" s="3">
        <v>39531.199999999997</v>
      </c>
      <c r="AA45" s="21">
        <f>Tabla356813212939717274757677787[[#This Row],[COMISIONES]]*0.21</f>
        <v>8301.5519999999997</v>
      </c>
      <c r="AB45" s="21"/>
      <c r="AC45" s="21">
        <v>2599.89</v>
      </c>
      <c r="AD45" s="21"/>
    </row>
    <row r="46" spans="2:31" x14ac:dyDescent="0.25">
      <c r="B46" s="3"/>
      <c r="C46" s="2">
        <f>Tabla13162432212223352627282[[#This Row],[COMISIONES]]*0.21</f>
        <v>0</v>
      </c>
      <c r="D46" s="3">
        <f>Tabla13162432212223352627282[[#This Row],[COMISIONES]]*0.105</f>
        <v>0</v>
      </c>
      <c r="E46" s="3"/>
      <c r="F46" s="3"/>
      <c r="H46" s="18"/>
      <c r="I46" s="18">
        <f>Tabla39172535313233453637383[[#This Row],[COMISIONES]]*0.21</f>
        <v>0</v>
      </c>
      <c r="J46" s="18"/>
      <c r="K46" s="18"/>
      <c r="L46" s="18"/>
      <c r="N46" s="11"/>
      <c r="O46" s="11">
        <f>Tabla3510182636414244454647484[[#This Row],[COMISIONES]]*0.21</f>
        <v>0</v>
      </c>
      <c r="P46" s="11"/>
      <c r="Q46" s="11"/>
      <c r="R46" s="11"/>
      <c r="U46" s="19">
        <f>Tabla612202838616264656667686[[#This Row],[COMISIONES]]*0.21</f>
        <v>0</v>
      </c>
      <c r="Z46" s="3">
        <v>16145.87</v>
      </c>
      <c r="AA46" s="21">
        <v>2256.61</v>
      </c>
      <c r="AB46" s="21">
        <v>567.01</v>
      </c>
      <c r="AC46" s="21">
        <v>500.18</v>
      </c>
      <c r="AD46" s="21"/>
    </row>
    <row r="47" spans="2:31" x14ac:dyDescent="0.25">
      <c r="B47" s="3"/>
      <c r="C47" s="2">
        <f>Tabla13162432212223352627282[[#This Row],[COMISIONES]]*0.21</f>
        <v>0</v>
      </c>
      <c r="D47" s="3">
        <f>Tabla13162432212223352627282[[#This Row],[COMISIONES]]*0.105</f>
        <v>0</v>
      </c>
      <c r="E47" s="3"/>
      <c r="F47" s="3"/>
      <c r="H47" s="18"/>
      <c r="I47" s="18">
        <f>Tabla39172535313233453637383[[#This Row],[COMISIONES]]*0.21</f>
        <v>0</v>
      </c>
      <c r="J47" s="18"/>
      <c r="K47" s="18"/>
      <c r="L47" s="18"/>
      <c r="N47" s="11"/>
      <c r="O47" s="11">
        <f>Tabla3510182636414244454647484[[#This Row],[COMISIONES]]*0.21</f>
        <v>0</v>
      </c>
      <c r="P47" s="11"/>
      <c r="Q47" s="11"/>
      <c r="R47" s="11"/>
      <c r="U47" s="19">
        <f>Tabla612202838616264656667686[[#This Row],[COMISIONES]]*0.21</f>
        <v>0</v>
      </c>
      <c r="Z47" s="3">
        <v>3065.6</v>
      </c>
      <c r="AA47" s="21">
        <f>Tabla356813212939717274757677787[[#This Row],[COMISIONES]]*0.21</f>
        <v>643.77599999999995</v>
      </c>
      <c r="AB47" s="21"/>
      <c r="AC47" s="21">
        <v>45016.25</v>
      </c>
      <c r="AD47" s="21"/>
    </row>
    <row r="48" spans="2:31" x14ac:dyDescent="0.25">
      <c r="B48" s="3"/>
      <c r="C48" s="2">
        <f>Tabla13162432212223352627282[[#This Row],[COMISIONES]]*0.21</f>
        <v>0</v>
      </c>
      <c r="D48" s="3">
        <f>Tabla13162432212223352627282[[#This Row],[COMISIONES]]*0.105</f>
        <v>0</v>
      </c>
      <c r="E48" s="3"/>
      <c r="F48" s="3"/>
      <c r="H48" s="18"/>
      <c r="I48" s="18">
        <f>Tabla39172535313233453637383[[#This Row],[COMISIONES]]*0.21</f>
        <v>0</v>
      </c>
      <c r="J48" s="18"/>
      <c r="K48" s="18"/>
      <c r="L48" s="18"/>
      <c r="N48" s="11"/>
      <c r="O48" s="11">
        <f>Tabla3510182636414244454647484[[#This Row],[COMISIONES]]*0.21</f>
        <v>0</v>
      </c>
      <c r="P48" s="11"/>
      <c r="Q48" s="11"/>
      <c r="R48" s="11"/>
      <c r="U48" s="19">
        <f>Tabla612202838616264656667686[[#This Row],[COMISIONES]]*0.21</f>
        <v>0</v>
      </c>
      <c r="Z48" s="3">
        <v>20752.2</v>
      </c>
      <c r="AA48" s="21">
        <f>Tabla356813212939717274757677787[[#This Row],[COMISIONES]]*0.21</f>
        <v>4357.9620000000004</v>
      </c>
      <c r="AB48" s="21"/>
      <c r="AC48" s="21">
        <v>103.5</v>
      </c>
      <c r="AD48" s="21"/>
    </row>
    <row r="49" spans="1:41" x14ac:dyDescent="0.25">
      <c r="B49" s="3"/>
      <c r="C49" s="2">
        <f>Tabla13162432212223352627282[[#This Row],[COMISIONES]]*0.21</f>
        <v>0</v>
      </c>
      <c r="D49" s="3">
        <f>Tabla13162432212223352627282[[#This Row],[COMISIONES]]*0.105</f>
        <v>0</v>
      </c>
      <c r="E49" s="3"/>
      <c r="F49" s="3"/>
      <c r="H49" s="18"/>
      <c r="I49" s="18">
        <f>Tabla39172535313233453637383[[#This Row],[COMISIONES]]*0.21</f>
        <v>0</v>
      </c>
      <c r="J49" s="18"/>
      <c r="K49" s="18"/>
      <c r="L49" s="18"/>
      <c r="N49" s="11"/>
      <c r="O49" s="11">
        <f>Tabla3510182636414244454647484[[#This Row],[COMISIONES]]*0.21</f>
        <v>0</v>
      </c>
      <c r="P49" s="11"/>
      <c r="Q49" s="11"/>
      <c r="R49" s="11"/>
      <c r="U49" s="19">
        <f>Tabla612202838616264656667686[[#This Row],[COMISIONES]]*0.21</f>
        <v>0</v>
      </c>
      <c r="Z49" s="3">
        <v>5756.59</v>
      </c>
      <c r="AA49" s="21"/>
      <c r="AB49" s="1">
        <f>Tabla356813212939717274757677787[[#This Row],[COMISIONES]]*0.105</f>
        <v>604.44195000000002</v>
      </c>
      <c r="AC49" s="21">
        <v>9314.18</v>
      </c>
      <c r="AD49" s="21"/>
    </row>
    <row r="50" spans="1:41" s="6" customFormat="1" x14ac:dyDescent="0.25">
      <c r="A50"/>
      <c r="B50" s="3"/>
      <c r="C50" s="2">
        <f>Tabla13162432212223352627282[[#This Row],[COMISIONES]]*0.21</f>
        <v>0</v>
      </c>
      <c r="D50" s="3">
        <f>Tabla13162432212223352627282[[#This Row],[COMISIONES]]*0.105</f>
        <v>0</v>
      </c>
      <c r="E50" s="3"/>
      <c r="F50" s="3"/>
      <c r="H50" s="18"/>
      <c r="I50" s="18">
        <f>Tabla39172535313233453637383[[#This Row],[COMISIONES]]*0.21</f>
        <v>0</v>
      </c>
      <c r="J50" s="18"/>
      <c r="K50" s="18"/>
      <c r="L50" s="18"/>
      <c r="N50" s="11"/>
      <c r="O50" s="11">
        <f>Tabla3510182636414244454647484[[#This Row],[COMISIONES]]*0.21</f>
        <v>0</v>
      </c>
      <c r="P50" s="11"/>
      <c r="Q50" s="11"/>
      <c r="R50" s="11"/>
      <c r="T50"/>
      <c r="U50" s="19">
        <f>Tabla612202838616264656667686[[#This Row],[COMISIONES]]*0.21</f>
        <v>0</v>
      </c>
      <c r="V50"/>
      <c r="W50"/>
      <c r="X50"/>
      <c r="Z50" s="3">
        <v>479.93</v>
      </c>
      <c r="AA50" s="21">
        <f>Tabla356813212939717274757677787[[#This Row],[COMISIONES]]*0.21</f>
        <v>100.78529999999999</v>
      </c>
      <c r="AB50" s="21"/>
      <c r="AC50" s="21">
        <v>436.4</v>
      </c>
      <c r="AD50" s="21"/>
      <c r="AF50"/>
      <c r="AG50"/>
      <c r="AH50"/>
      <c r="AI50"/>
      <c r="AJ50"/>
      <c r="AK50"/>
      <c r="AL50"/>
      <c r="AM50"/>
      <c r="AN50"/>
      <c r="AO50"/>
    </row>
    <row r="51" spans="1:41" s="6" customFormat="1" x14ac:dyDescent="0.25">
      <c r="A51"/>
      <c r="B51" s="2"/>
      <c r="C51" s="2">
        <f>Tabla13162432212223352627282[[#This Row],[COMISIONES]]*0.21</f>
        <v>0</v>
      </c>
      <c r="D51" s="2">
        <f>Tabla13162432212223352627282[[#This Row],[COMISIONES]]*0.105</f>
        <v>0</v>
      </c>
      <c r="E51" s="2"/>
      <c r="F51"/>
      <c r="H51" s="18"/>
      <c r="I51" s="18">
        <f>Tabla39172535313233453637383[[#This Row],[COMISIONES]]*0.21</f>
        <v>0</v>
      </c>
      <c r="J51" s="18"/>
      <c r="K51" s="18"/>
      <c r="L51" s="18"/>
      <c r="N51" s="11"/>
      <c r="O51" s="11">
        <f>Tabla3510182636414244454647484[[#This Row],[COMISIONES]]*0.21</f>
        <v>0</v>
      </c>
      <c r="P51" s="11"/>
      <c r="Q51" s="11"/>
      <c r="R51" s="11"/>
      <c r="T51"/>
      <c r="U51" s="19">
        <f>Tabla612202838616264656667686[[#This Row],[COMISIONES]]*0.21</f>
        <v>0</v>
      </c>
      <c r="V51"/>
      <c r="W51"/>
      <c r="X51"/>
      <c r="Z51" s="3">
        <v>2858.5</v>
      </c>
      <c r="AA51" s="21">
        <f>Tabla356813212939717274757677787[[#This Row],[COMISIONES]]*0.21</f>
        <v>600.28499999999997</v>
      </c>
      <c r="AB51" s="21"/>
      <c r="AC51" s="21">
        <v>39275.72</v>
      </c>
      <c r="AD51" s="21"/>
      <c r="AF51"/>
      <c r="AG51"/>
      <c r="AH51"/>
      <c r="AI51"/>
      <c r="AJ51"/>
      <c r="AK51"/>
      <c r="AL51"/>
      <c r="AM51"/>
      <c r="AN51"/>
      <c r="AO51"/>
    </row>
    <row r="52" spans="1:41" s="6" customFormat="1" x14ac:dyDescent="0.25">
      <c r="A52"/>
      <c r="B52" s="2"/>
      <c r="C52" s="2">
        <f>Tabla13162432212223352627282[[#This Row],[COMISIONES]]*0.21</f>
        <v>0</v>
      </c>
      <c r="D52" s="2">
        <f>Tabla13162432212223352627282[[#This Row],[COMISIONES]]*0.105</f>
        <v>0</v>
      </c>
      <c r="E52" s="2"/>
      <c r="F52"/>
      <c r="H52" s="18"/>
      <c r="I52" s="18">
        <f>Tabla39172535313233453637383[[#This Row],[COMISIONES]]*0.21</f>
        <v>0</v>
      </c>
      <c r="J52" s="18"/>
      <c r="K52" s="18"/>
      <c r="L52" s="18"/>
      <c r="N52" s="11"/>
      <c r="O52" s="11">
        <f>Tabla3510182636414244454647484[[#This Row],[COMISIONES]]*0.21</f>
        <v>0</v>
      </c>
      <c r="P52" s="11"/>
      <c r="Q52" s="11"/>
      <c r="R52" s="11"/>
      <c r="T52"/>
      <c r="U52" s="19">
        <f>Tabla612202838616264656667686[[#This Row],[COMISIONES]]*0.21</f>
        <v>0</v>
      </c>
      <c r="V52"/>
      <c r="W52"/>
      <c r="X52"/>
      <c r="Z52" s="3">
        <v>25100.400000000001</v>
      </c>
      <c r="AA52" s="21">
        <f>Tabla356813212939717274757677787[[#This Row],[COMISIONES]]*0.21</f>
        <v>5271.0839999999998</v>
      </c>
      <c r="AB52" s="30"/>
      <c r="AC52" s="21">
        <v>33.369999999999997</v>
      </c>
      <c r="AD52" s="21"/>
      <c r="AF52"/>
      <c r="AG52"/>
      <c r="AH52"/>
      <c r="AI52"/>
      <c r="AJ52"/>
      <c r="AK52"/>
      <c r="AL52"/>
      <c r="AM52"/>
      <c r="AN52"/>
      <c r="AO52"/>
    </row>
    <row r="53" spans="1:41" s="6" customFormat="1" x14ac:dyDescent="0.25">
      <c r="A53"/>
      <c r="B53" s="2"/>
      <c r="C53" s="2">
        <f>Tabla13162432212223352627282[[#This Row],[COMISIONES]]*0.21</f>
        <v>0</v>
      </c>
      <c r="D53" s="2">
        <f>Tabla13162432212223352627282[[#This Row],[COMISIONES]]*0.105</f>
        <v>0</v>
      </c>
      <c r="E53" s="2"/>
      <c r="F53"/>
      <c r="H53" s="24">
        <f>SUBTOTAL(109,Tabla39172535313233453637383[COMISIONES])</f>
        <v>0</v>
      </c>
      <c r="I53" s="24">
        <f>SUBTOTAL(109,Tabla39172535313233453637383[IVA 21])</f>
        <v>0</v>
      </c>
      <c r="J53" s="24">
        <f>SUBTOTAL(109,Tabla39172535313233453637383[IVA 10,5])</f>
        <v>0</v>
      </c>
      <c r="K53" s="24">
        <f>SUBTOTAL(109,Tabla39172535313233453637383[Ret IIBB Caba])</f>
        <v>0</v>
      </c>
      <c r="L53" s="24">
        <f>SUBTOTAL(109,Tabla39172535313233453637383[PERC IVA])</f>
        <v>0</v>
      </c>
      <c r="N53" s="11"/>
      <c r="O53" s="11">
        <f>Tabla3510182636414244454647484[[#This Row],[COMISIONES]]*0.21</f>
        <v>0</v>
      </c>
      <c r="P53" s="11"/>
      <c r="Q53" s="11"/>
      <c r="R53" s="11"/>
      <c r="T53"/>
      <c r="U53" s="19">
        <f>Tabla612202838616264656667686[[#This Row],[COMISIONES]]*0.21</f>
        <v>0</v>
      </c>
      <c r="V53"/>
      <c r="W53"/>
      <c r="X53"/>
      <c r="Z53" s="3">
        <v>25604.06</v>
      </c>
      <c r="AA53" s="21"/>
      <c r="AB53" s="1">
        <f>Tabla356813212939717274757677787[[#This Row],[COMISIONES]]*0.105</f>
        <v>2688.4263000000001</v>
      </c>
      <c r="AC53" s="21">
        <v>3003.64</v>
      </c>
      <c r="AD53" s="21"/>
      <c r="AF53"/>
      <c r="AG53"/>
      <c r="AH53"/>
      <c r="AI53"/>
      <c r="AJ53"/>
      <c r="AK53"/>
      <c r="AL53"/>
      <c r="AM53"/>
      <c r="AN53"/>
      <c r="AO53"/>
    </row>
    <row r="54" spans="1:41" s="6" customFormat="1" ht="18.75" x14ac:dyDescent="0.3">
      <c r="A54"/>
      <c r="B54" s="2"/>
      <c r="C54" s="2">
        <f>Tabla13162432212223352627282[[#This Row],[COMISIONES]]*0.21</f>
        <v>0</v>
      </c>
      <c r="D54" s="2">
        <f>Tabla13162432212223352627282[[#This Row],[COMISIONES]]*0.105</f>
        <v>0</v>
      </c>
      <c r="E54" s="2"/>
      <c r="F54"/>
      <c r="H54" s="52" t="s">
        <v>12</v>
      </c>
      <c r="I54" s="52"/>
      <c r="J54" s="52"/>
      <c r="K54" s="52"/>
      <c r="L54" s="52"/>
      <c r="N54" s="11"/>
      <c r="O54" s="11">
        <f>Tabla3510182636414244454647484[[#This Row],[COMISIONES]]*0.21</f>
        <v>0</v>
      </c>
      <c r="P54" s="11"/>
      <c r="Q54" s="11"/>
      <c r="R54" s="11"/>
      <c r="T54"/>
      <c r="U54" s="19">
        <f>Tabla612202838616264656667686[[#This Row],[COMISIONES]]*0.21</f>
        <v>0</v>
      </c>
      <c r="V54"/>
      <c r="W54"/>
      <c r="X54"/>
      <c r="Z54" s="3">
        <v>771.2</v>
      </c>
      <c r="AA54" s="21">
        <f>Tabla356813212939717274757677787[[#This Row],[COMISIONES]]*0.21</f>
        <v>161.952</v>
      </c>
      <c r="AB54" s="21"/>
      <c r="AC54" s="1">
        <v>675.98</v>
      </c>
      <c r="AD54" s="21"/>
      <c r="AF54"/>
      <c r="AG54"/>
      <c r="AH54"/>
      <c r="AI54"/>
      <c r="AJ54"/>
      <c r="AK54"/>
      <c r="AL54"/>
      <c r="AM54"/>
      <c r="AN54"/>
      <c r="AO54"/>
    </row>
    <row r="55" spans="1:41" s="6" customFormat="1" x14ac:dyDescent="0.25">
      <c r="A55"/>
      <c r="B55" s="2"/>
      <c r="C55" s="2">
        <f>Tabla13162432212223352627282[[#This Row],[COMISIONES]]*0.21</f>
        <v>0</v>
      </c>
      <c r="D55" s="2">
        <f>Tabla13162432212223352627282[[#This Row],[COMISIONES]]*0.105</f>
        <v>0</v>
      </c>
      <c r="E55" s="2"/>
      <c r="F55"/>
      <c r="H55" s="12" t="s">
        <v>2</v>
      </c>
      <c r="I55" s="13" t="s">
        <v>0</v>
      </c>
      <c r="J55" s="13" t="s">
        <v>1</v>
      </c>
      <c r="K55" s="13" t="s">
        <v>3</v>
      </c>
      <c r="L55" s="13" t="s">
        <v>4</v>
      </c>
      <c r="N55" s="11"/>
      <c r="O55" s="11">
        <f>Tabla3510182636414244454647484[[#This Row],[COMISIONES]]*0.21</f>
        <v>0</v>
      </c>
      <c r="P55" s="11"/>
      <c r="Q55" s="11"/>
      <c r="R55" s="11"/>
      <c r="T55"/>
      <c r="U55" s="19">
        <f>Tabla612202838616264656667686[[#This Row],[COMISIONES]]*0.21</f>
        <v>0</v>
      </c>
      <c r="V55"/>
      <c r="W55"/>
      <c r="X55"/>
      <c r="Z55" s="3">
        <v>1477</v>
      </c>
      <c r="AA55" s="21">
        <f>Tabla356813212939717274757677787[[#This Row],[COMISIONES]]*0.21</f>
        <v>310.17</v>
      </c>
      <c r="AB55" s="3"/>
      <c r="AC55" s="1">
        <v>60838.19</v>
      </c>
      <c r="AD55" s="21"/>
      <c r="AF55"/>
      <c r="AG55"/>
      <c r="AH55"/>
      <c r="AI55"/>
      <c r="AJ55"/>
      <c r="AK55"/>
      <c r="AL55"/>
      <c r="AM55"/>
      <c r="AN55"/>
      <c r="AO55"/>
    </row>
    <row r="56" spans="1:41" s="6" customFormat="1" x14ac:dyDescent="0.25">
      <c r="A56"/>
      <c r="B56" s="2"/>
      <c r="C56" s="2">
        <f>Tabla13162432212223352627282[[#This Row],[COMISIONES]]*0.21</f>
        <v>0</v>
      </c>
      <c r="D56" s="2">
        <f>Tabla13162432212223352627282[[#This Row],[COMISIONES]]*0.105</f>
        <v>0</v>
      </c>
      <c r="E56" s="2"/>
      <c r="F56"/>
      <c r="H56" s="1"/>
      <c r="I56" s="11">
        <f>Tabla3915233141919294959697989[[#This Row],[COMISIONES]]*0.21</f>
        <v>0</v>
      </c>
      <c r="J56" s="11"/>
      <c r="K56" s="11"/>
      <c r="L56" s="1"/>
      <c r="N56" s="11"/>
      <c r="O56" s="11">
        <f>Tabla3510182636414244454647484[[#This Row],[COMISIONES]]*0.21</f>
        <v>0</v>
      </c>
      <c r="P56" s="11"/>
      <c r="Q56" s="11"/>
      <c r="R56" s="11"/>
      <c r="T56"/>
      <c r="U56" s="19">
        <f>Tabla612202838616264656667686[[#This Row],[COMISIONES]]*0.21</f>
        <v>0</v>
      </c>
      <c r="V56"/>
      <c r="W56"/>
      <c r="X56"/>
      <c r="Z56" s="3">
        <v>27604.16</v>
      </c>
      <c r="AA56" s="21">
        <f>Tabla356813212939717274757677787[[#This Row],[COMISIONES]]*0.21</f>
        <v>5796.8735999999999</v>
      </c>
      <c r="AB56" s="21"/>
      <c r="AC56">
        <v>87.51</v>
      </c>
      <c r="AD56" s="21"/>
      <c r="AF56"/>
      <c r="AG56"/>
      <c r="AH56"/>
      <c r="AI56"/>
      <c r="AJ56"/>
      <c r="AK56"/>
      <c r="AL56"/>
      <c r="AM56"/>
      <c r="AN56"/>
      <c r="AO56"/>
    </row>
    <row r="57" spans="1:41" s="6" customFormat="1" x14ac:dyDescent="0.25">
      <c r="A57"/>
      <c r="B57" s="2"/>
      <c r="C57" s="2">
        <f>Tabla13162432212223352627282[[#This Row],[COMISIONES]]*0.21</f>
        <v>0</v>
      </c>
      <c r="D57" s="2">
        <f>Tabla13162432212223352627282[[#This Row],[COMISIONES]]*0.105</f>
        <v>0</v>
      </c>
      <c r="E57" s="2"/>
      <c r="F57"/>
      <c r="H57" s="11"/>
      <c r="I57" s="11">
        <f>Tabla3915233141919294959697989[[#This Row],[COMISIONES]]*0.21</f>
        <v>0</v>
      </c>
      <c r="J57" s="11"/>
      <c r="K57" s="11"/>
      <c r="L57" s="21"/>
      <c r="N57" s="11"/>
      <c r="O57" s="11">
        <f>Tabla3510182636414244454647484[[#This Row],[COMISIONES]]*0.21</f>
        <v>0</v>
      </c>
      <c r="P57" s="11"/>
      <c r="Q57" s="11"/>
      <c r="R57" s="11"/>
      <c r="T57"/>
      <c r="U57" s="19">
        <f>Tabla612202838616264656667686[[#This Row],[COMISIONES]]*0.21</f>
        <v>0</v>
      </c>
      <c r="V57"/>
      <c r="W57"/>
      <c r="X57"/>
      <c r="Z57" s="3">
        <v>411.12</v>
      </c>
      <c r="AA57" s="21">
        <f>Tabla356813212939717274757677787[[#This Row],[COMISIONES]]*0.21</f>
        <v>86.3352</v>
      </c>
      <c r="AB57" s="21"/>
      <c r="AC57" s="21">
        <v>7875.43</v>
      </c>
      <c r="AD57" s="21"/>
      <c r="AF57"/>
      <c r="AG57"/>
      <c r="AH57"/>
      <c r="AI57"/>
      <c r="AJ57"/>
      <c r="AK57"/>
      <c r="AL57"/>
      <c r="AM57"/>
      <c r="AN57"/>
      <c r="AO57"/>
    </row>
    <row r="58" spans="1:41" s="6" customFormat="1" x14ac:dyDescent="0.25">
      <c r="A58"/>
      <c r="B58" s="2"/>
      <c r="C58" s="2">
        <f>Tabla13162432212223352627282[[#This Row],[COMISIONES]]*0.21</f>
        <v>0</v>
      </c>
      <c r="D58" s="1">
        <f>Tabla13162432212223352627282[[#This Row],[COMISIONES]]*0.105</f>
        <v>0</v>
      </c>
      <c r="E58" s="2"/>
      <c r="F58"/>
      <c r="H58" s="11"/>
      <c r="I58" s="11">
        <f>Tabla3915233141919294959697989[[#This Row],[COMISIONES]]*0.21</f>
        <v>0</v>
      </c>
      <c r="J58" s="11"/>
      <c r="K58" s="11"/>
      <c r="L58" s="11"/>
      <c r="N58" s="11"/>
      <c r="O58" s="11">
        <f>Tabla3510182636414244454647484[[#This Row],[COMISIONES]]*0.21</f>
        <v>0</v>
      </c>
      <c r="P58" s="11"/>
      <c r="Q58" s="11"/>
      <c r="R58" s="11"/>
      <c r="T58"/>
      <c r="U58" s="19">
        <f>Tabla612202838616264656667686[[#This Row],[COMISIONES]]*0.21</f>
        <v>0</v>
      </c>
      <c r="V58"/>
      <c r="W58"/>
      <c r="X58"/>
      <c r="Z58" s="3">
        <v>2928</v>
      </c>
      <c r="AA58" s="21">
        <f>Tabla356813212939717274757677787[[#This Row],[COMISIONES]]*0.21</f>
        <v>614.88</v>
      </c>
      <c r="AB58" s="21"/>
      <c r="AC58" s="21">
        <v>11648.76</v>
      </c>
      <c r="AD58" s="21"/>
      <c r="AF58"/>
      <c r="AG58"/>
      <c r="AH58"/>
      <c r="AI58"/>
      <c r="AJ58"/>
      <c r="AK58"/>
      <c r="AL58"/>
      <c r="AM58"/>
      <c r="AN58"/>
      <c r="AO58"/>
    </row>
    <row r="59" spans="1:41" s="6" customFormat="1" x14ac:dyDescent="0.25">
      <c r="A59"/>
      <c r="B59" s="2"/>
      <c r="C59" s="2">
        <f>Tabla13162432212223352627282[[#This Row],[COMISIONES]]*0.21</f>
        <v>0</v>
      </c>
      <c r="D59" s="2">
        <f>Tabla13162432212223352627282[[#This Row],[COMISIONES]]*0.105</f>
        <v>0</v>
      </c>
      <c r="E59" s="2"/>
      <c r="F59"/>
      <c r="H59" s="11"/>
      <c r="I59" s="11">
        <f>Tabla3915233141919294959697989[[#This Row],[COMISIONES]]*0.21</f>
        <v>0</v>
      </c>
      <c r="J59" s="11"/>
      <c r="K59" s="11"/>
      <c r="L59" s="11"/>
      <c r="N59" s="11"/>
      <c r="O59" s="11">
        <f>Tabla3510182636414244454647484[[#This Row],[COMISIONES]]*0.21</f>
        <v>0</v>
      </c>
      <c r="P59" s="11"/>
      <c r="Q59" s="11"/>
      <c r="R59" s="11"/>
      <c r="T59"/>
      <c r="U59" s="19">
        <f>Tabla612202838616264656667686[[#This Row],[COMISIONES]]*0.21</f>
        <v>0</v>
      </c>
      <c r="V59"/>
      <c r="W59"/>
      <c r="X59"/>
      <c r="Z59" s="3">
        <v>12081.7</v>
      </c>
      <c r="AA59" s="21">
        <f>Tabla356813212939717274757677787[[#This Row],[COMISIONES]]*0.21</f>
        <v>2537.1570000000002</v>
      </c>
      <c r="AB59" s="21"/>
      <c r="AC59" s="21">
        <v>129.43</v>
      </c>
      <c r="AD59" s="21"/>
      <c r="AF59"/>
      <c r="AG59"/>
      <c r="AH59"/>
      <c r="AI59"/>
      <c r="AJ59"/>
      <c r="AK59"/>
      <c r="AL59"/>
      <c r="AM59"/>
      <c r="AN59"/>
      <c r="AO59"/>
    </row>
    <row r="60" spans="1:41" s="6" customFormat="1" x14ac:dyDescent="0.25">
      <c r="A60"/>
      <c r="B60" s="2"/>
      <c r="C60" s="2">
        <f>Tabla13162432212223352627282[[#This Row],[COMISIONES]]*0.21</f>
        <v>0</v>
      </c>
      <c r="D60" s="2">
        <f>Tabla13162432212223352627282[[#This Row],[COMISIONES]]*0.105</f>
        <v>0</v>
      </c>
      <c r="E60" s="2"/>
      <c r="F60"/>
      <c r="H60" s="11"/>
      <c r="I60" s="11">
        <f>Tabla3915233141919294959697989[[#This Row],[COMISIONES]]*0.21</f>
        <v>0</v>
      </c>
      <c r="J60" s="11"/>
      <c r="K60" s="11"/>
      <c r="L60" s="11"/>
      <c r="N60" s="11"/>
      <c r="O60" s="11">
        <f>Tabla3510182636414244454647484[[#This Row],[COMISIONES]]*0.21</f>
        <v>0</v>
      </c>
      <c r="P60" s="11"/>
      <c r="Q60" s="11"/>
      <c r="R60" s="11"/>
      <c r="T60"/>
      <c r="U60" s="19">
        <f>Tabla612202838616264656667686[[#This Row],[COMISIONES]]*0.21</f>
        <v>0</v>
      </c>
      <c r="V60"/>
      <c r="W60"/>
      <c r="X60"/>
      <c r="Z60" s="3">
        <v>16852.13</v>
      </c>
      <c r="AA60" s="21"/>
      <c r="AB60" s="21">
        <f>Tabla356813212939717274757677787[[#This Row],[COMISIONES]]*0.105</f>
        <v>1769.4736500000001</v>
      </c>
      <c r="AC60" s="21">
        <v>85192.63</v>
      </c>
      <c r="AD60" s="21"/>
      <c r="AF60"/>
      <c r="AG60"/>
      <c r="AH60"/>
      <c r="AI60"/>
      <c r="AJ60"/>
      <c r="AK60"/>
      <c r="AL60"/>
      <c r="AM60"/>
      <c r="AN60"/>
      <c r="AO60"/>
    </row>
    <row r="61" spans="1:41" s="6" customFormat="1" x14ac:dyDescent="0.25">
      <c r="A61"/>
      <c r="B61" s="4">
        <f>SUBTOTAL(109,Tabla13162432212223352627282[COMISIONES])</f>
        <v>8055.63</v>
      </c>
      <c r="C61" s="4">
        <f>SUBTOTAL(109,Tabla13162432212223352627282[IVA 21])</f>
        <v>0</v>
      </c>
      <c r="D61" s="4">
        <f>SUBTOTAL(109,Tabla13162432212223352627282[IVA 10,5])</f>
        <v>845.84114999999997</v>
      </c>
      <c r="E61" s="4">
        <f>SUBTOTAL(109,Tabla13162432212223352627282[Ret IIBB Caba])</f>
        <v>483.34</v>
      </c>
      <c r="F61" s="4">
        <f>SUBTOTAL(109,Tabla13162432212223352627282[PERC IVA])</f>
        <v>120.83</v>
      </c>
      <c r="H61" s="11"/>
      <c r="I61" s="11">
        <f>Tabla3915233141919294959697989[[#This Row],[COMISIONES]]*0.21</f>
        <v>0</v>
      </c>
      <c r="J61" s="11"/>
      <c r="K61" s="11"/>
      <c r="L61" s="11"/>
      <c r="N61" s="11"/>
      <c r="O61" s="11">
        <f>Tabla3510182636414244454647484[[#This Row],[COMISIONES]]*0.21</f>
        <v>0</v>
      </c>
      <c r="P61" s="11"/>
      <c r="Q61" s="11"/>
      <c r="R61" s="11"/>
      <c r="T61"/>
      <c r="U61" s="19">
        <f>Tabla612202838616264656667686[[#This Row],[COMISIONES]]*0.21</f>
        <v>0</v>
      </c>
      <c r="V61"/>
      <c r="W61"/>
      <c r="X61"/>
      <c r="Z61" s="3">
        <v>1650.64</v>
      </c>
      <c r="AA61" s="21">
        <f>Tabla356813212939717274757677787[[#This Row],[COMISIONES]]*0.21</f>
        <v>346.63440000000003</v>
      </c>
      <c r="AB61" s="21"/>
      <c r="AC61" s="21">
        <v>946.58</v>
      </c>
      <c r="AD61" s="21"/>
      <c r="AF61"/>
      <c r="AG61"/>
      <c r="AH61"/>
      <c r="AI61"/>
      <c r="AJ61"/>
      <c r="AK61"/>
      <c r="AL61"/>
      <c r="AM61"/>
      <c r="AN61"/>
      <c r="AO61"/>
    </row>
    <row r="62" spans="1:41" s="6" customFormat="1" x14ac:dyDescent="0.25">
      <c r="A62"/>
      <c r="B62"/>
      <c r="C62"/>
      <c r="D62"/>
      <c r="E62"/>
      <c r="F62"/>
      <c r="H62" s="11"/>
      <c r="I62" s="11">
        <f>Tabla3915233141919294959697989[[#This Row],[COMISIONES]]*0.21</f>
        <v>0</v>
      </c>
      <c r="J62" s="11"/>
      <c r="K62" s="11"/>
      <c r="L62" s="11"/>
      <c r="N62" s="11"/>
      <c r="O62" s="11">
        <f>Tabla3510182636414244454647484[[#This Row],[COMISIONES]]*0.21</f>
        <v>0</v>
      </c>
      <c r="P62" s="11"/>
      <c r="Q62" s="11"/>
      <c r="R62" s="11"/>
      <c r="T62" s="4">
        <f>SUBTOTAL(109,Tabla612202838616264656667686[COMISIONES])</f>
        <v>343456.23</v>
      </c>
      <c r="U62" s="4">
        <f>SUBTOTAL(109,Tabla612202838616264656667686[IVA 21])</f>
        <v>50454.6</v>
      </c>
      <c r="V62" s="4">
        <f>SUBTOTAL(109,Tabla612202838616264656667686[IVA 10,5])</f>
        <v>10835.604149999999</v>
      </c>
      <c r="W62" s="4">
        <f>SUBTOTAL(109,Tabla612202838616264656667686[Ret IIBB Caba])</f>
        <v>20516.77</v>
      </c>
      <c r="X62" s="4">
        <f>SUBTOTAL(109,Tabla612202838616264656667686[PERC IVA])</f>
        <v>8710.4399999999987</v>
      </c>
      <c r="Z62" s="3">
        <v>2725.1</v>
      </c>
      <c r="AA62" s="21">
        <f>Tabla356813212939717274757677787[[#This Row],[COMISIONES]]*0.21</f>
        <v>572.27099999999996</v>
      </c>
      <c r="AB62" s="21"/>
      <c r="AC62" s="21">
        <v>13628.28</v>
      </c>
      <c r="AD62" s="21"/>
      <c r="AF62"/>
      <c r="AG62"/>
      <c r="AH62"/>
      <c r="AI62"/>
      <c r="AJ62"/>
      <c r="AK62"/>
      <c r="AL62"/>
      <c r="AM62"/>
      <c r="AN62"/>
      <c r="AO62"/>
    </row>
    <row r="63" spans="1:41" s="6" customFormat="1" x14ac:dyDescent="0.25">
      <c r="A63"/>
      <c r="B63"/>
      <c r="C63"/>
      <c r="D63"/>
      <c r="E63"/>
      <c r="F63"/>
      <c r="H63" s="11"/>
      <c r="I63" s="11">
        <f>Tabla3915233141919294959697989[[#This Row],[COMISIONES]]*0.21</f>
        <v>0</v>
      </c>
      <c r="J63" s="11"/>
      <c r="K63" s="11"/>
      <c r="L63" s="11"/>
      <c r="N63" s="11"/>
      <c r="O63" s="11">
        <f>Tabla3510182636414244454647484[[#This Row],[COMISIONES]]*0.21</f>
        <v>0</v>
      </c>
      <c r="P63" s="11"/>
      <c r="Q63" s="11"/>
      <c r="R63" s="11"/>
      <c r="T63"/>
      <c r="U63"/>
      <c r="V63"/>
      <c r="W63"/>
      <c r="X63"/>
      <c r="Z63" s="3">
        <v>5886.6</v>
      </c>
      <c r="AA63" s="21">
        <f>Tabla356813212939717274757677787[[#This Row],[COMISIONES]]*0.21</f>
        <v>1236.1859999999999</v>
      </c>
      <c r="AB63" s="21"/>
      <c r="AC63" s="21">
        <v>151.43</v>
      </c>
      <c r="AD63" s="21"/>
      <c r="AF63"/>
      <c r="AG63"/>
      <c r="AH63"/>
      <c r="AI63"/>
      <c r="AJ63"/>
      <c r="AK63"/>
      <c r="AL63"/>
      <c r="AM63"/>
      <c r="AN63"/>
      <c r="AO63"/>
    </row>
    <row r="64" spans="1:41" s="6" customFormat="1" ht="18.75" x14ac:dyDescent="0.3">
      <c r="A64"/>
      <c r="B64"/>
      <c r="C64"/>
      <c r="D64"/>
      <c r="E64"/>
      <c r="F64"/>
      <c r="H64" s="11"/>
      <c r="I64" s="11">
        <f>Tabla3915233141919294959697989[[#This Row],[COMISIONES]]*0.21</f>
        <v>0</v>
      </c>
      <c r="J64" s="11"/>
      <c r="K64" s="11"/>
      <c r="L64" s="11"/>
      <c r="N64" s="11"/>
      <c r="O64" s="11">
        <f>Tabla3510182636414244454647484[[#This Row],[COMISIONES]]*0.21</f>
        <v>0</v>
      </c>
      <c r="P64" s="11"/>
      <c r="Q64" s="11"/>
      <c r="R64" s="11"/>
      <c r="T64" s="52" t="s">
        <v>13</v>
      </c>
      <c r="U64" s="52"/>
      <c r="V64" s="52"/>
      <c r="W64" s="52"/>
      <c r="X64" s="52"/>
      <c r="Z64" s="3">
        <v>1668.92</v>
      </c>
      <c r="AA64" s="21">
        <f>Tabla356813212939717274757677787[[#This Row],[COMISIONES]]*0.21</f>
        <v>350.47320000000002</v>
      </c>
      <c r="AB64" s="1"/>
      <c r="AC64" s="21">
        <v>43327.34</v>
      </c>
      <c r="AD64"/>
      <c r="AF64"/>
      <c r="AG64"/>
      <c r="AH64"/>
      <c r="AI64"/>
      <c r="AJ64"/>
      <c r="AK64"/>
      <c r="AL64"/>
      <c r="AM64"/>
      <c r="AN64"/>
      <c r="AO64"/>
    </row>
    <row r="65" spans="1:41" s="6" customFormat="1" x14ac:dyDescent="0.25">
      <c r="A65"/>
      <c r="B65"/>
      <c r="C65"/>
      <c r="D65"/>
      <c r="E65"/>
      <c r="F65"/>
      <c r="H65" s="11"/>
      <c r="I65" s="11">
        <f>Tabla3915233141919294959697989[[#This Row],[COMISIONES]]*0.21</f>
        <v>0</v>
      </c>
      <c r="J65" s="11"/>
      <c r="K65" s="11"/>
      <c r="L65" s="11"/>
      <c r="N65" s="11"/>
      <c r="O65" s="11">
        <f>Tabla3510182636414244454647484[[#This Row],[COMISIONES]]*0.21</f>
        <v>0</v>
      </c>
      <c r="P65" s="11"/>
      <c r="Q65" s="11"/>
      <c r="R65" s="11"/>
      <c r="T65" s="12" t="s">
        <v>2</v>
      </c>
      <c r="U65" s="13" t="s">
        <v>0</v>
      </c>
      <c r="V65" s="13" t="s">
        <v>1</v>
      </c>
      <c r="W65" s="13" t="s">
        <v>3</v>
      </c>
      <c r="X65" s="13" t="s">
        <v>4</v>
      </c>
      <c r="Z65" s="3">
        <v>9685.9</v>
      </c>
      <c r="AA65" s="21">
        <f>Tabla356813212939717274757677787[[#This Row],[COMISIONES]]*0.21</f>
        <v>2034.0389999999998</v>
      </c>
      <c r="AB65" s="21"/>
      <c r="AC65" s="21">
        <v>481.41</v>
      </c>
      <c r="AD65"/>
      <c r="AF65"/>
      <c r="AG65"/>
      <c r="AH65"/>
      <c r="AI65"/>
      <c r="AJ65"/>
      <c r="AK65"/>
      <c r="AL65"/>
      <c r="AM65"/>
      <c r="AN65"/>
      <c r="AO65"/>
    </row>
    <row r="66" spans="1:41" s="6" customFormat="1" x14ac:dyDescent="0.25">
      <c r="A66"/>
      <c r="B66"/>
      <c r="C66"/>
      <c r="D66"/>
      <c r="E66"/>
      <c r="F66"/>
      <c r="H66" s="11"/>
      <c r="I66" s="11">
        <f>Tabla3915233141919294959697989[[#This Row],[COMISIONES]]*0.21</f>
        <v>0</v>
      </c>
      <c r="J66" s="11"/>
      <c r="K66" s="11"/>
      <c r="L66" s="11"/>
      <c r="N66" s="11"/>
      <c r="O66" s="11">
        <f>Tabla3510182636414244454647484[[#This Row],[COMISIONES]]*0.21</f>
        <v>0</v>
      </c>
      <c r="P66" s="11"/>
      <c r="Q66" s="11"/>
      <c r="R66" s="11"/>
      <c r="T66" s="11"/>
      <c r="U66" s="11">
        <f>Tabla612202833421020305060708090[[#This Row],[COMISIONES]]*0.21</f>
        <v>0</v>
      </c>
      <c r="V66" s="11"/>
      <c r="W66" s="1"/>
      <c r="X66" s="11"/>
      <c r="Z66" s="3">
        <v>6027.72</v>
      </c>
      <c r="AA66" s="21">
        <f>Tabla356813212939717274757677787[[#This Row],[COMISIONES]]*0.21</f>
        <v>1265.8212000000001</v>
      </c>
      <c r="AB66" s="21"/>
      <c r="AC66" s="21">
        <v>29.71</v>
      </c>
      <c r="AD66" s="21"/>
      <c r="AF66"/>
      <c r="AG66"/>
      <c r="AH66"/>
      <c r="AI66"/>
      <c r="AJ66"/>
      <c r="AK66"/>
      <c r="AL66"/>
      <c r="AM66"/>
      <c r="AN66"/>
      <c r="AO66"/>
    </row>
    <row r="67" spans="1:41" s="6" customFormat="1" x14ac:dyDescent="0.25">
      <c r="A67"/>
      <c r="B67"/>
      <c r="C67"/>
      <c r="D67"/>
      <c r="E67"/>
      <c r="F67"/>
      <c r="H67" s="11"/>
      <c r="I67" s="11">
        <f>Tabla3915233141919294959697989[[#This Row],[COMISIONES]]*0.21</f>
        <v>0</v>
      </c>
      <c r="J67" s="11"/>
      <c r="K67" s="11"/>
      <c r="L67" s="11"/>
      <c r="N67" s="18"/>
      <c r="O67" s="11">
        <f>Tabla3510182636414244454647484[[#This Row],[COMISIONES]]*0.21</f>
        <v>0</v>
      </c>
      <c r="P67" s="18"/>
      <c r="Q67" s="18"/>
      <c r="R67" s="18"/>
      <c r="T67" s="11"/>
      <c r="U67" s="11">
        <f>Tabla612202833421020305060708090[[#This Row],[COMISIONES]]*0.21</f>
        <v>0</v>
      </c>
      <c r="V67" s="11"/>
      <c r="W67" s="11"/>
      <c r="X67" s="11"/>
      <c r="Z67" s="3">
        <v>12289.95</v>
      </c>
      <c r="AA67" s="21"/>
      <c r="AB67" s="21">
        <f>Tabla356813212939717274757677787[[#This Row],[COMISIONES]]*0.105</f>
        <v>1290.4447500000001</v>
      </c>
      <c r="AC67" s="21">
        <v>2673.51</v>
      </c>
      <c r="AD67" s="21"/>
      <c r="AF67"/>
      <c r="AG67"/>
      <c r="AH67"/>
      <c r="AI67"/>
      <c r="AJ67"/>
      <c r="AK67"/>
      <c r="AL67"/>
      <c r="AM67"/>
      <c r="AN67"/>
      <c r="AO67"/>
    </row>
    <row r="68" spans="1:41" s="6" customFormat="1" x14ac:dyDescent="0.25">
      <c r="A68"/>
      <c r="B68"/>
      <c r="C68"/>
      <c r="D68"/>
      <c r="E68"/>
      <c r="F68"/>
      <c r="H68" s="11"/>
      <c r="I68" s="11">
        <f>Tabla3915233141919294959697989[[#This Row],[COMISIONES]]*0.21</f>
        <v>0</v>
      </c>
      <c r="J68" s="11"/>
      <c r="K68" s="11"/>
      <c r="L68" s="11"/>
      <c r="N68" s="18"/>
      <c r="O68" s="11">
        <f>Tabla3510182636414244454647484[[#This Row],[COMISIONES]]*0.21</f>
        <v>0</v>
      </c>
      <c r="P68" s="18"/>
      <c r="Q68" s="18"/>
      <c r="R68" s="18"/>
      <c r="T68" s="11"/>
      <c r="U68" s="19">
        <f>Tabla612202833421020305060708090[[#This Row],[COMISIONES]]*0.21</f>
        <v>0</v>
      </c>
      <c r="V68"/>
      <c r="W68" s="1"/>
      <c r="X68"/>
      <c r="Z68" s="3">
        <v>782.88</v>
      </c>
      <c r="AA68" s="21">
        <f>Tabla356813212939717274757677787[[#This Row],[COMISIONES]]*0.21</f>
        <v>164.40479999999999</v>
      </c>
      <c r="AB68" s="21"/>
      <c r="AC68" s="21">
        <v>141.19999999999999</v>
      </c>
      <c r="AD68" s="21"/>
      <c r="AF68"/>
      <c r="AG68"/>
      <c r="AH68"/>
      <c r="AI68"/>
      <c r="AJ68"/>
      <c r="AK68"/>
      <c r="AL68"/>
      <c r="AM68"/>
      <c r="AN68"/>
      <c r="AO68"/>
    </row>
    <row r="69" spans="1:41" s="6" customFormat="1" x14ac:dyDescent="0.25">
      <c r="A69"/>
      <c r="B69"/>
      <c r="C69"/>
      <c r="D69"/>
      <c r="E69"/>
      <c r="F69"/>
      <c r="H69" s="11"/>
      <c r="I69" s="11">
        <f>Tabla3915233141919294959697989[[#This Row],[COMISIONES]]*0.21</f>
        <v>0</v>
      </c>
      <c r="J69" s="11"/>
      <c r="K69" s="11"/>
      <c r="L69" s="11"/>
      <c r="N69" s="18"/>
      <c r="O69" s="11">
        <f>Tabla3510182636414244454647484[[#This Row],[COMISIONES]]*0.21</f>
        <v>0</v>
      </c>
      <c r="P69" s="18"/>
      <c r="Q69" s="18"/>
      <c r="R69" s="18"/>
      <c r="T69" s="11"/>
      <c r="U69" s="19">
        <f>Tabla612202833421020305060708090[[#This Row],[COMISIONES]]*0.21</f>
        <v>0</v>
      </c>
      <c r="V69"/>
      <c r="W69"/>
      <c r="X69"/>
      <c r="Z69" s="3">
        <v>1647.95</v>
      </c>
      <c r="AA69" s="21">
        <f>Tabla356813212939717274757677787[[#This Row],[COMISIONES]]*0.21</f>
        <v>346.06950000000001</v>
      </c>
      <c r="AB69" s="21"/>
      <c r="AC69" s="21">
        <v>12707.6</v>
      </c>
      <c r="AD69" s="21"/>
      <c r="AF69"/>
      <c r="AG69"/>
      <c r="AH69"/>
      <c r="AI69"/>
      <c r="AJ69"/>
      <c r="AK69"/>
      <c r="AL69"/>
      <c r="AM69"/>
      <c r="AN69"/>
      <c r="AO69"/>
    </row>
    <row r="70" spans="1:41" s="6" customFormat="1" x14ac:dyDescent="0.25">
      <c r="A70"/>
      <c r="B70"/>
      <c r="C70"/>
      <c r="D70"/>
      <c r="E70"/>
      <c r="F70"/>
      <c r="H70" s="11"/>
      <c r="I70" s="11">
        <f>Tabla3915233141919294959697989[[#This Row],[COMISIONES]]*0.21</f>
        <v>0</v>
      </c>
      <c r="J70" s="11"/>
      <c r="K70" s="11"/>
      <c r="L70" s="11"/>
      <c r="N70" s="18"/>
      <c r="O70" s="11">
        <f>Tabla3510182636414244454647484[[#This Row],[COMISIONES]]*0.21</f>
        <v>0</v>
      </c>
      <c r="P70" s="18"/>
      <c r="Q70" s="18"/>
      <c r="R70" s="18"/>
      <c r="T70" s="11"/>
      <c r="U70" s="19">
        <f>Tabla612202833421020305060708090[[#This Row],[COMISIONES]]*0.21</f>
        <v>0</v>
      </c>
      <c r="V70"/>
      <c r="W70"/>
      <c r="X70"/>
      <c r="Z70" s="3">
        <v>3525.2</v>
      </c>
      <c r="AA70" s="21">
        <f>Tabla356813212939717274757677787[[#This Row],[COMISIONES]]*0.21</f>
        <v>740.29199999999992</v>
      </c>
      <c r="AB70" s="21"/>
      <c r="AC70" s="21">
        <v>598.17999999999995</v>
      </c>
      <c r="AD70" s="21"/>
      <c r="AF70"/>
      <c r="AG70"/>
      <c r="AH70"/>
      <c r="AI70"/>
      <c r="AJ70"/>
      <c r="AK70"/>
      <c r="AL70"/>
      <c r="AM70"/>
      <c r="AN70"/>
      <c r="AO70"/>
    </row>
    <row r="71" spans="1:41" s="6" customFormat="1" x14ac:dyDescent="0.25">
      <c r="A71"/>
      <c r="B71"/>
      <c r="C71"/>
      <c r="D71"/>
      <c r="E71"/>
      <c r="F71"/>
      <c r="H71" s="11"/>
      <c r="I71" s="11">
        <f>Tabla3915233141919294959697989[[#This Row],[COMISIONES]]*0.21</f>
        <v>0</v>
      </c>
      <c r="J71" s="11"/>
      <c r="K71" s="11"/>
      <c r="L71" s="11"/>
      <c r="N71" s="18"/>
      <c r="O71" s="11">
        <f>Tabla3510182636414244454647484[[#This Row],[COMISIONES]]*0.21</f>
        <v>0</v>
      </c>
      <c r="P71" s="18"/>
      <c r="Q71" s="18"/>
      <c r="R71" s="18"/>
      <c r="T71" s="11"/>
      <c r="U71" s="19">
        <f>Tabla612202833421020305060708090[[#This Row],[COMISIONES]]*0.21</f>
        <v>0</v>
      </c>
      <c r="V71"/>
      <c r="W71"/>
      <c r="X71"/>
      <c r="Z71" s="3">
        <v>450.56</v>
      </c>
      <c r="AA71" s="21">
        <f>Tabla356813212939717274757677787[[#This Row],[COMISIONES]]*0.21</f>
        <v>94.617599999999996</v>
      </c>
      <c r="AB71" s="21"/>
      <c r="AC71" s="21">
        <v>53836.02</v>
      </c>
      <c r="AD71" s="21"/>
      <c r="AF71"/>
      <c r="AG71"/>
      <c r="AH71"/>
      <c r="AI71"/>
      <c r="AJ71"/>
      <c r="AK71"/>
      <c r="AL71"/>
      <c r="AM71"/>
      <c r="AN71"/>
      <c r="AO71"/>
    </row>
    <row r="72" spans="1:41" s="6" customFormat="1" x14ac:dyDescent="0.25">
      <c r="A72"/>
      <c r="B72"/>
      <c r="C72"/>
      <c r="D72"/>
      <c r="E72"/>
      <c r="F72"/>
      <c r="H72" s="11"/>
      <c r="I72" s="11">
        <f>Tabla3915233141919294959697989[[#This Row],[COMISIONES]]*0.21</f>
        <v>0</v>
      </c>
      <c r="J72" s="11"/>
      <c r="K72" s="11"/>
      <c r="L72" s="11"/>
      <c r="N72" s="18"/>
      <c r="O72" s="11">
        <f>Tabla3510182636414244454647484[[#This Row],[COMISIONES]]*0.21</f>
        <v>0</v>
      </c>
      <c r="P72" s="18"/>
      <c r="Q72" s="18"/>
      <c r="R72" s="18"/>
      <c r="T72" s="11"/>
      <c r="U72" s="19">
        <f>Tabla612202833421020305060708090[[#This Row],[COMISIONES]]*0.21</f>
        <v>0</v>
      </c>
      <c r="V72"/>
      <c r="W72"/>
      <c r="X72"/>
      <c r="Z72" s="3">
        <v>7150.3</v>
      </c>
      <c r="AA72" s="21">
        <f>Tabla356813212939717274757677787[[#This Row],[COMISIONES]]*0.21</f>
        <v>1501.5629999999999</v>
      </c>
      <c r="AB72" s="21"/>
      <c r="AC72" s="21">
        <v>47.73</v>
      </c>
      <c r="AD72" s="21"/>
      <c r="AF72"/>
      <c r="AG72"/>
      <c r="AH72"/>
      <c r="AI72"/>
      <c r="AJ72"/>
      <c r="AK72"/>
      <c r="AL72"/>
      <c r="AM72"/>
      <c r="AN72"/>
      <c r="AO72"/>
    </row>
    <row r="73" spans="1:41" s="6" customFormat="1" x14ac:dyDescent="0.25">
      <c r="A73"/>
      <c r="B73"/>
      <c r="C73"/>
      <c r="D73"/>
      <c r="E73"/>
      <c r="F73"/>
      <c r="H73" s="11"/>
      <c r="I73" s="11">
        <f>Tabla3915233141919294959697989[[#This Row],[COMISIONES]]*0.21</f>
        <v>0</v>
      </c>
      <c r="J73" s="11"/>
      <c r="K73" s="11"/>
      <c r="L73" s="11"/>
      <c r="N73" s="18"/>
      <c r="O73" s="11">
        <f>Tabla3510182636414244454647484[[#This Row],[COMISIONES]]*0.21</f>
        <v>0</v>
      </c>
      <c r="P73" s="18"/>
      <c r="Q73" s="18"/>
      <c r="R73" s="18"/>
      <c r="T73" s="11"/>
      <c r="U73" s="19">
        <f>Tabla612202833421020305060708090[[#This Row],[COMISIONES]]*0.21</f>
        <v>0</v>
      </c>
      <c r="V73"/>
      <c r="W73"/>
      <c r="X73"/>
      <c r="Z73" s="3">
        <v>10750.97</v>
      </c>
      <c r="AA73" s="21">
        <f>Tabla356813212939717274757677787[[#This Row],[COMISIONES]]*0.21</f>
        <v>2257.7036999999996</v>
      </c>
      <c r="AB73" s="1"/>
      <c r="AC73" s="1">
        <v>4296.01</v>
      </c>
      <c r="AD73"/>
      <c r="AF73"/>
      <c r="AG73"/>
      <c r="AH73"/>
      <c r="AI73"/>
      <c r="AJ73"/>
      <c r="AK73"/>
      <c r="AL73"/>
      <c r="AM73"/>
      <c r="AN73"/>
      <c r="AO73"/>
    </row>
    <row r="74" spans="1:41" s="6" customFormat="1" x14ac:dyDescent="0.25">
      <c r="A74"/>
      <c r="B74"/>
      <c r="C74"/>
      <c r="D74"/>
      <c r="E74"/>
      <c r="F74"/>
      <c r="H74" s="11"/>
      <c r="I74" s="11">
        <f>Tabla3915233141919294959697989[[#This Row],[COMISIONES]]*0.21</f>
        <v>0</v>
      </c>
      <c r="J74" s="11"/>
      <c r="K74" s="11"/>
      <c r="L74" s="11"/>
      <c r="N74" s="18"/>
      <c r="O74" s="11">
        <f>Tabla3510182636414244454647484[[#This Row],[COMISIONES]]*0.21</f>
        <v>0</v>
      </c>
      <c r="P74" s="18"/>
      <c r="Q74" s="18"/>
      <c r="R74" s="18"/>
      <c r="T74" s="11"/>
      <c r="U74" s="19">
        <f>Tabla612202833421020305060708090[[#This Row],[COMISIONES]]*0.21</f>
        <v>0</v>
      </c>
      <c r="V74"/>
      <c r="W74"/>
      <c r="X74"/>
      <c r="Z74" s="3">
        <v>1314.88</v>
      </c>
      <c r="AA74" s="21">
        <f>Tabla356813212939717274757677787[[#This Row],[COMISIONES]]*0.21</f>
        <v>276.12479999999999</v>
      </c>
      <c r="AB74" s="19"/>
      <c r="AC74">
        <v>6566.08</v>
      </c>
      <c r="AD74"/>
      <c r="AF74"/>
      <c r="AG74"/>
      <c r="AH74"/>
      <c r="AI74"/>
      <c r="AJ74"/>
      <c r="AK74"/>
      <c r="AL74"/>
      <c r="AM74"/>
      <c r="AN74"/>
      <c r="AO74"/>
    </row>
    <row r="75" spans="1:41" s="6" customFormat="1" x14ac:dyDescent="0.25">
      <c r="A75"/>
      <c r="B75"/>
      <c r="C75"/>
      <c r="D75"/>
      <c r="E75"/>
      <c r="F75"/>
      <c r="H75" s="11"/>
      <c r="I75" s="11">
        <f>Tabla3915233141919294959697989[[#This Row],[COMISIONES]]*0.21</f>
        <v>0</v>
      </c>
      <c r="J75" s="11"/>
      <c r="K75" s="11"/>
      <c r="L75" s="11"/>
      <c r="N75" s="18"/>
      <c r="O75" s="11">
        <f>Tabla3510182636414244454647484[[#This Row],[COMISIONES]]*0.21</f>
        <v>0</v>
      </c>
      <c r="P75" s="18"/>
      <c r="Q75" s="18"/>
      <c r="R75" s="18"/>
      <c r="T75" s="11"/>
      <c r="U75" s="19">
        <f>Tabla612202833421020305060708090[[#This Row],[COMISIONES]]*0.21</f>
        <v>0</v>
      </c>
      <c r="V75"/>
      <c r="W75"/>
      <c r="X75"/>
      <c r="Z75" s="3">
        <v>2717.6</v>
      </c>
      <c r="AA75" s="21">
        <f>Tabla356813212939717274757677787[[#This Row],[COMISIONES]]*0.21</f>
        <v>570.69599999999991</v>
      </c>
      <c r="AB75" s="1"/>
      <c r="AC75" s="21">
        <v>72.959999999999994</v>
      </c>
      <c r="AD75"/>
      <c r="AF75"/>
      <c r="AG75"/>
      <c r="AH75"/>
      <c r="AI75"/>
      <c r="AJ75"/>
      <c r="AK75"/>
      <c r="AL75"/>
      <c r="AM75"/>
      <c r="AN75"/>
      <c r="AO75"/>
    </row>
    <row r="76" spans="1:41" s="6" customFormat="1" x14ac:dyDescent="0.25">
      <c r="A76"/>
      <c r="B76"/>
      <c r="C76"/>
      <c r="D76"/>
      <c r="E76"/>
      <c r="F76"/>
      <c r="H76" s="11"/>
      <c r="I76" s="11">
        <f>Tabla3915233141919294959697989[[#This Row],[COMISIONES]]*0.21</f>
        <v>0</v>
      </c>
      <c r="J76" s="11"/>
      <c r="K76" s="11"/>
      <c r="L76" s="11"/>
      <c r="N76" s="18"/>
      <c r="O76" s="11">
        <f>Tabla3510182636414244454647484[[#This Row],[COMISIONES]]*0.21</f>
        <v>0</v>
      </c>
      <c r="P76" s="18"/>
      <c r="Q76" s="18"/>
      <c r="R76" s="18"/>
      <c r="T76"/>
      <c r="U76" s="19">
        <f>Tabla612202833421020305060708090[[#This Row],[COMISIONES]]*0.21</f>
        <v>0</v>
      </c>
      <c r="V76"/>
      <c r="W76"/>
      <c r="X76"/>
      <c r="Z76" s="3">
        <v>5416.81</v>
      </c>
      <c r="AA76" s="21">
        <f>Tabla356813212939717274757677787[[#This Row],[COMISIONES]]*0.21</f>
        <v>1137.5300999999999</v>
      </c>
      <c r="AB76" s="1"/>
      <c r="AC76" s="21">
        <v>55768.68</v>
      </c>
      <c r="AD76"/>
      <c r="AF76"/>
      <c r="AG76"/>
      <c r="AH76"/>
      <c r="AI76"/>
      <c r="AJ76"/>
      <c r="AK76"/>
      <c r="AL76"/>
      <c r="AM76"/>
      <c r="AN76"/>
      <c r="AO76"/>
    </row>
    <row r="77" spans="1:41" s="6" customFormat="1" x14ac:dyDescent="0.25">
      <c r="A77"/>
      <c r="B77"/>
      <c r="C77"/>
      <c r="D77"/>
      <c r="E77"/>
      <c r="F77"/>
      <c r="H77" s="11"/>
      <c r="I77" s="11">
        <f>Tabla3915233141919294959697989[[#This Row],[COMISIONES]]*0.21</f>
        <v>0</v>
      </c>
      <c r="J77" s="11"/>
      <c r="K77" s="11"/>
      <c r="L77" s="11"/>
      <c r="N77" s="18"/>
      <c r="O77" s="11">
        <f>Tabla3510182636414244454647484[[#This Row],[COMISIONES]]*0.21</f>
        <v>0</v>
      </c>
      <c r="P77" s="18"/>
      <c r="Q77" s="18"/>
      <c r="R77" s="18"/>
      <c r="T77"/>
      <c r="U77" s="19">
        <f>Tabla612202833421020305060708090[[#This Row],[COMISIONES]]*0.21</f>
        <v>0</v>
      </c>
      <c r="V77"/>
      <c r="W77"/>
      <c r="X77"/>
      <c r="Z77" s="3">
        <v>186.72</v>
      </c>
      <c r="AA77" s="21">
        <f>Tabla356813212939717274757677787[[#This Row],[COMISIONES]]*0.21</f>
        <v>39.211199999999998</v>
      </c>
      <c r="AB77" s="1"/>
      <c r="AC77" s="21">
        <v>618.65</v>
      </c>
      <c r="AD77"/>
      <c r="AF77"/>
      <c r="AG77"/>
      <c r="AH77"/>
      <c r="AI77"/>
      <c r="AJ77"/>
      <c r="AK77"/>
      <c r="AL77"/>
      <c r="AM77"/>
      <c r="AN77"/>
      <c r="AO77"/>
    </row>
    <row r="78" spans="1:41" s="6" customFormat="1" x14ac:dyDescent="0.25">
      <c r="A78"/>
      <c r="B78"/>
      <c r="C78"/>
      <c r="D78"/>
      <c r="E78"/>
      <c r="F78"/>
      <c r="H78" s="11"/>
      <c r="I78" s="11">
        <f>Tabla3915233141919294959697989[[#This Row],[COMISIONES]]*0.21</f>
        <v>0</v>
      </c>
      <c r="J78" s="11"/>
      <c r="K78" s="11"/>
      <c r="L78" s="11"/>
      <c r="N78" s="18"/>
      <c r="O78" s="11">
        <f>Tabla3510182636414244454647484[[#This Row],[COMISIONES]]*0.21</f>
        <v>0</v>
      </c>
      <c r="P78" s="18"/>
      <c r="Q78" s="18"/>
      <c r="R78" s="18"/>
      <c r="T78"/>
      <c r="U78" s="19">
        <f>Tabla612202833421020305060708090[[#This Row],[COMISIONES]]*0.21</f>
        <v>0</v>
      </c>
      <c r="V78"/>
      <c r="W78"/>
      <c r="X78"/>
      <c r="Z78" s="3">
        <v>1102.6400000000001</v>
      </c>
      <c r="AA78" s="21">
        <f>Tabla356813212939717274757677787[[#This Row],[COMISIONES]]*0.21</f>
        <v>231.55440000000002</v>
      </c>
      <c r="AB78" s="1"/>
      <c r="AC78" s="21">
        <v>25.45</v>
      </c>
      <c r="AD78"/>
      <c r="AF78"/>
      <c r="AG78"/>
      <c r="AH78"/>
      <c r="AI78"/>
      <c r="AJ78"/>
      <c r="AK78"/>
      <c r="AL78"/>
      <c r="AM78"/>
      <c r="AN78"/>
      <c r="AO78"/>
    </row>
    <row r="79" spans="1:41" s="6" customFormat="1" x14ac:dyDescent="0.25">
      <c r="A79"/>
      <c r="B79"/>
      <c r="C79"/>
      <c r="D79"/>
      <c r="E79"/>
      <c r="F79"/>
      <c r="H79" s="11"/>
      <c r="I79" s="11">
        <f>Tabla3915233141919294959697989[[#This Row],[COMISIONES]]*0.21</f>
        <v>0</v>
      </c>
      <c r="J79" s="11"/>
      <c r="K79" s="11"/>
      <c r="L79" s="11"/>
      <c r="N79" s="18"/>
      <c r="O79" s="11">
        <f>Tabla3510182636414244454647484[[#This Row],[COMISIONES]]*0.21</f>
        <v>0</v>
      </c>
      <c r="P79" s="18"/>
      <c r="Q79" s="18"/>
      <c r="R79" s="18"/>
      <c r="T79"/>
      <c r="U79" s="19">
        <f>Tabla612202833421020305060708090[[#This Row],[COMISIONES]]*0.21</f>
        <v>0</v>
      </c>
      <c r="V79"/>
      <c r="W79"/>
      <c r="X79"/>
      <c r="Z79" s="3">
        <v>6356.8</v>
      </c>
      <c r="AA79" s="21">
        <f>Tabla356813212939717274757677787[[#This Row],[COMISIONES]]*0.21</f>
        <v>1334.9279999999999</v>
      </c>
      <c r="AB79" s="21"/>
      <c r="AC79" s="21">
        <v>2290.16</v>
      </c>
      <c r="AD79"/>
      <c r="AF79"/>
      <c r="AG79"/>
      <c r="AH79"/>
      <c r="AI79"/>
      <c r="AJ79"/>
      <c r="AK79"/>
      <c r="AL79"/>
      <c r="AM79"/>
      <c r="AN79"/>
      <c r="AO79"/>
    </row>
    <row r="80" spans="1:41" s="6" customFormat="1" x14ac:dyDescent="0.25">
      <c r="A80"/>
      <c r="B80"/>
      <c r="C80"/>
      <c r="D80"/>
      <c r="E80"/>
      <c r="F80"/>
      <c r="H80" s="11"/>
      <c r="I80" s="11">
        <f>Tabla3915233141919294959697989[[#This Row],[COMISIONES]]*0.21</f>
        <v>0</v>
      </c>
      <c r="J80" s="11"/>
      <c r="K80" s="11"/>
      <c r="L80" s="11"/>
      <c r="N80" s="18"/>
      <c r="O80" s="11">
        <f>Tabla3510182636414244454647484[[#This Row],[COMISIONES]]*0.21</f>
        <v>0</v>
      </c>
      <c r="P80" s="18"/>
      <c r="Q80" s="18"/>
      <c r="R80" s="18"/>
      <c r="T80"/>
      <c r="U80" s="19">
        <f>Tabla612202833421020305060708090[[#This Row],[COMISIONES]]*0.21</f>
        <v>0</v>
      </c>
      <c r="V80"/>
      <c r="W80"/>
      <c r="X80"/>
      <c r="Z80" s="3">
        <v>4919.5</v>
      </c>
      <c r="AA80" s="21">
        <f>Tabla356813212939717274757677787[[#This Row],[COMISIONES]]*0.21</f>
        <v>1033.095</v>
      </c>
      <c r="AB80" s="21"/>
      <c r="AC80" s="21">
        <v>13016.57</v>
      </c>
      <c r="AD80"/>
      <c r="AF80"/>
      <c r="AG80"/>
      <c r="AH80"/>
      <c r="AI80"/>
      <c r="AJ80"/>
      <c r="AK80"/>
      <c r="AL80"/>
      <c r="AM80"/>
      <c r="AN80"/>
      <c r="AO80"/>
    </row>
    <row r="81" spans="1:41" s="6" customFormat="1" x14ac:dyDescent="0.25">
      <c r="A81"/>
      <c r="B81"/>
      <c r="C81"/>
      <c r="D81"/>
      <c r="E81"/>
      <c r="F81"/>
      <c r="H81" s="18"/>
      <c r="I81" s="18">
        <f>Tabla3915233141919294959697989[[#This Row],[COMISIONES]]*0.21</f>
        <v>0</v>
      </c>
      <c r="J81" s="18"/>
      <c r="K81" s="18"/>
      <c r="L81" s="18"/>
      <c r="N81" s="18"/>
      <c r="O81" s="11">
        <f>Tabla3510182636414244454647484[[#This Row],[COMISIONES]]*0.21</f>
        <v>0</v>
      </c>
      <c r="P81" s="18"/>
      <c r="Q81" s="18"/>
      <c r="R81" s="18"/>
      <c r="T81"/>
      <c r="U81" s="19">
        <f>Tabla612202833421020305060708090[[#This Row],[COMISIONES]]*0.21</f>
        <v>0</v>
      </c>
      <c r="V81"/>
      <c r="W81"/>
      <c r="X81"/>
      <c r="Z81" s="3">
        <v>610.72</v>
      </c>
      <c r="AA81" s="21">
        <f>Tabla356813212939717274757677787[[#This Row],[COMISIONES]]*0.21</f>
        <v>128.25120000000001</v>
      </c>
      <c r="AB81" s="21"/>
      <c r="AC81" s="21">
        <v>144.63</v>
      </c>
      <c r="AD81"/>
      <c r="AF81"/>
      <c r="AG81"/>
      <c r="AH81"/>
      <c r="AI81"/>
      <c r="AJ81"/>
      <c r="AK81"/>
      <c r="AL81"/>
      <c r="AM81"/>
      <c r="AN81"/>
      <c r="AO81"/>
    </row>
    <row r="82" spans="1:41" s="6" customFormat="1" x14ac:dyDescent="0.25">
      <c r="A82"/>
      <c r="B82"/>
      <c r="C82"/>
      <c r="D82"/>
      <c r="E82"/>
      <c r="F82"/>
      <c r="H82" s="18"/>
      <c r="I82" s="18">
        <f>Tabla3915233141919294959697989[[#This Row],[COMISIONES]]*0.21</f>
        <v>0</v>
      </c>
      <c r="J82" s="18"/>
      <c r="K82" s="18"/>
      <c r="L82" s="18"/>
      <c r="N82" s="18"/>
      <c r="O82" s="11">
        <f>Tabla3510182636414244454647484[[#This Row],[COMISIONES]]*0.21</f>
        <v>0</v>
      </c>
      <c r="P82" s="18"/>
      <c r="Q82" s="18"/>
      <c r="R82" s="18"/>
      <c r="T82"/>
      <c r="U82" s="19">
        <f>Tabla612202833421020305060708090[[#This Row],[COMISIONES]]*0.21</f>
        <v>0</v>
      </c>
      <c r="V82"/>
      <c r="W82"/>
      <c r="X82"/>
      <c r="Z82" s="3">
        <v>7805.65</v>
      </c>
      <c r="AA82" s="21">
        <f>Tabla356813212939717274757677787[[#This Row],[COMISIONES]]*0.21</f>
        <v>1639.1864999999998</v>
      </c>
      <c r="AB82" s="1"/>
      <c r="AC82" s="1">
        <v>25688</v>
      </c>
      <c r="AD82"/>
      <c r="AF82"/>
      <c r="AG82"/>
      <c r="AH82"/>
      <c r="AI82"/>
      <c r="AJ82"/>
      <c r="AK82"/>
      <c r="AL82"/>
      <c r="AM82"/>
      <c r="AN82"/>
      <c r="AO82"/>
    </row>
    <row r="83" spans="1:41" s="6" customFormat="1" x14ac:dyDescent="0.25">
      <c r="A83"/>
      <c r="B83"/>
      <c r="C83"/>
      <c r="D83"/>
      <c r="E83"/>
      <c r="F83"/>
      <c r="H83" s="18"/>
      <c r="I83" s="18">
        <f>Tabla3915233141919294959697989[[#This Row],[COMISIONES]]*0.21</f>
        <v>0</v>
      </c>
      <c r="J83" s="18"/>
      <c r="K83" s="18"/>
      <c r="L83" s="18"/>
      <c r="N83" s="18"/>
      <c r="O83" s="11">
        <f>Tabla3510182636414244454647484[[#This Row],[COMISIONES]]*0.21</f>
        <v>0</v>
      </c>
      <c r="P83" s="18"/>
      <c r="Q83" s="18"/>
      <c r="R83" s="18"/>
      <c r="T83"/>
      <c r="U83" s="19">
        <f>Tabla612202833421020305060708090[[#This Row],[COMISIONES]]*0.21</f>
        <v>0</v>
      </c>
      <c r="V83"/>
      <c r="W83"/>
      <c r="X83"/>
      <c r="Z83" s="3">
        <v>308</v>
      </c>
      <c r="AA83" s="21">
        <f>Tabla356813212939717274757677787[[#This Row],[COMISIONES]]*0.21</f>
        <v>64.679999999999993</v>
      </c>
      <c r="AB83" s="21"/>
      <c r="AC83" s="21">
        <v>285.42</v>
      </c>
      <c r="AD83"/>
      <c r="AF83"/>
      <c r="AG83"/>
      <c r="AH83"/>
      <c r="AI83"/>
      <c r="AJ83"/>
      <c r="AK83"/>
      <c r="AL83"/>
      <c r="AM83"/>
      <c r="AN83"/>
      <c r="AO83"/>
    </row>
    <row r="84" spans="1:41" s="6" customFormat="1" x14ac:dyDescent="0.25">
      <c r="A84"/>
      <c r="B84"/>
      <c r="C84"/>
      <c r="D84"/>
      <c r="E84"/>
      <c r="F84"/>
      <c r="H84" s="18"/>
      <c r="I84" s="18">
        <f>Tabla3915233141919294959697989[[#This Row],[COMISIONES]]*0.21</f>
        <v>0</v>
      </c>
      <c r="J84" s="18"/>
      <c r="K84" s="18"/>
      <c r="L84" s="18"/>
      <c r="N84" s="18"/>
      <c r="O84" s="11">
        <f>Tabla3510182636414244454647484[[#This Row],[COMISIONES]]*0.21</f>
        <v>0</v>
      </c>
      <c r="P84" s="18"/>
      <c r="Q84" s="18"/>
      <c r="R84" s="18"/>
      <c r="T84"/>
      <c r="U84" s="19">
        <f>Tabla612202833421020305060708090[[#This Row],[COMISIONES]]*0.21</f>
        <v>0</v>
      </c>
      <c r="V84"/>
      <c r="W84"/>
      <c r="X84"/>
      <c r="Z84" s="3">
        <v>936.32</v>
      </c>
      <c r="AA84" s="21">
        <f>Tabla356813212939717274757677787[[#This Row],[COMISIONES]]*0.21</f>
        <v>196.62720000000002</v>
      </c>
      <c r="AB84" s="21"/>
      <c r="AC84" s="1">
        <v>102.18</v>
      </c>
      <c r="AD84"/>
      <c r="AF84"/>
      <c r="AG84"/>
      <c r="AH84"/>
      <c r="AI84"/>
      <c r="AJ84"/>
      <c r="AK84"/>
      <c r="AL84"/>
      <c r="AM84"/>
      <c r="AN84"/>
      <c r="AO84"/>
    </row>
    <row r="85" spans="1:41" s="6" customFormat="1" x14ac:dyDescent="0.25">
      <c r="A85"/>
      <c r="B85"/>
      <c r="C85"/>
      <c r="D85"/>
      <c r="E85"/>
      <c r="F85"/>
      <c r="H85" s="18"/>
      <c r="I85" s="18">
        <f>Tabla3915233141919294959697989[[#This Row],[COMISIONES]]*0.21</f>
        <v>0</v>
      </c>
      <c r="J85" s="18"/>
      <c r="K85" s="18"/>
      <c r="L85" s="18"/>
      <c r="N85" s="18"/>
      <c r="O85" s="11">
        <f>Tabla3510182636414244454647484[[#This Row],[COMISIONES]]*0.21</f>
        <v>0</v>
      </c>
      <c r="P85" s="18"/>
      <c r="Q85" s="18"/>
      <c r="R85" s="18"/>
      <c r="T85"/>
      <c r="U85" s="19">
        <f>Tabla612202833421020305060708090[[#This Row],[COMISIONES]]*0.21</f>
        <v>0</v>
      </c>
      <c r="V85"/>
      <c r="W85"/>
      <c r="X85"/>
      <c r="Z85" s="3">
        <v>3595</v>
      </c>
      <c r="AA85" s="21">
        <f>Tabla356813212939717274757677787[[#This Row],[COMISIONES]]*0.21</f>
        <v>754.94999999999993</v>
      </c>
      <c r="AB85" s="1"/>
      <c r="AC85" s="1">
        <v>9194.9699999999993</v>
      </c>
      <c r="AD85"/>
      <c r="AF85"/>
      <c r="AG85"/>
      <c r="AH85"/>
      <c r="AI85"/>
      <c r="AJ85"/>
      <c r="AK85"/>
      <c r="AL85"/>
      <c r="AM85"/>
      <c r="AN85"/>
      <c r="AO85"/>
    </row>
    <row r="86" spans="1:41" s="6" customFormat="1" x14ac:dyDescent="0.25">
      <c r="A86"/>
      <c r="B86"/>
      <c r="C86"/>
      <c r="D86"/>
      <c r="E86"/>
      <c r="F86"/>
      <c r="H86" s="18"/>
      <c r="I86" s="18">
        <f>Tabla3915233141919294959697989[[#This Row],[COMISIONES]]*0.21</f>
        <v>0</v>
      </c>
      <c r="J86" s="18"/>
      <c r="K86" s="18"/>
      <c r="L86" s="18"/>
      <c r="N86" s="18"/>
      <c r="O86" s="11">
        <f>Tabla3510182636414244454647484[[#This Row],[COMISIONES]]*0.21</f>
        <v>0</v>
      </c>
      <c r="P86" s="18"/>
      <c r="Q86" s="18"/>
      <c r="R86" s="18"/>
      <c r="T86"/>
      <c r="U86" s="19">
        <f>Tabla612202833421020305060708090[[#This Row],[COMISIONES]]*0.21</f>
        <v>0</v>
      </c>
      <c r="V86"/>
      <c r="W86"/>
      <c r="X86"/>
      <c r="Z86" s="3">
        <v>15033.58</v>
      </c>
      <c r="AA86" s="21">
        <f>Tabla356813212939717274757677787[[#This Row],[COMISIONES]]*0.21</f>
        <v>3157.0517999999997</v>
      </c>
      <c r="AB86" s="21"/>
      <c r="AC86" s="1">
        <v>134.61000000000001</v>
      </c>
      <c r="AD86"/>
      <c r="AF86"/>
      <c r="AG86"/>
      <c r="AH86"/>
      <c r="AI86"/>
      <c r="AJ86"/>
      <c r="AK86"/>
      <c r="AL86"/>
      <c r="AM86"/>
      <c r="AN86"/>
      <c r="AO86"/>
    </row>
    <row r="87" spans="1:41" s="6" customFormat="1" x14ac:dyDescent="0.25">
      <c r="A87"/>
      <c r="B87"/>
      <c r="C87"/>
      <c r="D87"/>
      <c r="E87"/>
      <c r="F87"/>
      <c r="H87" s="18"/>
      <c r="I87" s="18">
        <f>Tabla3915233141919294959697989[[#This Row],[COMISIONES]]*0.21</f>
        <v>0</v>
      </c>
      <c r="J87" s="18"/>
      <c r="K87" s="18"/>
      <c r="L87" s="18"/>
      <c r="N87" s="18"/>
      <c r="O87" s="11">
        <f>Tabla3510182636414244454647484[[#This Row],[COMISIONES]]*0.21</f>
        <v>0</v>
      </c>
      <c r="P87" s="18"/>
      <c r="Q87" s="18"/>
      <c r="R87" s="18"/>
      <c r="T87"/>
      <c r="U87" s="19">
        <f>Tabla612202833421020305060708090[[#This Row],[COMISIONES]]*0.21</f>
        <v>0</v>
      </c>
      <c r="V87"/>
      <c r="W87"/>
      <c r="X87"/>
      <c r="Z87" s="3">
        <v>24015.37</v>
      </c>
      <c r="AA87" s="21"/>
      <c r="AB87" s="1">
        <f>Tabla356813212939717274757677787[[#This Row],[COMISIONES]]*0.105</f>
        <v>2521.6138499999997</v>
      </c>
      <c r="AC87" s="1">
        <v>12114.57</v>
      </c>
      <c r="AD87" s="21"/>
      <c r="AF87"/>
      <c r="AG87"/>
      <c r="AH87"/>
      <c r="AI87"/>
      <c r="AJ87"/>
      <c r="AK87"/>
      <c r="AL87"/>
      <c r="AM87"/>
      <c r="AN87"/>
      <c r="AO87"/>
    </row>
    <row r="88" spans="1:41" s="6" customFormat="1" x14ac:dyDescent="0.25">
      <c r="A88"/>
      <c r="B88"/>
      <c r="C88"/>
      <c r="D88"/>
      <c r="E88"/>
      <c r="F88"/>
      <c r="H88" s="18"/>
      <c r="I88" s="18">
        <f>Tabla3915233141919294959697989[[#This Row],[COMISIONES]]*0.21</f>
        <v>0</v>
      </c>
      <c r="J88" s="18"/>
      <c r="K88" s="18"/>
      <c r="L88" s="18"/>
      <c r="N88" s="18"/>
      <c r="O88" s="11">
        <f>Tabla3510182636414244454647484[[#This Row],[COMISIONES]]*0.21</f>
        <v>0</v>
      </c>
      <c r="P88" s="18"/>
      <c r="Q88" s="18"/>
      <c r="R88" s="18"/>
      <c r="T88"/>
      <c r="U88" s="19">
        <f>Tabla612202833421020305060708090[[#This Row],[COMISIONES]]*0.21</f>
        <v>0</v>
      </c>
      <c r="V88"/>
      <c r="W88"/>
      <c r="X88"/>
      <c r="Z88" s="3">
        <v>381.41</v>
      </c>
      <c r="AA88" s="21">
        <f>Tabla356813212939717274757677787[[#This Row],[COMISIONES]]*0.21</f>
        <v>80.096100000000007</v>
      </c>
      <c r="AB88" s="21"/>
      <c r="AC88" s="21">
        <v>12924.32</v>
      </c>
      <c r="AD88"/>
      <c r="AF88"/>
      <c r="AG88"/>
      <c r="AH88"/>
      <c r="AI88"/>
      <c r="AJ88"/>
      <c r="AK88"/>
      <c r="AL88"/>
      <c r="AM88"/>
      <c r="AN88"/>
      <c r="AO88"/>
    </row>
    <row r="89" spans="1:41" s="6" customFormat="1" x14ac:dyDescent="0.25">
      <c r="A89"/>
      <c r="B89"/>
      <c r="C89"/>
      <c r="D89"/>
      <c r="E89"/>
      <c r="F89"/>
      <c r="H89" s="18"/>
      <c r="I89" s="18">
        <f>Tabla3915233141919294959697989[[#This Row],[COMISIONES]]*0.21</f>
        <v>0</v>
      </c>
      <c r="J89" s="18"/>
      <c r="K89" s="18"/>
      <c r="L89" s="18"/>
      <c r="N89" s="18"/>
      <c r="O89" s="11">
        <f>Tabla3510182636414244454647484[[#This Row],[COMISIONES]]*0.21</f>
        <v>0</v>
      </c>
      <c r="P89" s="18"/>
      <c r="Q89" s="18"/>
      <c r="R89" s="18"/>
      <c r="T89"/>
      <c r="U89" s="19">
        <f>Tabla612202833421020305060708090[[#This Row],[COMISIONES]]*0.21</f>
        <v>0</v>
      </c>
      <c r="V89"/>
      <c r="W89"/>
      <c r="X89"/>
      <c r="Z89" s="3">
        <v>9011.1</v>
      </c>
      <c r="AA89" s="21">
        <f>Tabla356813212939717274757677787[[#This Row],[COMISIONES]]*0.21</f>
        <v>1892.3309999999999</v>
      </c>
      <c r="AB89" s="19"/>
      <c r="AC89">
        <v>143.6</v>
      </c>
      <c r="AD89"/>
      <c r="AF89"/>
      <c r="AG89"/>
      <c r="AH89"/>
      <c r="AI89"/>
      <c r="AJ89"/>
      <c r="AK89"/>
      <c r="AL89"/>
      <c r="AM89"/>
      <c r="AN89"/>
      <c r="AO89"/>
    </row>
    <row r="90" spans="1:41" s="6" customFormat="1" x14ac:dyDescent="0.25">
      <c r="A90"/>
      <c r="B90"/>
      <c r="C90"/>
      <c r="D90"/>
      <c r="E90"/>
      <c r="F90"/>
      <c r="H90" s="18"/>
      <c r="I90" s="18">
        <f>Tabla3915233141919294959697989[[#This Row],[COMISIONES]]*0.21</f>
        <v>0</v>
      </c>
      <c r="J90" s="18"/>
      <c r="K90" s="18"/>
      <c r="L90" s="18"/>
      <c r="N90" s="18"/>
      <c r="O90" s="11">
        <f>Tabla3510182636414244454647484[[#This Row],[COMISIONES]]*0.21</f>
        <v>0</v>
      </c>
      <c r="P90" s="18"/>
      <c r="Q90" s="18"/>
      <c r="R90" s="18"/>
      <c r="T90"/>
      <c r="U90" s="19">
        <f>Tabla612202833421020305060708090[[#This Row],[COMISIONES]]*0.21</f>
        <v>0</v>
      </c>
      <c r="V90"/>
      <c r="W90"/>
      <c r="X90"/>
      <c r="Z90" s="3">
        <v>16272.08</v>
      </c>
      <c r="AA90" s="21">
        <f>Tabla356813212939717274757677787[[#This Row],[COMISIONES]]*0.21</f>
        <v>3417.1367999999998</v>
      </c>
      <c r="AB90" s="21"/>
      <c r="AC90" s="21">
        <v>103.29</v>
      </c>
      <c r="AD90"/>
      <c r="AF90"/>
      <c r="AG90"/>
      <c r="AH90"/>
      <c r="AI90"/>
      <c r="AJ90"/>
      <c r="AK90"/>
      <c r="AL90"/>
      <c r="AM90"/>
      <c r="AN90"/>
      <c r="AO90"/>
    </row>
    <row r="91" spans="1:41" s="6" customFormat="1" x14ac:dyDescent="0.25">
      <c r="A91"/>
      <c r="B91"/>
      <c r="C91"/>
      <c r="D91"/>
      <c r="E91"/>
      <c r="F91"/>
      <c r="H91" s="18"/>
      <c r="I91" s="18">
        <f>Tabla3915233141919294959697989[[#This Row],[COMISIONES]]*0.21</f>
        <v>0</v>
      </c>
      <c r="J91" s="18"/>
      <c r="K91" s="18"/>
      <c r="L91" s="18"/>
      <c r="N91" s="18"/>
      <c r="O91" s="11">
        <f>Tabla3510182636414244454647484[[#This Row],[COMISIONES]]*0.21</f>
        <v>0</v>
      </c>
      <c r="P91" s="18"/>
      <c r="Q91" s="18"/>
      <c r="R91" s="18"/>
      <c r="T91"/>
      <c r="U91" s="19">
        <f>Tabla612202833421020305060708090[[#This Row],[COMISIONES]]*0.21</f>
        <v>0</v>
      </c>
      <c r="V91"/>
      <c r="W91"/>
      <c r="X91"/>
      <c r="Z91" s="3">
        <v>22940.66</v>
      </c>
      <c r="AA91" s="21"/>
      <c r="AB91" s="21">
        <f>Tabla356813212939717274757677787[[#This Row],[COMISIONES]]*0.105</f>
        <v>2408.7692999999999</v>
      </c>
      <c r="AC91" s="1">
        <v>9296.81</v>
      </c>
      <c r="AD91"/>
      <c r="AF91"/>
      <c r="AG91"/>
      <c r="AH91"/>
      <c r="AI91"/>
      <c r="AJ91"/>
      <c r="AK91"/>
      <c r="AL91"/>
      <c r="AM91"/>
      <c r="AN91"/>
      <c r="AO91"/>
    </row>
    <row r="92" spans="1:41" s="6" customFormat="1" x14ac:dyDescent="0.25">
      <c r="A92"/>
      <c r="B92"/>
      <c r="C92"/>
      <c r="D92"/>
      <c r="E92"/>
      <c r="F92"/>
      <c r="H92" s="18"/>
      <c r="I92" s="18">
        <f>Tabla3915233141919294959697989[[#This Row],[COMISIONES]]*0.21</f>
        <v>0</v>
      </c>
      <c r="J92" s="18"/>
      <c r="K92" s="18"/>
      <c r="L92" s="18"/>
      <c r="N92" s="18"/>
      <c r="O92" s="11">
        <f>Tabla3510182636414244454647484[[#This Row],[COMISIONES]]*0.21</f>
        <v>0</v>
      </c>
      <c r="P92" s="18"/>
      <c r="Q92" s="18"/>
      <c r="R92" s="18"/>
      <c r="T92"/>
      <c r="U92" s="19">
        <f>Tabla612202833421020305060708090[[#This Row],[COMISIONES]]*0.21</f>
        <v>0</v>
      </c>
      <c r="V92"/>
      <c r="W92"/>
      <c r="X92"/>
      <c r="Z92" s="3">
        <v>337.92</v>
      </c>
      <c r="AA92" s="21">
        <f>Tabla356813212939717274757677787[[#This Row],[COMISIONES]]*0.21</f>
        <v>70.963200000000001</v>
      </c>
      <c r="AB92" s="1"/>
      <c r="AC92" s="21">
        <v>43059.15</v>
      </c>
      <c r="AD92" s="21"/>
      <c r="AF92"/>
      <c r="AG92"/>
      <c r="AH92"/>
      <c r="AI92"/>
      <c r="AJ92"/>
      <c r="AK92"/>
      <c r="AL92"/>
      <c r="AM92"/>
      <c r="AN92"/>
      <c r="AO92"/>
    </row>
    <row r="93" spans="1:41" s="6" customFormat="1" x14ac:dyDescent="0.25">
      <c r="A93"/>
      <c r="B93"/>
      <c r="C93"/>
      <c r="D93"/>
      <c r="E93"/>
      <c r="F93"/>
      <c r="H93" s="21"/>
      <c r="I93" s="21">
        <f>Tabla3915233141919294959697989[[#This Row],[COMISIONES]]*0.21</f>
        <v>0</v>
      </c>
      <c r="J93" s="21"/>
      <c r="K93" s="21"/>
      <c r="L93" s="21"/>
      <c r="N93" s="18"/>
      <c r="O93" s="11">
        <f>Tabla3510182636414244454647484[[#This Row],[COMISIONES]]*0.21</f>
        <v>0</v>
      </c>
      <c r="P93" s="18"/>
      <c r="Q93" s="18"/>
      <c r="R93" s="18"/>
      <c r="T93"/>
      <c r="U93" s="19">
        <f>Tabla612202833421020305060708090[[#This Row],[COMISIONES]]*0.21</f>
        <v>0</v>
      </c>
      <c r="V93"/>
      <c r="W93"/>
      <c r="X93"/>
      <c r="Z93" s="3">
        <v>4663.3</v>
      </c>
      <c r="AA93" s="21">
        <f>Tabla356813212939717274757677787[[#This Row],[COMISIONES]]*0.21</f>
        <v>979.29300000000001</v>
      </c>
      <c r="AB93" s="21"/>
      <c r="AC93" s="21">
        <v>478.44</v>
      </c>
      <c r="AD93" s="21"/>
      <c r="AF93"/>
      <c r="AG93"/>
      <c r="AH93"/>
      <c r="AI93"/>
      <c r="AJ93"/>
      <c r="AK93"/>
      <c r="AL93"/>
      <c r="AM93"/>
      <c r="AN93"/>
      <c r="AO93"/>
    </row>
    <row r="94" spans="1:41" s="6" customFormat="1" x14ac:dyDescent="0.25">
      <c r="A94"/>
      <c r="B94"/>
      <c r="C94"/>
      <c r="D94"/>
      <c r="E94"/>
      <c r="F94"/>
      <c r="H94" s="21"/>
      <c r="I94" s="21">
        <f>Tabla3915233141919294959697989[[#This Row],[COMISIONES]]*0.21</f>
        <v>0</v>
      </c>
      <c r="J94" s="21"/>
      <c r="K94" s="21"/>
      <c r="L94" s="21"/>
      <c r="N94" s="18"/>
      <c r="O94" s="11">
        <f>Tabla3510182636414244454647484[[#This Row],[COMISIONES]]*0.21</f>
        <v>0</v>
      </c>
      <c r="P94" s="18"/>
      <c r="Q94" s="18"/>
      <c r="R94" s="18"/>
      <c r="T94" s="17">
        <f>SUBTOTAL(109,Tabla612202833421020305060708090[COMISIONES])</f>
        <v>0</v>
      </c>
      <c r="U94" s="17">
        <f>SUBTOTAL(109,Tabla612202833421020305060708090[IVA 21])</f>
        <v>0</v>
      </c>
      <c r="V94" s="17">
        <f>SUBTOTAL(109,Tabla612202833421020305060708090[IVA 10,5])</f>
        <v>0</v>
      </c>
      <c r="W94" s="17">
        <f>SUBTOTAL(109,Tabla612202833421020305060708090[Ret IIBB Caba])</f>
        <v>0</v>
      </c>
      <c r="X94" s="17">
        <f>SUBTOTAL(109,Tabla612202833421020305060708090[PERC IVA])</f>
        <v>0</v>
      </c>
      <c r="Z94" s="3">
        <v>6627.54</v>
      </c>
      <c r="AA94" s="21">
        <f>Tabla356813212939717274757677787[[#This Row],[COMISIONES]]*0.21</f>
        <v>1391.7834</v>
      </c>
      <c r="AB94" s="21"/>
      <c r="AC94" s="21">
        <v>11901.65</v>
      </c>
      <c r="AD94" s="21"/>
      <c r="AF94"/>
      <c r="AG94"/>
      <c r="AH94"/>
      <c r="AI94"/>
      <c r="AJ94"/>
      <c r="AK94"/>
      <c r="AL94"/>
      <c r="AM94"/>
      <c r="AN94"/>
      <c r="AO94"/>
    </row>
    <row r="95" spans="1:41" s="6" customFormat="1" x14ac:dyDescent="0.25">
      <c r="A95"/>
      <c r="B95"/>
      <c r="C95"/>
      <c r="D95"/>
      <c r="E95"/>
      <c r="F95"/>
      <c r="H95" s="21"/>
      <c r="I95" s="21">
        <f>Tabla3915233141919294959697989[[#This Row],[COMISIONES]]*0.21</f>
        <v>0</v>
      </c>
      <c r="J95" s="21"/>
      <c r="K95" s="21"/>
      <c r="L95" s="21"/>
      <c r="N95" s="18"/>
      <c r="O95" s="11">
        <f>Tabla3510182636414244454647484[[#This Row],[COMISIONES]]*0.21</f>
        <v>0</v>
      </c>
      <c r="P95" s="18"/>
      <c r="Q95" s="18"/>
      <c r="R95" s="18"/>
      <c r="T95"/>
      <c r="U95"/>
      <c r="V95"/>
      <c r="W95"/>
      <c r="X95"/>
      <c r="Z95" s="3">
        <v>12833.53</v>
      </c>
      <c r="AA95" s="21"/>
      <c r="AB95" s="21">
        <f>Tabla356813212939717274757677787[[#This Row],[COMISIONES]]*0.105</f>
        <v>1347.5206499999999</v>
      </c>
      <c r="AC95" s="21">
        <v>132.24</v>
      </c>
      <c r="AD95" s="21"/>
      <c r="AF95"/>
      <c r="AG95"/>
      <c r="AH95"/>
      <c r="AI95"/>
      <c r="AJ95"/>
      <c r="AK95"/>
      <c r="AL95"/>
      <c r="AM95"/>
      <c r="AN95"/>
      <c r="AO95"/>
    </row>
    <row r="96" spans="1:41" s="6" customFormat="1" x14ac:dyDescent="0.25">
      <c r="A96"/>
      <c r="B96"/>
      <c r="C96"/>
      <c r="D96"/>
      <c r="E96"/>
      <c r="F96"/>
      <c r="H96" s="21"/>
      <c r="I96" s="21">
        <f>Tabla3915233141919294959697989[[#This Row],[COMISIONES]]*0.21</f>
        <v>0</v>
      </c>
      <c r="J96" s="21"/>
      <c r="K96" s="21"/>
      <c r="L96" s="21"/>
      <c r="N96" s="18"/>
      <c r="O96" s="11">
        <f>Tabla3510182636414244454647484[[#This Row],[COMISIONES]]*0.21</f>
        <v>0</v>
      </c>
      <c r="P96" s="18"/>
      <c r="Q96" s="18"/>
      <c r="R96" s="18"/>
      <c r="T96"/>
      <c r="U96"/>
      <c r="V96"/>
      <c r="W96"/>
      <c r="X96"/>
      <c r="Z96" s="3"/>
      <c r="AA96" s="21">
        <f>Tabla356813212939717274757677787[[#This Row],[COMISIONES]]*0.21</f>
        <v>0</v>
      </c>
      <c r="AB96" s="1">
        <f>Tabla356813212939717274757677787[[#This Row],[COMISIONES]]*0.105</f>
        <v>0</v>
      </c>
      <c r="AC96" s="1">
        <v>48.46</v>
      </c>
      <c r="AD96"/>
      <c r="AF96"/>
      <c r="AG96"/>
      <c r="AH96"/>
      <c r="AI96"/>
      <c r="AJ96"/>
      <c r="AK96"/>
      <c r="AL96"/>
      <c r="AM96"/>
      <c r="AN96"/>
      <c r="AO96"/>
    </row>
    <row r="97" spans="1:41" s="6" customFormat="1" x14ac:dyDescent="0.25">
      <c r="A97"/>
      <c r="B97"/>
      <c r="C97"/>
      <c r="D97"/>
      <c r="E97"/>
      <c r="F97"/>
      <c r="H97" s="21"/>
      <c r="I97" s="21">
        <f>Tabla3915233141919294959697989[[#This Row],[COMISIONES]]*0.21</f>
        <v>0</v>
      </c>
      <c r="J97" s="21"/>
      <c r="K97" s="21"/>
      <c r="L97" s="21"/>
      <c r="N97" s="18"/>
      <c r="O97" s="11">
        <f>Tabla3510182636414244454647484[[#This Row],[COMISIONES]]*0.21</f>
        <v>0</v>
      </c>
      <c r="P97" s="18"/>
      <c r="Q97" s="18"/>
      <c r="R97" s="18"/>
      <c r="T97"/>
      <c r="U97"/>
      <c r="V97"/>
      <c r="W97"/>
      <c r="X97"/>
      <c r="Z97" s="3"/>
      <c r="AA97" s="21">
        <f>Tabla356813212939717274757677787[[#This Row],[COMISIONES]]*0.21</f>
        <v>0</v>
      </c>
      <c r="AB97" s="1">
        <f>Tabla356813212939717274757677787[[#This Row],[COMISIONES]]*0.105</f>
        <v>0</v>
      </c>
      <c r="AC97" s="1">
        <v>4361.08</v>
      </c>
      <c r="AD97"/>
      <c r="AF97"/>
      <c r="AG97"/>
      <c r="AH97"/>
      <c r="AI97"/>
      <c r="AJ97"/>
      <c r="AK97"/>
      <c r="AL97"/>
      <c r="AM97"/>
      <c r="AN97"/>
      <c r="AO97"/>
    </row>
    <row r="98" spans="1:41" s="6" customFormat="1" x14ac:dyDescent="0.25">
      <c r="A98"/>
      <c r="B98"/>
      <c r="C98"/>
      <c r="D98"/>
      <c r="E98"/>
      <c r="F98"/>
      <c r="H98" s="21"/>
      <c r="I98" s="21">
        <f>Tabla3915233141919294959697989[[#This Row],[COMISIONES]]*0.21</f>
        <v>0</v>
      </c>
      <c r="J98" s="21"/>
      <c r="K98" s="21"/>
      <c r="L98" s="21"/>
      <c r="N98" s="18"/>
      <c r="O98" s="11">
        <f>Tabla3510182636414244454647484[[#This Row],[COMISIONES]]*0.21</f>
        <v>0</v>
      </c>
      <c r="P98" s="18"/>
      <c r="Q98" s="18"/>
      <c r="R98" s="18"/>
      <c r="T98"/>
      <c r="U98"/>
      <c r="V98"/>
      <c r="W98"/>
      <c r="X98"/>
      <c r="Z98" s="3"/>
      <c r="AA98" s="21">
        <f>Tabla356813212939717274757677787[[#This Row],[COMISIONES]]*0.21</f>
        <v>0</v>
      </c>
      <c r="AB98" s="21">
        <f>Tabla356813212939717274757677787[[#This Row],[COMISIONES]]*0.105</f>
        <v>0</v>
      </c>
      <c r="AC98" s="21">
        <v>7326.04</v>
      </c>
      <c r="AD98"/>
      <c r="AF98"/>
      <c r="AG98"/>
      <c r="AH98"/>
      <c r="AI98"/>
      <c r="AJ98"/>
      <c r="AK98"/>
      <c r="AL98"/>
      <c r="AM98"/>
      <c r="AN98"/>
      <c r="AO98"/>
    </row>
    <row r="99" spans="1:41" s="6" customFormat="1" x14ac:dyDescent="0.25">
      <c r="A99"/>
      <c r="B99"/>
      <c r="C99"/>
      <c r="D99"/>
      <c r="E99"/>
      <c r="F99"/>
      <c r="H99" s="21"/>
      <c r="I99" s="21">
        <f>Tabla3915233141919294959697989[[#This Row],[COMISIONES]]*0.21</f>
        <v>0</v>
      </c>
      <c r="J99" s="21"/>
      <c r="K99" s="21"/>
      <c r="L99" s="21"/>
      <c r="N99" s="18"/>
      <c r="O99" s="11">
        <f>Tabla3510182636414244454647484[[#This Row],[COMISIONES]]*0.21</f>
        <v>0</v>
      </c>
      <c r="P99" s="18"/>
      <c r="Q99" s="18"/>
      <c r="R99" s="18"/>
      <c r="T99"/>
      <c r="U99"/>
      <c r="V99"/>
      <c r="W99"/>
      <c r="X99"/>
      <c r="Z99" s="3"/>
      <c r="AA99" s="21">
        <f>Tabla356813212939717274757677787[[#This Row],[COMISIONES]]*0.21</f>
        <v>0</v>
      </c>
      <c r="AB99" s="21">
        <f>Tabla356813212939717274757677787[[#This Row],[COMISIONES]]*0.105</f>
        <v>0</v>
      </c>
      <c r="AC99" s="21">
        <v>81.400000000000006</v>
      </c>
      <c r="AD99"/>
      <c r="AF99"/>
      <c r="AG99"/>
      <c r="AH99"/>
      <c r="AI99"/>
      <c r="AJ99"/>
      <c r="AK99"/>
      <c r="AL99"/>
      <c r="AM99"/>
      <c r="AN99"/>
      <c r="AO99"/>
    </row>
    <row r="100" spans="1:41" s="6" customFormat="1" x14ac:dyDescent="0.25">
      <c r="A100"/>
      <c r="B100"/>
      <c r="C100"/>
      <c r="D100"/>
      <c r="E100"/>
      <c r="F100"/>
      <c r="H100" s="21"/>
      <c r="I100" s="21">
        <f>Tabla3915233141919294959697989[[#This Row],[COMISIONES]]*0.21</f>
        <v>0</v>
      </c>
      <c r="J100" s="21"/>
      <c r="K100" s="21"/>
      <c r="L100" s="21"/>
      <c r="N100" s="18"/>
      <c r="O100" s="11">
        <f>Tabla3510182636414244454647484[[#This Row],[COMISIONES]]*0.21</f>
        <v>0</v>
      </c>
      <c r="P100" s="18"/>
      <c r="Q100" s="18"/>
      <c r="R100" s="18"/>
      <c r="T100"/>
      <c r="U100"/>
      <c r="V100"/>
      <c r="W100"/>
      <c r="X100"/>
      <c r="Z100" s="3"/>
      <c r="AA100" s="21">
        <f>Tabla356813212939717274757677787[[#This Row],[COMISIONES]]*0.21</f>
        <v>0</v>
      </c>
      <c r="AB100" s="21">
        <f>Tabla356813212939717274757677787[[#This Row],[COMISIONES]]*0.105</f>
        <v>0</v>
      </c>
      <c r="AC100" s="21">
        <v>86</v>
      </c>
      <c r="AD100"/>
      <c r="AF100"/>
      <c r="AG100"/>
      <c r="AH100"/>
      <c r="AI100"/>
      <c r="AJ100"/>
      <c r="AK100"/>
      <c r="AL100"/>
      <c r="AM100"/>
      <c r="AN100"/>
      <c r="AO100"/>
    </row>
    <row r="101" spans="1:41" s="6" customFormat="1" x14ac:dyDescent="0.25">
      <c r="A101"/>
      <c r="B101"/>
      <c r="C101"/>
      <c r="D101"/>
      <c r="E101"/>
      <c r="F101"/>
      <c r="H101" s="21"/>
      <c r="I101" s="21">
        <f>Tabla3915233141919294959697989[[#This Row],[COMISIONES]]*0.21</f>
        <v>0</v>
      </c>
      <c r="J101" s="21"/>
      <c r="K101" s="21"/>
      <c r="L101" s="21"/>
      <c r="N101" s="18"/>
      <c r="O101" s="11">
        <f>Tabla3510182636414244454647484[[#This Row],[COMISIONES]]*0.21</f>
        <v>0</v>
      </c>
      <c r="P101" s="18"/>
      <c r="Q101" s="18"/>
      <c r="R101" s="18"/>
      <c r="T101"/>
      <c r="U101"/>
      <c r="V101"/>
      <c r="W101"/>
      <c r="X101"/>
      <c r="Z101" s="3"/>
      <c r="AA101" s="21">
        <f>Tabla356813212939717274757677787[[#This Row],[COMISIONES]]*0.21</f>
        <v>0</v>
      </c>
      <c r="AB101" s="21">
        <f>Tabla356813212939717274757677787[[#This Row],[COMISIONES]]*0.105</f>
        <v>0</v>
      </c>
      <c r="AC101" s="21">
        <v>7739.75</v>
      </c>
      <c r="AD101" s="21"/>
      <c r="AF101"/>
      <c r="AG101"/>
      <c r="AH101"/>
      <c r="AI101"/>
      <c r="AJ101"/>
      <c r="AK101"/>
      <c r="AL101"/>
      <c r="AM101"/>
      <c r="AN101"/>
      <c r="AO101"/>
    </row>
    <row r="102" spans="1:41" s="6" customFormat="1" x14ac:dyDescent="0.25">
      <c r="A102"/>
      <c r="B102"/>
      <c r="C102"/>
      <c r="D102"/>
      <c r="E102"/>
      <c r="F102"/>
      <c r="H102" s="20">
        <f>SUBTOTAL(109,Tabla3915233141919294959697989[COMISIONES])</f>
        <v>0</v>
      </c>
      <c r="I102" s="20">
        <f>SUBTOTAL(109,Tabla3915233141919294959697989[IVA 21])</f>
        <v>0</v>
      </c>
      <c r="J102" s="20">
        <f>SUBTOTAL(109,Tabla3915233141919294959697989[IVA 10,5])</f>
        <v>0</v>
      </c>
      <c r="K102" s="20">
        <f>SUBTOTAL(109,Tabla3915233141919294959697989[Ret IIBB Caba])</f>
        <v>0</v>
      </c>
      <c r="L102" s="20">
        <f>SUBTOTAL(109,Tabla3915233141919294959697989[PERC IVA])</f>
        <v>0</v>
      </c>
      <c r="N102" s="18"/>
      <c r="O102" s="11">
        <f>Tabla3510182636414244454647484[[#This Row],[COMISIONES]]*0.21</f>
        <v>0</v>
      </c>
      <c r="P102" s="18"/>
      <c r="Q102" s="18"/>
      <c r="R102" s="18"/>
      <c r="T102"/>
      <c r="U102"/>
      <c r="V102"/>
      <c r="W102"/>
      <c r="X102"/>
      <c r="Z102" s="3"/>
      <c r="AA102" s="21">
        <f>Tabla356813212939717274757677787[[#This Row],[COMISIONES]]*0.21</f>
        <v>0</v>
      </c>
      <c r="AB102" s="21">
        <f>Tabla356813212939717274757677787[[#This Row],[COMISIONES]]*0.105</f>
        <v>0</v>
      </c>
      <c r="AC102" s="11">
        <v>27.89</v>
      </c>
      <c r="AD102" s="21"/>
      <c r="AF102"/>
      <c r="AG102"/>
      <c r="AH102"/>
      <c r="AI102"/>
      <c r="AJ102"/>
      <c r="AK102"/>
      <c r="AL102"/>
      <c r="AM102"/>
      <c r="AN102"/>
      <c r="AO102"/>
    </row>
    <row r="103" spans="1:41" s="6" customFormat="1" x14ac:dyDescent="0.25">
      <c r="A103"/>
      <c r="B103"/>
      <c r="C103"/>
      <c r="D103"/>
      <c r="E103"/>
      <c r="F103"/>
      <c r="H103"/>
      <c r="I103"/>
      <c r="J103"/>
      <c r="K103"/>
      <c r="L103"/>
      <c r="N103" s="18"/>
      <c r="O103" s="11">
        <f>Tabla3510182636414244454647484[[#This Row],[COMISIONES]]*0.21</f>
        <v>0</v>
      </c>
      <c r="P103" s="18"/>
      <c r="Q103" s="18"/>
      <c r="R103" s="18"/>
      <c r="T103"/>
      <c r="U103"/>
      <c r="V103"/>
      <c r="W103"/>
      <c r="X103"/>
      <c r="Z103" s="3"/>
      <c r="AA103" s="21">
        <f>Tabla356813212939717274757677787[[#This Row],[COMISIONES]]*0.21</f>
        <v>0</v>
      </c>
      <c r="AB103" s="21">
        <f>Tabla356813212939717274757677787[[#This Row],[COMISIONES]]*0.105</f>
        <v>0</v>
      </c>
      <c r="AC103" s="21">
        <v>2509.87</v>
      </c>
      <c r="AD103" s="21"/>
      <c r="AF103"/>
      <c r="AG103"/>
      <c r="AH103"/>
      <c r="AI103"/>
      <c r="AJ103"/>
      <c r="AK103"/>
      <c r="AL103"/>
      <c r="AM103"/>
      <c r="AN103"/>
      <c r="AO103"/>
    </row>
    <row r="104" spans="1:41" s="6" customFormat="1" x14ac:dyDescent="0.25">
      <c r="A104"/>
      <c r="B104"/>
      <c r="C104"/>
      <c r="D104"/>
      <c r="E104"/>
      <c r="F104"/>
      <c r="H104"/>
      <c r="I104"/>
      <c r="J104"/>
      <c r="K104"/>
      <c r="L104"/>
      <c r="N104" s="18"/>
      <c r="O104" s="11">
        <f>Tabla3510182636414244454647484[[#This Row],[COMISIONES]]*0.21</f>
        <v>0</v>
      </c>
      <c r="P104" s="18"/>
      <c r="Q104" s="18"/>
      <c r="R104" s="18"/>
      <c r="T104"/>
      <c r="U104"/>
      <c r="V104"/>
      <c r="W104"/>
      <c r="X104"/>
      <c r="Z104" s="3"/>
      <c r="AA104" s="21">
        <f>Tabla356813212939717274757677787[[#This Row],[COMISIONES]]*0.21</f>
        <v>0</v>
      </c>
      <c r="AB104" s="21">
        <f>Tabla356813212939717274757677787[[#This Row],[COMISIONES]]*0.105</f>
        <v>0</v>
      </c>
      <c r="AC104" s="1">
        <v>353.19</v>
      </c>
      <c r="AD104" s="21"/>
      <c r="AF104"/>
      <c r="AG104"/>
      <c r="AH104"/>
      <c r="AI104"/>
      <c r="AJ104"/>
      <c r="AK104"/>
      <c r="AL104"/>
      <c r="AM104"/>
      <c r="AN104"/>
      <c r="AO104"/>
    </row>
    <row r="105" spans="1:41" s="6" customFormat="1" x14ac:dyDescent="0.25">
      <c r="A105"/>
      <c r="B105"/>
      <c r="C105"/>
      <c r="D105"/>
      <c r="E105"/>
      <c r="F105"/>
      <c r="H105"/>
      <c r="I105"/>
      <c r="J105"/>
      <c r="K105"/>
      <c r="L105"/>
      <c r="N105" s="18"/>
      <c r="O105" s="11">
        <f>Tabla3510182636414244454647484[[#This Row],[COMISIONES]]*0.21</f>
        <v>0</v>
      </c>
      <c r="P105" s="18"/>
      <c r="Q105" s="18"/>
      <c r="R105" s="18"/>
      <c r="T105"/>
      <c r="U105"/>
      <c r="V105"/>
      <c r="W105"/>
      <c r="X105"/>
      <c r="Z105" s="3"/>
      <c r="AA105" s="21">
        <f>Tabla356813212939717274757677787[[#This Row],[COMISIONES]]*0.21</f>
        <v>0</v>
      </c>
      <c r="AB105" s="21">
        <f>Tabla356813212939717274757677787[[#This Row],[COMISIONES]]*0.105</f>
        <v>0</v>
      </c>
      <c r="AC105" s="1">
        <v>31787.02</v>
      </c>
      <c r="AD105"/>
      <c r="AF105"/>
      <c r="AG105"/>
      <c r="AH105"/>
      <c r="AI105"/>
      <c r="AJ105"/>
      <c r="AK105"/>
      <c r="AL105"/>
      <c r="AM105"/>
      <c r="AN105"/>
      <c r="AO105"/>
    </row>
    <row r="106" spans="1:41" s="6" customFormat="1" x14ac:dyDescent="0.25">
      <c r="A106"/>
      <c r="B106"/>
      <c r="C106"/>
      <c r="D106"/>
      <c r="E106"/>
      <c r="F106"/>
      <c r="H106"/>
      <c r="I106"/>
      <c r="J106"/>
      <c r="K106"/>
      <c r="L106"/>
      <c r="N106" s="18"/>
      <c r="O106" s="11">
        <f>Tabla3510182636414244454647484[[#This Row],[COMISIONES]]*0.21</f>
        <v>0</v>
      </c>
      <c r="P106" s="18"/>
      <c r="Q106" s="18"/>
      <c r="R106" s="18"/>
      <c r="T106"/>
      <c r="U106"/>
      <c r="V106"/>
      <c r="W106"/>
      <c r="X106"/>
      <c r="Z106" s="3"/>
      <c r="AA106" s="21">
        <f>Tabla356813212939717274757677787[[#This Row],[COMISIONES]]*0.21</f>
        <v>0</v>
      </c>
      <c r="AB106" s="21">
        <f>Tabla356813212939717274757677787[[#This Row],[COMISIONES]]*0.105</f>
        <v>0</v>
      </c>
      <c r="AC106" s="1">
        <v>23017.56</v>
      </c>
      <c r="AD106" s="21"/>
      <c r="AF106"/>
      <c r="AG106"/>
      <c r="AH106"/>
      <c r="AI106"/>
      <c r="AJ106"/>
      <c r="AK106"/>
      <c r="AL106"/>
      <c r="AM106"/>
      <c r="AN106"/>
      <c r="AO106"/>
    </row>
    <row r="107" spans="1:41" s="6" customFormat="1" x14ac:dyDescent="0.25">
      <c r="A107"/>
      <c r="B107"/>
      <c r="C107"/>
      <c r="D107"/>
      <c r="E107"/>
      <c r="F107"/>
      <c r="H107"/>
      <c r="I107"/>
      <c r="J107"/>
      <c r="K107"/>
      <c r="L107"/>
      <c r="N107" s="18"/>
      <c r="O107" s="11">
        <f>Tabla3510182636414244454647484[[#This Row],[COMISIONES]]*0.21</f>
        <v>0</v>
      </c>
      <c r="P107" s="18"/>
      <c r="Q107" s="18"/>
      <c r="R107" s="18"/>
      <c r="T107"/>
      <c r="U107"/>
      <c r="V107"/>
      <c r="W107"/>
      <c r="X107"/>
      <c r="Z107" s="3"/>
      <c r="AA107" s="21">
        <f>Tabla356813212939717274757677787[[#This Row],[COMISIONES]]*0.21</f>
        <v>0</v>
      </c>
      <c r="AB107" s="21">
        <f>Tabla356813212939717274757677787[[#This Row],[COMISIONES]]*0.105</f>
        <v>0</v>
      </c>
      <c r="AC107" s="1">
        <v>255.75</v>
      </c>
      <c r="AD107"/>
      <c r="AF107"/>
      <c r="AG107"/>
      <c r="AH107"/>
      <c r="AI107"/>
      <c r="AJ107"/>
      <c r="AK107"/>
      <c r="AL107"/>
      <c r="AM107"/>
      <c r="AN107"/>
      <c r="AO107"/>
    </row>
    <row r="108" spans="1:41" s="6" customFormat="1" x14ac:dyDescent="0.25">
      <c r="A108"/>
      <c r="B108"/>
      <c r="C108"/>
      <c r="D108"/>
      <c r="E108"/>
      <c r="F108"/>
      <c r="H108"/>
      <c r="I108"/>
      <c r="J108"/>
      <c r="K108"/>
      <c r="L108"/>
      <c r="N108" s="18"/>
      <c r="O108" s="11">
        <f>Tabla3510182636414244454647484[[#This Row],[COMISIONES]]*0.21</f>
        <v>0</v>
      </c>
      <c r="P108" s="18"/>
      <c r="Q108" s="18"/>
      <c r="R108" s="18"/>
      <c r="T108"/>
      <c r="U108"/>
      <c r="V108"/>
      <c r="W108"/>
      <c r="X108"/>
      <c r="Z108" s="3"/>
      <c r="AA108" s="21">
        <f>Tabla356813212939717274757677787[[#This Row],[COMISIONES]]*0.21</f>
        <v>0</v>
      </c>
      <c r="AB108" s="21">
        <f>Tabla356813212939717274757677787[[#This Row],[COMISIONES]]*0.105</f>
        <v>0</v>
      </c>
      <c r="AC108" s="1">
        <v>81.39</v>
      </c>
      <c r="AD108"/>
      <c r="AF108"/>
      <c r="AG108"/>
      <c r="AH108"/>
      <c r="AI108"/>
      <c r="AJ108"/>
      <c r="AK108"/>
      <c r="AL108"/>
      <c r="AM108"/>
      <c r="AN108"/>
      <c r="AO108"/>
    </row>
    <row r="109" spans="1:41" s="6" customFormat="1" x14ac:dyDescent="0.25">
      <c r="A109"/>
      <c r="B109"/>
      <c r="C109"/>
      <c r="D109"/>
      <c r="E109"/>
      <c r="F109"/>
      <c r="H109"/>
      <c r="I109"/>
      <c r="J109"/>
      <c r="K109"/>
      <c r="L109"/>
      <c r="N109" s="18"/>
      <c r="O109" s="11">
        <f>Tabla3510182636414244454647484[[#This Row],[COMISIONES]]*0.21</f>
        <v>0</v>
      </c>
      <c r="P109" s="18"/>
      <c r="Q109" s="18"/>
      <c r="R109" s="18"/>
      <c r="T109"/>
      <c r="U109"/>
      <c r="V109"/>
      <c r="W109"/>
      <c r="X109"/>
      <c r="Z109" s="3"/>
      <c r="AA109" s="21">
        <f>Tabla356813212939717274757677787[[#This Row],[COMISIONES]]*0.21</f>
        <v>0</v>
      </c>
      <c r="AB109" s="21">
        <f>Tabla356813212939717274757677787[[#This Row],[COMISIONES]]*0.105</f>
        <v>0</v>
      </c>
      <c r="AC109" s="1">
        <v>7324.59</v>
      </c>
      <c r="AD109"/>
      <c r="AF109"/>
      <c r="AG109"/>
      <c r="AH109"/>
      <c r="AI109"/>
      <c r="AJ109"/>
      <c r="AK109"/>
      <c r="AL109"/>
      <c r="AM109"/>
      <c r="AN109"/>
      <c r="AO109"/>
    </row>
    <row r="110" spans="1:41" s="6" customFormat="1" x14ac:dyDescent="0.25">
      <c r="A110"/>
      <c r="B110"/>
      <c r="C110"/>
      <c r="D110"/>
      <c r="E110"/>
      <c r="F110"/>
      <c r="H110"/>
      <c r="I110"/>
      <c r="J110"/>
      <c r="K110"/>
      <c r="L110"/>
      <c r="N110" s="18"/>
      <c r="O110" s="11">
        <f>Tabla3510182636414244454647484[[#This Row],[COMISIONES]]*0.21</f>
        <v>0</v>
      </c>
      <c r="P110" s="18"/>
      <c r="Q110" s="18"/>
      <c r="R110" s="18"/>
      <c r="T110"/>
      <c r="U110"/>
      <c r="V110"/>
      <c r="W110"/>
      <c r="X110"/>
      <c r="Z110" s="3"/>
      <c r="AA110" s="21">
        <f>Tabla356813212939717274757677787[[#This Row],[COMISIONES]]*0.21</f>
        <v>0</v>
      </c>
      <c r="AB110" s="21">
        <f>Tabla356813212939717274757677787[[#This Row],[COMISIONES]]*0.105</f>
        <v>0</v>
      </c>
      <c r="AC110" s="1">
        <v>134.24</v>
      </c>
      <c r="AD110" s="21"/>
      <c r="AF110"/>
      <c r="AG110"/>
      <c r="AH110"/>
      <c r="AI110"/>
      <c r="AJ110"/>
      <c r="AK110"/>
      <c r="AL110"/>
      <c r="AM110"/>
      <c r="AN110"/>
      <c r="AO110"/>
    </row>
    <row r="111" spans="1:41" s="6" customFormat="1" x14ac:dyDescent="0.25">
      <c r="A111"/>
      <c r="B111"/>
      <c r="C111"/>
      <c r="D111"/>
      <c r="E111"/>
      <c r="F111"/>
      <c r="H111"/>
      <c r="I111"/>
      <c r="J111"/>
      <c r="K111"/>
      <c r="L111"/>
      <c r="N111" s="18"/>
      <c r="O111" s="11">
        <f>Tabla3510182636414244454647484[[#This Row],[COMISIONES]]*0.21</f>
        <v>0</v>
      </c>
      <c r="P111" s="18"/>
      <c r="Q111" s="18"/>
      <c r="R111" s="18"/>
      <c r="T111"/>
      <c r="U111"/>
      <c r="V111"/>
      <c r="W111"/>
      <c r="X111"/>
      <c r="Z111" s="3"/>
      <c r="AA111" s="21">
        <f>Tabla356813212939717274757677787[[#This Row],[COMISIONES]]*0.21</f>
        <v>0</v>
      </c>
      <c r="AB111" s="21">
        <f>Tabla356813212939717274757677787[[#This Row],[COMISIONES]]*0.105</f>
        <v>0</v>
      </c>
      <c r="AC111" s="1">
        <v>12081.23</v>
      </c>
      <c r="AD111" s="21"/>
      <c r="AF111"/>
      <c r="AG111"/>
      <c r="AH111"/>
      <c r="AI111"/>
      <c r="AJ111"/>
      <c r="AK111"/>
      <c r="AL111"/>
      <c r="AM111"/>
      <c r="AN111"/>
      <c r="AO111"/>
    </row>
    <row r="112" spans="1:41" s="6" customFormat="1" x14ac:dyDescent="0.25">
      <c r="A112"/>
      <c r="B112"/>
      <c r="C112"/>
      <c r="D112"/>
      <c r="E112"/>
      <c r="F112"/>
      <c r="H112"/>
      <c r="I112"/>
      <c r="J112"/>
      <c r="K112"/>
      <c r="L112"/>
      <c r="N112" s="18"/>
      <c r="O112" s="11">
        <f>Tabla3510182636414244454647484[[#This Row],[COMISIONES]]*0.21</f>
        <v>0</v>
      </c>
      <c r="P112" s="18"/>
      <c r="Q112" s="18"/>
      <c r="R112" s="18"/>
      <c r="T112"/>
      <c r="U112"/>
      <c r="V112"/>
      <c r="W112"/>
      <c r="X112"/>
      <c r="Z112" s="3"/>
      <c r="AA112" s="21">
        <f>Tabla356813212939717274757677787[[#This Row],[COMISIONES]]*0.21</f>
        <v>0</v>
      </c>
      <c r="AB112" s="21">
        <f>Tabla356813212939717274757677787[[#This Row],[COMISIONES]]*0.105</f>
        <v>0</v>
      </c>
      <c r="AC112" s="21">
        <v>10643.2</v>
      </c>
      <c r="AD112" s="21"/>
      <c r="AF112"/>
      <c r="AG112"/>
      <c r="AH112"/>
      <c r="AI112"/>
      <c r="AJ112"/>
      <c r="AK112"/>
      <c r="AL112"/>
      <c r="AM112"/>
      <c r="AN112"/>
      <c r="AO112"/>
    </row>
    <row r="113" spans="1:41" s="6" customFormat="1" x14ac:dyDescent="0.25">
      <c r="A113"/>
      <c r="B113"/>
      <c r="C113"/>
      <c r="D113"/>
      <c r="E113"/>
      <c r="F113"/>
      <c r="H113"/>
      <c r="I113"/>
      <c r="J113"/>
      <c r="K113"/>
      <c r="L113"/>
      <c r="N113" s="18"/>
      <c r="O113" s="11">
        <f>Tabla3510182636414244454647484[[#This Row],[COMISIONES]]*0.21</f>
        <v>0</v>
      </c>
      <c r="P113" s="18"/>
      <c r="Q113" s="18"/>
      <c r="R113" s="18"/>
      <c r="T113"/>
      <c r="U113"/>
      <c r="V113"/>
      <c r="W113"/>
      <c r="X113"/>
      <c r="Z113" s="3"/>
      <c r="AA113" s="21">
        <f>Tabla356813212939717274757677787[[#This Row],[COMISIONES]]*0.21</f>
        <v>0</v>
      </c>
      <c r="AB113" s="21">
        <f>Tabla356813212939717274757677787[[#This Row],[COMISIONES]]*0.105</f>
        <v>0</v>
      </c>
      <c r="AC113" s="21">
        <v>118.26</v>
      </c>
      <c r="AD113" s="21"/>
      <c r="AF113"/>
      <c r="AG113"/>
      <c r="AH113"/>
      <c r="AI113"/>
      <c r="AJ113"/>
      <c r="AK113"/>
      <c r="AL113"/>
      <c r="AM113"/>
      <c r="AN113"/>
      <c r="AO113"/>
    </row>
    <row r="114" spans="1:41" s="6" customFormat="1" x14ac:dyDescent="0.25">
      <c r="A114"/>
      <c r="B114"/>
      <c r="C114"/>
      <c r="D114"/>
      <c r="E114"/>
      <c r="F114"/>
      <c r="H114"/>
      <c r="I114"/>
      <c r="J114"/>
      <c r="K114"/>
      <c r="L114"/>
      <c r="N114" s="18"/>
      <c r="O114" s="11">
        <f>Tabla3510182636414244454647484[[#This Row],[COMISIONES]]*0.21</f>
        <v>0</v>
      </c>
      <c r="P114" s="18"/>
      <c r="Q114" s="18"/>
      <c r="R114" s="18"/>
      <c r="T114"/>
      <c r="U114"/>
      <c r="V114"/>
      <c r="W114"/>
      <c r="X114"/>
      <c r="Z114" s="3"/>
      <c r="AA114" s="21">
        <f>Tabla356813212939717274757677787[[#This Row],[COMISIONES]]*0.21</f>
        <v>0</v>
      </c>
      <c r="AB114" s="21">
        <f>Tabla356813212939717274757677787[[#This Row],[COMISIONES]]*0.105</f>
        <v>0</v>
      </c>
      <c r="AC114" s="1">
        <v>11.55</v>
      </c>
      <c r="AD114" s="21"/>
      <c r="AF114"/>
      <c r="AG114"/>
      <c r="AH114"/>
      <c r="AI114"/>
      <c r="AJ114"/>
      <c r="AK114"/>
      <c r="AL114"/>
      <c r="AM114"/>
      <c r="AN114"/>
      <c r="AO114"/>
    </row>
    <row r="115" spans="1:41" s="6" customFormat="1" x14ac:dyDescent="0.25">
      <c r="A115"/>
      <c r="B115"/>
      <c r="C115"/>
      <c r="D115"/>
      <c r="E115"/>
      <c r="F115"/>
      <c r="H115"/>
      <c r="I115"/>
      <c r="J115"/>
      <c r="K115"/>
      <c r="L115"/>
      <c r="N115" s="18"/>
      <c r="O115" s="11">
        <f>Tabla3510182636414244454647484[[#This Row],[COMISIONES]]*0.21</f>
        <v>0</v>
      </c>
      <c r="P115" s="18"/>
      <c r="Q115" s="18"/>
      <c r="R115" s="18"/>
      <c r="T115"/>
      <c r="U115"/>
      <c r="V115"/>
      <c r="W115"/>
      <c r="X115"/>
      <c r="Z115" s="21"/>
      <c r="AA115" s="21">
        <f>Tabla356813212939717274757677787[[#This Row],[COMISIONES]]*0.21</f>
        <v>0</v>
      </c>
      <c r="AB115" s="21">
        <f>Tabla356813212939717274757677787[[#This Row],[COMISIONES]]*0.105</f>
        <v>0</v>
      </c>
      <c r="AC115" s="1">
        <v>1040.1400000000001</v>
      </c>
      <c r="AD115" s="21"/>
      <c r="AF115"/>
      <c r="AG115"/>
      <c r="AH115"/>
      <c r="AI115"/>
      <c r="AJ115"/>
      <c r="AK115"/>
      <c r="AL115"/>
      <c r="AM115"/>
      <c r="AN115"/>
      <c r="AO115"/>
    </row>
    <row r="116" spans="1:41" s="6" customFormat="1" x14ac:dyDescent="0.25">
      <c r="A116"/>
      <c r="B116"/>
      <c r="C116"/>
      <c r="D116"/>
      <c r="E116"/>
      <c r="F116"/>
      <c r="H116"/>
      <c r="I116"/>
      <c r="J116"/>
      <c r="K116"/>
      <c r="L116"/>
      <c r="N116" s="18"/>
      <c r="O116" s="11">
        <f>Tabla3510182636414244454647484[[#This Row],[COMISIONES]]*0.21</f>
        <v>0</v>
      </c>
      <c r="P116" s="18"/>
      <c r="Q116" s="18"/>
      <c r="R116" s="18"/>
      <c r="T116"/>
      <c r="U116"/>
      <c r="V116"/>
      <c r="W116"/>
      <c r="X116"/>
      <c r="Z116" s="3"/>
      <c r="AA116" s="21">
        <f>Tabla356813212939717274757677787[[#This Row],[COMISIONES]]*0.21</f>
        <v>0</v>
      </c>
      <c r="AB116" s="21">
        <f>Tabla356813212939717274757677787[[#This Row],[COMISIONES]]*0.105</f>
        <v>0</v>
      </c>
      <c r="AC116" s="1">
        <v>68.25</v>
      </c>
      <c r="AD116" s="21"/>
      <c r="AF116"/>
      <c r="AG116"/>
      <c r="AH116"/>
      <c r="AI116"/>
      <c r="AJ116"/>
      <c r="AK116"/>
      <c r="AL116"/>
      <c r="AM116"/>
      <c r="AN116"/>
      <c r="AO116"/>
    </row>
    <row r="117" spans="1:41" s="6" customFormat="1" x14ac:dyDescent="0.25">
      <c r="A117"/>
      <c r="B117"/>
      <c r="C117"/>
      <c r="D117"/>
      <c r="E117"/>
      <c r="F117"/>
      <c r="H117"/>
      <c r="I117"/>
      <c r="J117"/>
      <c r="K117"/>
      <c r="L117"/>
      <c r="N117" s="18"/>
      <c r="O117" s="11">
        <f>Tabla3510182636414244454647484[[#This Row],[COMISIONES]]*0.21</f>
        <v>0</v>
      </c>
      <c r="P117" s="18"/>
      <c r="Q117" s="18"/>
      <c r="R117" s="18"/>
      <c r="T117"/>
      <c r="U117"/>
      <c r="V117"/>
      <c r="W117"/>
      <c r="X117"/>
      <c r="Z117" s="3"/>
      <c r="AA117" s="21">
        <f>Tabla356813212939717274757677787[[#This Row],[COMISIONES]]*0.21</f>
        <v>0</v>
      </c>
      <c r="AB117" s="21">
        <f>Tabla356813212939717274757677787[[#This Row],[COMISIONES]]*0.105</f>
        <v>0</v>
      </c>
      <c r="AC117" s="1">
        <v>6142.32</v>
      </c>
      <c r="AD117"/>
      <c r="AF117"/>
      <c r="AG117"/>
      <c r="AH117"/>
      <c r="AI117"/>
      <c r="AJ117"/>
      <c r="AK117"/>
      <c r="AL117"/>
      <c r="AM117"/>
      <c r="AN117"/>
      <c r="AO117"/>
    </row>
    <row r="118" spans="1:41" s="6" customFormat="1" x14ac:dyDescent="0.25">
      <c r="A118"/>
      <c r="B118"/>
      <c r="C118"/>
      <c r="D118"/>
      <c r="E118"/>
      <c r="F118"/>
      <c r="H118"/>
      <c r="I118"/>
      <c r="J118"/>
      <c r="K118"/>
      <c r="L118"/>
      <c r="N118" s="18"/>
      <c r="O118" s="11">
        <f>Tabla3510182636414244454647484[[#This Row],[COMISIONES]]*0.21</f>
        <v>0</v>
      </c>
      <c r="P118" s="18"/>
      <c r="Q118" s="18"/>
      <c r="R118" s="18"/>
      <c r="T118"/>
      <c r="U118"/>
      <c r="V118"/>
      <c r="W118"/>
      <c r="X118"/>
      <c r="Z118" s="3"/>
      <c r="AA118" s="21">
        <f>Tabla356813212939717274757677787[[#This Row],[COMISIONES]]*0.21</f>
        <v>0</v>
      </c>
      <c r="AB118" s="21">
        <f>Tabla356813212939717274757677787[[#This Row],[COMISIONES]]*0.105</f>
        <v>0</v>
      </c>
      <c r="AC118" s="1">
        <v>28259.47</v>
      </c>
      <c r="AD118"/>
      <c r="AF118"/>
      <c r="AG118"/>
      <c r="AH118"/>
      <c r="AI118"/>
      <c r="AJ118"/>
      <c r="AK118"/>
      <c r="AL118"/>
      <c r="AM118"/>
      <c r="AN118"/>
      <c r="AO118"/>
    </row>
    <row r="119" spans="1:41" s="6" customFormat="1" x14ac:dyDescent="0.25">
      <c r="A119"/>
      <c r="B119"/>
      <c r="C119"/>
      <c r="D119"/>
      <c r="E119"/>
      <c r="F119"/>
      <c r="H119"/>
      <c r="I119"/>
      <c r="J119"/>
      <c r="K119"/>
      <c r="L119"/>
      <c r="N119" s="18"/>
      <c r="O119" s="11">
        <f>Tabla3510182636414244454647484[[#This Row],[COMISIONES]]*0.21</f>
        <v>0</v>
      </c>
      <c r="P119" s="18"/>
      <c r="Q119" s="18"/>
      <c r="R119" s="18"/>
      <c r="T119"/>
      <c r="U119"/>
      <c r="V119"/>
      <c r="W119"/>
      <c r="X119"/>
      <c r="Z119" s="3"/>
      <c r="AA119" s="21">
        <f>Tabla356813212939717274757677787[[#This Row],[COMISIONES]]*0.21</f>
        <v>0</v>
      </c>
      <c r="AB119" s="21">
        <f>Tabla356813212939717274757677787[[#This Row],[COMISIONES]]*0.105</f>
        <v>0</v>
      </c>
      <c r="AC119" s="21">
        <v>313.99</v>
      </c>
      <c r="AD119" s="21"/>
      <c r="AF119"/>
      <c r="AG119"/>
      <c r="AH119"/>
      <c r="AI119"/>
      <c r="AJ119"/>
      <c r="AK119"/>
      <c r="AL119"/>
      <c r="AM119"/>
      <c r="AN119"/>
      <c r="AO119"/>
    </row>
    <row r="120" spans="1:41" s="6" customFormat="1" x14ac:dyDescent="0.25">
      <c r="A120"/>
      <c r="B120"/>
      <c r="C120"/>
      <c r="D120"/>
      <c r="E120"/>
      <c r="F120"/>
      <c r="H120"/>
      <c r="I120"/>
      <c r="J120"/>
      <c r="K120"/>
      <c r="L120"/>
      <c r="N120" s="18"/>
      <c r="O120" s="11">
        <f>Tabla3510182636414244454647484[[#This Row],[COMISIONES]]*0.21</f>
        <v>0</v>
      </c>
      <c r="P120" s="18"/>
      <c r="Q120" s="18"/>
      <c r="R120" s="18"/>
      <c r="T120"/>
      <c r="U120"/>
      <c r="V120"/>
      <c r="W120"/>
      <c r="X120"/>
      <c r="Z120" s="3"/>
      <c r="AA120" s="21">
        <f>Tabla356813212939717274757677787[[#This Row],[COMISIONES]]*0.21</f>
        <v>0</v>
      </c>
      <c r="AB120" s="21">
        <f>Tabla356813212939717274757677787[[#This Row],[COMISIONES]]*0.105</f>
        <v>0</v>
      </c>
      <c r="AC120" s="21">
        <v>10801.01</v>
      </c>
      <c r="AD120" s="21"/>
      <c r="AF120"/>
      <c r="AG120"/>
      <c r="AH120"/>
      <c r="AI120"/>
      <c r="AJ120"/>
      <c r="AK120"/>
      <c r="AL120"/>
      <c r="AM120"/>
      <c r="AN120"/>
      <c r="AO120"/>
    </row>
    <row r="121" spans="1:41" s="6" customFormat="1" x14ac:dyDescent="0.25">
      <c r="A121"/>
      <c r="B121"/>
      <c r="C121"/>
      <c r="D121"/>
      <c r="E121"/>
      <c r="F121"/>
      <c r="H121"/>
      <c r="I121"/>
      <c r="J121"/>
      <c r="K121"/>
      <c r="L121"/>
      <c r="N121" s="18"/>
      <c r="O121" s="11">
        <f>Tabla3510182636414244454647484[[#This Row],[COMISIONES]]*0.21</f>
        <v>0</v>
      </c>
      <c r="P121" s="18"/>
      <c r="Q121" s="18"/>
      <c r="R121" s="18"/>
      <c r="T121"/>
      <c r="U121"/>
      <c r="V121"/>
      <c r="W121"/>
      <c r="X121"/>
      <c r="Z121" s="3"/>
      <c r="AA121" s="21">
        <f>Tabla356813212939717274757677787[[#This Row],[COMISIONES]]*0.21</f>
        <v>0</v>
      </c>
      <c r="AB121" s="21">
        <f>Tabla356813212939717274757677787[[#This Row],[COMISIONES]]*0.105</f>
        <v>0</v>
      </c>
      <c r="AC121" s="21">
        <v>120.01</v>
      </c>
      <c r="AD121" s="21"/>
      <c r="AF121"/>
      <c r="AG121"/>
      <c r="AH121"/>
      <c r="AI121"/>
      <c r="AJ121"/>
      <c r="AK121"/>
      <c r="AL121"/>
      <c r="AM121"/>
      <c r="AN121"/>
      <c r="AO121"/>
    </row>
    <row r="122" spans="1:41" s="6" customFormat="1" x14ac:dyDescent="0.25">
      <c r="A122"/>
      <c r="B122"/>
      <c r="C122"/>
      <c r="D122"/>
      <c r="E122"/>
      <c r="F122"/>
      <c r="H122"/>
      <c r="I122"/>
      <c r="J122"/>
      <c r="K122"/>
      <c r="L122"/>
      <c r="N122" s="18"/>
      <c r="O122" s="11">
        <f>Tabla3510182636414244454647484[[#This Row],[COMISIONES]]*0.21</f>
        <v>0</v>
      </c>
      <c r="P122" s="18"/>
      <c r="Q122" s="18"/>
      <c r="R122" s="18"/>
      <c r="T122"/>
      <c r="U122"/>
      <c r="V122"/>
      <c r="W122"/>
      <c r="X122"/>
      <c r="Z122" s="3"/>
      <c r="AA122" s="21">
        <f>Tabla356813212939717274757677787[[#This Row],[COMISIONES]]*0.21</f>
        <v>0</v>
      </c>
      <c r="AB122" s="21">
        <f>Tabla356813212939717274757677787[[#This Row],[COMISIONES]]*0.105</f>
        <v>0</v>
      </c>
      <c r="AC122" s="21">
        <v>37.81</v>
      </c>
      <c r="AD122" s="21"/>
      <c r="AF122"/>
      <c r="AG122"/>
      <c r="AH122"/>
      <c r="AI122"/>
      <c r="AJ122"/>
      <c r="AK122"/>
      <c r="AL122"/>
      <c r="AM122"/>
      <c r="AN122"/>
      <c r="AO122"/>
    </row>
    <row r="123" spans="1:41" s="6" customFormat="1" x14ac:dyDescent="0.25">
      <c r="A123"/>
      <c r="B123"/>
      <c r="C123"/>
      <c r="D123"/>
      <c r="E123"/>
      <c r="F123"/>
      <c r="H123"/>
      <c r="I123"/>
      <c r="J123"/>
      <c r="K123"/>
      <c r="L123"/>
      <c r="N123" s="18"/>
      <c r="O123" s="18"/>
      <c r="P123" s="18"/>
      <c r="Q123" s="18"/>
      <c r="R123" s="18"/>
      <c r="T123"/>
      <c r="U123"/>
      <c r="V123"/>
      <c r="W123"/>
      <c r="X123"/>
      <c r="Z123" s="3"/>
      <c r="AA123" s="21">
        <f>Tabla356813212939717274757677787[[#This Row],[COMISIONES]]*0.21</f>
        <v>0</v>
      </c>
      <c r="AB123" s="21">
        <f>Tabla356813212939717274757677787[[#This Row],[COMISIONES]]*0.105</f>
        <v>0</v>
      </c>
      <c r="AC123" s="21">
        <v>3402.05</v>
      </c>
      <c r="AD123" s="21"/>
      <c r="AF123"/>
      <c r="AG123"/>
      <c r="AH123"/>
      <c r="AI123"/>
      <c r="AJ123"/>
      <c r="AK123"/>
      <c r="AL123"/>
      <c r="AM123"/>
      <c r="AN123"/>
      <c r="AO123"/>
    </row>
    <row r="124" spans="1:41" s="6" customFormat="1" x14ac:dyDescent="0.25">
      <c r="A124"/>
      <c r="B124"/>
      <c r="C124"/>
      <c r="D124"/>
      <c r="E124"/>
      <c r="F124"/>
      <c r="H124"/>
      <c r="I124"/>
      <c r="J124"/>
      <c r="K124"/>
      <c r="L124"/>
      <c r="N124" s="18"/>
      <c r="O124" s="18"/>
      <c r="P124" s="18"/>
      <c r="Q124" s="18"/>
      <c r="R124" s="18"/>
      <c r="T124"/>
      <c r="U124"/>
      <c r="V124"/>
      <c r="W124"/>
      <c r="X124"/>
      <c r="Z124" s="3"/>
      <c r="AA124" s="21">
        <f>Tabla356813212939717274757677787[[#This Row],[COMISIONES]]*0.21</f>
        <v>0</v>
      </c>
      <c r="AB124" s="21">
        <f>Tabla356813212939717274757677787[[#This Row],[COMISIONES]]*0.105</f>
        <v>0</v>
      </c>
      <c r="AC124" s="21">
        <v>32530.69</v>
      </c>
      <c r="AD124" s="21"/>
      <c r="AF124"/>
      <c r="AG124"/>
      <c r="AH124"/>
      <c r="AI124"/>
      <c r="AJ124"/>
      <c r="AK124"/>
      <c r="AL124"/>
      <c r="AM124"/>
      <c r="AN124"/>
      <c r="AO124"/>
    </row>
    <row r="125" spans="1:41" s="6" customFormat="1" x14ac:dyDescent="0.25">
      <c r="A125"/>
      <c r="B125"/>
      <c r="C125"/>
      <c r="D125"/>
      <c r="E125"/>
      <c r="F125"/>
      <c r="H125"/>
      <c r="I125"/>
      <c r="J125"/>
      <c r="K125"/>
      <c r="L125"/>
      <c r="N125" s="18"/>
      <c r="O125" s="18"/>
      <c r="P125" s="18"/>
      <c r="Q125" s="18"/>
      <c r="R125" s="18"/>
      <c r="T125"/>
      <c r="U125"/>
      <c r="V125"/>
      <c r="W125"/>
      <c r="X125"/>
      <c r="Z125" s="3"/>
      <c r="AA125" s="21">
        <f>Tabla356813212939717274757677787[[#This Row],[COMISIONES]]*0.21</f>
        <v>0</v>
      </c>
      <c r="AB125" s="21">
        <f>Tabla356813212939717274757677787[[#This Row],[COMISIONES]]*0.105</f>
        <v>0</v>
      </c>
      <c r="AC125" s="21">
        <v>361.45</v>
      </c>
      <c r="AD125" s="21"/>
      <c r="AF125"/>
      <c r="AG125"/>
      <c r="AH125"/>
      <c r="AI125"/>
      <c r="AJ125"/>
      <c r="AK125"/>
      <c r="AL125"/>
      <c r="AM125"/>
      <c r="AN125"/>
      <c r="AO125"/>
    </row>
    <row r="126" spans="1:41" s="6" customFormat="1" x14ac:dyDescent="0.25">
      <c r="A126"/>
      <c r="B126"/>
      <c r="C126"/>
      <c r="D126"/>
      <c r="E126"/>
      <c r="F126"/>
      <c r="H126"/>
      <c r="I126"/>
      <c r="J126"/>
      <c r="K126"/>
      <c r="L126"/>
      <c r="N126" s="18"/>
      <c r="O126" s="18"/>
      <c r="P126" s="18"/>
      <c r="Q126" s="18"/>
      <c r="R126" s="18"/>
      <c r="T126"/>
      <c r="U126"/>
      <c r="V126"/>
      <c r="W126"/>
      <c r="X126"/>
      <c r="Z126" s="3"/>
      <c r="AA126" s="21">
        <f>Tabla356813212939717274757677787[[#This Row],[COMISIONES]]*0.21</f>
        <v>0</v>
      </c>
      <c r="AB126" s="21">
        <f>Tabla356813212939717274757677787[[#This Row],[COMISIONES]]*0.105</f>
        <v>0</v>
      </c>
      <c r="AC126" s="21">
        <v>676.23</v>
      </c>
      <c r="AD126" s="21"/>
      <c r="AF126"/>
      <c r="AG126"/>
      <c r="AH126"/>
      <c r="AI126"/>
      <c r="AJ126"/>
      <c r="AK126"/>
      <c r="AL126"/>
      <c r="AM126"/>
      <c r="AN126"/>
      <c r="AO126"/>
    </row>
    <row r="127" spans="1:41" s="6" customFormat="1" x14ac:dyDescent="0.25">
      <c r="A127"/>
      <c r="B127"/>
      <c r="C127"/>
      <c r="D127"/>
      <c r="E127"/>
      <c r="F127"/>
      <c r="H127"/>
      <c r="I127"/>
      <c r="J127"/>
      <c r="K127"/>
      <c r="L127"/>
      <c r="N127" s="18"/>
      <c r="O127" s="18"/>
      <c r="P127" s="18"/>
      <c r="Q127" s="18"/>
      <c r="R127" s="18"/>
      <c r="T127"/>
      <c r="U127"/>
      <c r="V127"/>
      <c r="W127"/>
      <c r="X127"/>
      <c r="Z127" s="3"/>
      <c r="AA127" s="21">
        <f>Tabla356813212939717274757677787[[#This Row],[COMISIONES]]*0.21</f>
        <v>0</v>
      </c>
      <c r="AB127" s="21">
        <f>Tabla356813212939717274757677787[[#This Row],[COMISIONES]]*0.105</f>
        <v>0</v>
      </c>
      <c r="AC127" s="21">
        <v>7.51</v>
      </c>
      <c r="AD127" s="21"/>
      <c r="AF127"/>
      <c r="AG127"/>
      <c r="AH127"/>
      <c r="AI127"/>
      <c r="AJ127"/>
      <c r="AK127"/>
      <c r="AL127"/>
      <c r="AM127"/>
      <c r="AN127"/>
      <c r="AO127"/>
    </row>
    <row r="128" spans="1:41" s="6" customFormat="1" x14ac:dyDescent="0.25">
      <c r="A128"/>
      <c r="B128"/>
      <c r="C128"/>
      <c r="D128"/>
      <c r="E128"/>
      <c r="F128"/>
      <c r="H128"/>
      <c r="I128"/>
      <c r="J128"/>
      <c r="K128"/>
      <c r="L128"/>
      <c r="N128" s="18"/>
      <c r="O128" s="18"/>
      <c r="P128" s="18"/>
      <c r="Q128" s="18"/>
      <c r="R128" s="18"/>
      <c r="T128"/>
      <c r="U128"/>
      <c r="V128"/>
      <c r="W128"/>
      <c r="X128"/>
      <c r="Z128" s="3"/>
      <c r="AA128" s="21">
        <f>Tabla356813212939717274757677787[[#This Row],[COMISIONES]]*0.21</f>
        <v>0</v>
      </c>
      <c r="AB128" s="21">
        <f>Tabla356813212939717274757677787[[#This Row],[COMISIONES]]*0.105</f>
        <v>0</v>
      </c>
      <c r="AC128" s="21">
        <v>57.96</v>
      </c>
      <c r="AD128" s="21"/>
      <c r="AF128"/>
      <c r="AG128"/>
      <c r="AH128"/>
      <c r="AI128"/>
      <c r="AJ128"/>
      <c r="AK128"/>
      <c r="AL128"/>
      <c r="AM128"/>
      <c r="AN128"/>
      <c r="AO128"/>
    </row>
    <row r="129" spans="1:41" s="6" customFormat="1" x14ac:dyDescent="0.25">
      <c r="A129"/>
      <c r="B129"/>
      <c r="C129"/>
      <c r="D129"/>
      <c r="E129"/>
      <c r="F129"/>
      <c r="H129"/>
      <c r="I129"/>
      <c r="J129"/>
      <c r="K129"/>
      <c r="L129"/>
      <c r="N129" s="18"/>
      <c r="O129" s="18"/>
      <c r="P129" s="18"/>
      <c r="Q129" s="18"/>
      <c r="R129" s="18"/>
      <c r="T129"/>
      <c r="U129"/>
      <c r="V129"/>
      <c r="W129"/>
      <c r="X129"/>
      <c r="Z129" s="21"/>
      <c r="AA129" s="21">
        <f>Tabla356813212939717274757677787[[#This Row],[COMISIONES]]*0.21</f>
        <v>0</v>
      </c>
      <c r="AB129" s="21">
        <f>Tabla356813212939717274757677787[[#This Row],[COMISIONES]]*0.105</f>
        <v>0</v>
      </c>
      <c r="AC129" s="21">
        <v>5215.82</v>
      </c>
      <c r="AD129" s="21"/>
      <c r="AF129"/>
      <c r="AG129"/>
      <c r="AH129"/>
      <c r="AI129"/>
      <c r="AJ129"/>
      <c r="AK129"/>
      <c r="AL129"/>
      <c r="AM129"/>
      <c r="AN129"/>
      <c r="AO129"/>
    </row>
    <row r="130" spans="1:41" s="6" customFormat="1" x14ac:dyDescent="0.25">
      <c r="A130"/>
      <c r="B130"/>
      <c r="C130"/>
      <c r="D130"/>
      <c r="E130"/>
      <c r="F130"/>
      <c r="H130"/>
      <c r="I130"/>
      <c r="J130"/>
      <c r="K130"/>
      <c r="L130"/>
      <c r="N130" s="18"/>
      <c r="O130" s="18"/>
      <c r="P130" s="18"/>
      <c r="Q130" s="18"/>
      <c r="R130" s="18"/>
      <c r="T130"/>
      <c r="U130"/>
      <c r="V130"/>
      <c r="W130"/>
      <c r="X130"/>
      <c r="Z130" s="21"/>
      <c r="AA130" s="21">
        <f>Tabla356813212939717274757677787[[#This Row],[COMISIONES]]*0.21</f>
        <v>0</v>
      </c>
      <c r="AB130" s="21">
        <f>Tabla356813212939717274757677787[[#This Row],[COMISIONES]]*0.105</f>
        <v>0</v>
      </c>
      <c r="AC130" s="21">
        <v>15981.75</v>
      </c>
      <c r="AD130" s="21"/>
      <c r="AF130"/>
      <c r="AG130"/>
      <c r="AH130"/>
      <c r="AI130"/>
      <c r="AJ130"/>
      <c r="AK130"/>
      <c r="AL130"/>
      <c r="AM130"/>
      <c r="AN130"/>
      <c r="AO130"/>
    </row>
    <row r="131" spans="1:41" s="6" customFormat="1" x14ac:dyDescent="0.25">
      <c r="A131"/>
      <c r="B131"/>
      <c r="C131"/>
      <c r="D131"/>
      <c r="E131"/>
      <c r="F131"/>
      <c r="H131"/>
      <c r="I131"/>
      <c r="J131"/>
      <c r="K131"/>
      <c r="L131"/>
      <c r="N131" s="18"/>
      <c r="O131" s="18"/>
      <c r="P131" s="18"/>
      <c r="Q131" s="18"/>
      <c r="R131" s="18"/>
      <c r="T131"/>
      <c r="U131"/>
      <c r="V131"/>
      <c r="W131"/>
      <c r="X131"/>
      <c r="Z131" s="21"/>
      <c r="AA131" s="21">
        <f>Tabla356813212939717274757677787[[#This Row],[COMISIONES]]*0.21</f>
        <v>0</v>
      </c>
      <c r="AB131" s="21">
        <f>Tabla356813212939717274757677787[[#This Row],[COMISIONES]]*0.105</f>
        <v>0</v>
      </c>
      <c r="AC131" s="21">
        <v>177.58</v>
      </c>
      <c r="AD131" s="21"/>
      <c r="AF131"/>
      <c r="AG131"/>
      <c r="AH131"/>
      <c r="AI131"/>
      <c r="AJ131"/>
      <c r="AK131"/>
      <c r="AL131"/>
      <c r="AM131"/>
      <c r="AN131"/>
      <c r="AO131"/>
    </row>
    <row r="132" spans="1:41" s="6" customFormat="1" x14ac:dyDescent="0.25">
      <c r="A132"/>
      <c r="B132"/>
      <c r="C132"/>
      <c r="D132"/>
      <c r="E132"/>
      <c r="F132"/>
      <c r="H132"/>
      <c r="I132"/>
      <c r="J132"/>
      <c r="K132"/>
      <c r="L132"/>
      <c r="N132" s="18"/>
      <c r="O132" s="18"/>
      <c r="P132" s="18"/>
      <c r="Q132" s="18"/>
      <c r="R132" s="18"/>
      <c r="T132"/>
      <c r="U132"/>
      <c r="V132"/>
      <c r="W132"/>
      <c r="X132"/>
      <c r="Z132" s="21"/>
      <c r="AA132" s="21">
        <f>Tabla356813212939717274757677787[[#This Row],[COMISIONES]]*0.21</f>
        <v>0</v>
      </c>
      <c r="AB132" s="21">
        <f>Tabla356813212939717274757677787[[#This Row],[COMISIONES]]*0.105</f>
        <v>0</v>
      </c>
      <c r="AC132" s="21">
        <v>344.36</v>
      </c>
      <c r="AD132" s="21"/>
      <c r="AF132"/>
      <c r="AG132"/>
      <c r="AH132"/>
      <c r="AI132"/>
      <c r="AJ132"/>
      <c r="AK132"/>
      <c r="AL132"/>
      <c r="AM132"/>
      <c r="AN132"/>
      <c r="AO132"/>
    </row>
    <row r="133" spans="1:41" s="6" customFormat="1" x14ac:dyDescent="0.25">
      <c r="A133"/>
      <c r="B133"/>
      <c r="C133"/>
      <c r="D133"/>
      <c r="E133"/>
      <c r="F133"/>
      <c r="H133"/>
      <c r="I133"/>
      <c r="J133"/>
      <c r="K133"/>
      <c r="L133"/>
      <c r="N133" s="18"/>
      <c r="O133" s="18"/>
      <c r="P133" s="18"/>
      <c r="Q133" s="18"/>
      <c r="R133" s="18"/>
      <c r="T133"/>
      <c r="U133"/>
      <c r="V133"/>
      <c r="W133"/>
      <c r="X133"/>
      <c r="Z133" s="21"/>
      <c r="AA133" s="21">
        <f>Tabla356813212939717274757677787[[#This Row],[COMISIONES]]*0.21</f>
        <v>0</v>
      </c>
      <c r="AB133" s="21">
        <f>Tabla356813212939717274757677787[[#This Row],[COMISIONES]]*0.105</f>
        <v>0</v>
      </c>
      <c r="AC133" s="21">
        <v>30991.96</v>
      </c>
      <c r="AD133" s="21"/>
      <c r="AF133"/>
      <c r="AG133"/>
      <c r="AH133"/>
      <c r="AI133"/>
      <c r="AJ133"/>
      <c r="AK133"/>
      <c r="AL133"/>
      <c r="AM133"/>
      <c r="AN133"/>
      <c r="AO133"/>
    </row>
    <row r="134" spans="1:41" s="6" customFormat="1" x14ac:dyDescent="0.25">
      <c r="A134"/>
      <c r="B134"/>
      <c r="C134"/>
      <c r="D134"/>
      <c r="E134"/>
      <c r="F134"/>
      <c r="H134"/>
      <c r="I134"/>
      <c r="J134"/>
      <c r="K134"/>
      <c r="L134"/>
      <c r="N134" s="18"/>
      <c r="O134" s="18">
        <f>Tabla3510182636414244454647484[[#This Row],[COMISIONES]]*0.21</f>
        <v>0</v>
      </c>
      <c r="P134" s="18"/>
      <c r="Q134" s="18"/>
      <c r="R134" s="18"/>
      <c r="T134"/>
      <c r="U134"/>
      <c r="V134"/>
      <c r="W134"/>
      <c r="X134"/>
      <c r="Z134" s="21"/>
      <c r="AA134" s="21">
        <f>Tabla356813212939717274757677787[[#This Row],[COMISIONES]]*0.21</f>
        <v>0</v>
      </c>
      <c r="AB134" s="21">
        <f>Tabla356813212939717274757677787[[#This Row],[COMISIONES]]*0.105</f>
        <v>0</v>
      </c>
      <c r="AC134" s="21">
        <v>23.61</v>
      </c>
      <c r="AD134" s="21"/>
      <c r="AF134"/>
      <c r="AG134"/>
      <c r="AH134"/>
      <c r="AI134"/>
      <c r="AJ134"/>
      <c r="AK134"/>
      <c r="AL134"/>
      <c r="AM134"/>
      <c r="AN134"/>
      <c r="AO134"/>
    </row>
    <row r="135" spans="1:41" s="6" customFormat="1" x14ac:dyDescent="0.25">
      <c r="A135"/>
      <c r="B135"/>
      <c r="C135"/>
      <c r="D135"/>
      <c r="E135"/>
      <c r="F135"/>
      <c r="H135"/>
      <c r="I135"/>
      <c r="J135"/>
      <c r="K135"/>
      <c r="L135"/>
      <c r="N135" s="24">
        <f>SUBTOTAL(109,Tabla3510182636414244454647484[COMISIONES])</f>
        <v>5619.83</v>
      </c>
      <c r="O135" s="24">
        <f>SUBTOTAL(109,Tabla3510182636414244454647484[IVA 21])</f>
        <v>1180.1642999999999</v>
      </c>
      <c r="P135" s="24">
        <f>SUBTOTAL(109,Tabla3510182636414244454647484[IVA 10,5])</f>
        <v>0</v>
      </c>
      <c r="Q135" s="24">
        <f>SUBTOTAL(109,Tabla3510182636414244454647484[Ret IIBB Caba])</f>
        <v>15164.09</v>
      </c>
      <c r="R135" s="24">
        <f>SUBTOTAL(109,Tabla3510182636414244454647484[PERC IVA])</f>
        <v>168.59</v>
      </c>
      <c r="T135"/>
      <c r="U135"/>
      <c r="V135"/>
      <c r="W135"/>
      <c r="X135"/>
      <c r="Z135" s="21"/>
      <c r="AA135" s="21">
        <f>Tabla356813212939717274757677787[[#This Row],[COMISIONES]]*0.21</f>
        <v>0</v>
      </c>
      <c r="AB135" s="21">
        <f>Tabla356813212939717274757677787[[#This Row],[COMISIONES]]*0.105</f>
        <v>0</v>
      </c>
      <c r="AC135" s="21">
        <v>2124.65</v>
      </c>
      <c r="AD135" s="21"/>
      <c r="AF135"/>
      <c r="AG135"/>
      <c r="AH135"/>
      <c r="AI135"/>
      <c r="AJ135"/>
      <c r="AK135"/>
      <c r="AL135"/>
      <c r="AM135"/>
      <c r="AN135"/>
      <c r="AO135"/>
    </row>
    <row r="136" spans="1:41" s="6" customFormat="1" x14ac:dyDescent="0.25">
      <c r="A136"/>
      <c r="B136"/>
      <c r="C136"/>
      <c r="D136"/>
      <c r="E136"/>
      <c r="F136"/>
      <c r="H136"/>
      <c r="I136"/>
      <c r="J136"/>
      <c r="K136"/>
      <c r="L136"/>
      <c r="N136"/>
      <c r="O136"/>
      <c r="P136"/>
      <c r="Q136"/>
      <c r="R136"/>
      <c r="T136"/>
      <c r="U136"/>
      <c r="V136"/>
      <c r="W136"/>
      <c r="X136"/>
      <c r="Z136" s="21"/>
      <c r="AA136" s="21">
        <f>Tabla356813212939717274757677787[[#This Row],[COMISIONES]]*0.21</f>
        <v>0</v>
      </c>
      <c r="AB136" s="21">
        <f>Tabla356813212939717274757677787[[#This Row],[COMISIONES]]*0.105</f>
        <v>0</v>
      </c>
      <c r="AC136" s="21">
        <v>40059.300000000003</v>
      </c>
      <c r="AD136" s="21"/>
      <c r="AF136"/>
      <c r="AG136"/>
      <c r="AH136"/>
      <c r="AI136"/>
      <c r="AJ136"/>
      <c r="AK136"/>
      <c r="AL136"/>
      <c r="AM136"/>
      <c r="AN136"/>
      <c r="AO136"/>
    </row>
    <row r="137" spans="1:41" s="6" customFormat="1" x14ac:dyDescent="0.25">
      <c r="A137"/>
      <c r="B137"/>
      <c r="C137"/>
      <c r="D137"/>
      <c r="E137"/>
      <c r="F137"/>
      <c r="H137"/>
      <c r="I137"/>
      <c r="J137"/>
      <c r="K137"/>
      <c r="L137"/>
      <c r="N137"/>
      <c r="O137"/>
      <c r="P137"/>
      <c r="Q137"/>
      <c r="R137"/>
      <c r="T137"/>
      <c r="U137"/>
      <c r="V137"/>
      <c r="W137"/>
      <c r="X137"/>
      <c r="Z137" s="21"/>
      <c r="AA137" s="21">
        <f>Tabla356813212939717274757677787[[#This Row],[COMISIONES]]*0.21</f>
        <v>0</v>
      </c>
      <c r="AB137" s="21">
        <f>Tabla356813212939717274757677787[[#This Row],[COMISIONES]]*0.105</f>
        <v>0</v>
      </c>
      <c r="AC137" s="21">
        <v>445.1</v>
      </c>
      <c r="AD137" s="21"/>
      <c r="AF137"/>
      <c r="AG137"/>
      <c r="AH137"/>
      <c r="AI137"/>
      <c r="AJ137"/>
      <c r="AK137"/>
      <c r="AL137"/>
      <c r="AM137"/>
      <c r="AN137"/>
      <c r="AO137"/>
    </row>
    <row r="138" spans="1:41" s="6" customFormat="1" x14ac:dyDescent="0.25">
      <c r="A138"/>
      <c r="B138"/>
      <c r="C138"/>
      <c r="D138"/>
      <c r="E138"/>
      <c r="F138"/>
      <c r="H138"/>
      <c r="I138"/>
      <c r="J138"/>
      <c r="K138"/>
      <c r="L138"/>
      <c r="N138"/>
      <c r="O138"/>
      <c r="P138"/>
      <c r="Q138"/>
      <c r="R138"/>
      <c r="T138"/>
      <c r="U138"/>
      <c r="V138"/>
      <c r="W138"/>
      <c r="X138"/>
      <c r="Z138" s="21"/>
      <c r="AA138" s="21">
        <f>Tabla356813212939717274757677787[[#This Row],[COMISIONES]]*0.21</f>
        <v>0</v>
      </c>
      <c r="AB138" s="21">
        <f>Tabla356813212939717274757677787[[#This Row],[COMISIONES]]*0.105</f>
        <v>0</v>
      </c>
      <c r="AC138" s="21">
        <v>384.28</v>
      </c>
      <c r="AD138" s="21"/>
      <c r="AF138"/>
      <c r="AG138"/>
      <c r="AH138"/>
      <c r="AI138"/>
      <c r="AJ138"/>
      <c r="AK138"/>
      <c r="AL138"/>
      <c r="AM138"/>
      <c r="AN138"/>
      <c r="AO138"/>
    </row>
    <row r="139" spans="1:41" s="6" customFormat="1" x14ac:dyDescent="0.25">
      <c r="A139"/>
      <c r="B139"/>
      <c r="C139"/>
      <c r="D139"/>
      <c r="E139"/>
      <c r="F139"/>
      <c r="H139"/>
      <c r="I139"/>
      <c r="J139"/>
      <c r="K139"/>
      <c r="L139"/>
      <c r="N139"/>
      <c r="O139"/>
      <c r="P139"/>
      <c r="Q139"/>
      <c r="R139"/>
      <c r="T139"/>
      <c r="U139"/>
      <c r="V139"/>
      <c r="W139"/>
      <c r="X139"/>
      <c r="Z139" s="21"/>
      <c r="AA139" s="21">
        <f>Tabla356813212939717274757677787[[#This Row],[COMISIONES]]*0.21</f>
        <v>0</v>
      </c>
      <c r="AB139" s="21">
        <f>Tabla356813212939717274757677787[[#This Row],[COMISIONES]]*0.105</f>
        <v>0</v>
      </c>
      <c r="AC139" s="21">
        <v>34585.43</v>
      </c>
      <c r="AD139" s="21"/>
      <c r="AF139"/>
      <c r="AG139"/>
      <c r="AH139"/>
      <c r="AI139"/>
      <c r="AJ139"/>
      <c r="AK139"/>
      <c r="AL139"/>
      <c r="AM139"/>
      <c r="AN139"/>
      <c r="AO139"/>
    </row>
    <row r="140" spans="1:41" s="6" customFormat="1" x14ac:dyDescent="0.25">
      <c r="A140"/>
      <c r="B140"/>
      <c r="C140"/>
      <c r="D140"/>
      <c r="E140"/>
      <c r="F140"/>
      <c r="H140"/>
      <c r="I140"/>
      <c r="J140"/>
      <c r="K140"/>
      <c r="L140"/>
      <c r="N140"/>
      <c r="O140"/>
      <c r="P140"/>
      <c r="Q140"/>
      <c r="R140"/>
      <c r="T140"/>
      <c r="U140"/>
      <c r="V140"/>
      <c r="W140"/>
      <c r="X140"/>
      <c r="Z140" s="21"/>
      <c r="AA140" s="21">
        <f>Tabla356813212939717274757677787[[#This Row],[COMISIONES]]*0.21</f>
        <v>0</v>
      </c>
      <c r="AB140" s="21">
        <f>Tabla356813212939717274757677787[[#This Row],[COMISIONES]]*0.105</f>
        <v>0</v>
      </c>
      <c r="AC140" s="21">
        <v>20.91</v>
      </c>
      <c r="AD140" s="21"/>
      <c r="AF140"/>
      <c r="AG140"/>
      <c r="AH140"/>
      <c r="AI140"/>
      <c r="AJ140"/>
      <c r="AK140"/>
      <c r="AL140"/>
      <c r="AM140"/>
      <c r="AN140"/>
      <c r="AO140"/>
    </row>
    <row r="141" spans="1:41" s="6" customFormat="1" x14ac:dyDescent="0.25">
      <c r="A141"/>
      <c r="B141"/>
      <c r="C141"/>
      <c r="D141"/>
      <c r="E141"/>
      <c r="F141"/>
      <c r="H141"/>
      <c r="I141"/>
      <c r="J141"/>
      <c r="K141"/>
      <c r="L141"/>
      <c r="N141"/>
      <c r="O141"/>
      <c r="P141"/>
      <c r="Q141"/>
      <c r="R141"/>
      <c r="T141"/>
      <c r="U141"/>
      <c r="V141"/>
      <c r="W141"/>
      <c r="X141"/>
      <c r="Z141" s="21"/>
      <c r="AA141" s="21">
        <f>Tabla356813212939717274757677787[[#This Row],[COMISIONES]]*0.21</f>
        <v>0</v>
      </c>
      <c r="AB141" s="21">
        <f>Tabla356813212939717274757677787[[#This Row],[COMISIONES]]*0.105</f>
        <v>0</v>
      </c>
      <c r="AC141" s="21">
        <v>1882.4</v>
      </c>
      <c r="AD141" s="21"/>
      <c r="AF141"/>
      <c r="AG141"/>
      <c r="AH141"/>
      <c r="AI141"/>
      <c r="AJ141"/>
      <c r="AK141"/>
      <c r="AL141"/>
      <c r="AM141"/>
      <c r="AN141"/>
      <c r="AO141"/>
    </row>
    <row r="142" spans="1:41" s="6" customFormat="1" x14ac:dyDescent="0.25">
      <c r="A142"/>
      <c r="B142"/>
      <c r="C142"/>
      <c r="D142"/>
      <c r="E142"/>
      <c r="F142"/>
      <c r="H142"/>
      <c r="I142"/>
      <c r="J142"/>
      <c r="K142"/>
      <c r="L142"/>
      <c r="N142"/>
      <c r="O142"/>
      <c r="P142"/>
      <c r="Q142"/>
      <c r="R142"/>
      <c r="T142"/>
      <c r="U142"/>
      <c r="V142"/>
      <c r="W142"/>
      <c r="X142"/>
      <c r="Z142" s="21"/>
      <c r="AA142" s="21">
        <f>Tabla356813212939717274757677787[[#This Row],[COMISIONES]]*0.21</f>
        <v>0</v>
      </c>
      <c r="AB142" s="21">
        <f>Tabla356813212939717274757677787[[#This Row],[COMISIONES]]*0.105</f>
        <v>0</v>
      </c>
      <c r="AC142" s="21">
        <v>20730.93</v>
      </c>
      <c r="AD142" s="21"/>
      <c r="AF142"/>
      <c r="AG142"/>
      <c r="AH142"/>
      <c r="AI142"/>
      <c r="AJ142"/>
      <c r="AK142"/>
      <c r="AL142"/>
      <c r="AM142"/>
      <c r="AN142"/>
      <c r="AO142"/>
    </row>
    <row r="143" spans="1:41" s="6" customFormat="1" x14ac:dyDescent="0.25">
      <c r="A143"/>
      <c r="B143"/>
      <c r="C143"/>
      <c r="D143"/>
      <c r="E143"/>
      <c r="F143"/>
      <c r="H143"/>
      <c r="I143"/>
      <c r="J143"/>
      <c r="K143"/>
      <c r="L143"/>
      <c r="N143"/>
      <c r="O143"/>
      <c r="P143"/>
      <c r="Q143"/>
      <c r="R143"/>
      <c r="T143"/>
      <c r="U143"/>
      <c r="V143"/>
      <c r="W143"/>
      <c r="X143"/>
      <c r="Z143" s="21"/>
      <c r="AA143" s="21">
        <f>Tabla356813212939717274757677787[[#This Row],[COMISIONES]]*0.21</f>
        <v>0</v>
      </c>
      <c r="AB143" s="21">
        <f>Tabla356813212939717274757677787[[#This Row],[COMISIONES]]*0.105</f>
        <v>0</v>
      </c>
      <c r="AC143" s="21">
        <v>230.34</v>
      </c>
      <c r="AD143" s="21"/>
      <c r="AF143"/>
      <c r="AG143"/>
      <c r="AH143"/>
      <c r="AI143"/>
      <c r="AJ143"/>
      <c r="AK143"/>
      <c r="AL143"/>
      <c r="AM143"/>
      <c r="AN143"/>
      <c r="AO143"/>
    </row>
    <row r="144" spans="1:41" s="6" customFormat="1" x14ac:dyDescent="0.25">
      <c r="A144"/>
      <c r="B144"/>
      <c r="C144"/>
      <c r="D144"/>
      <c r="E144"/>
      <c r="F144"/>
      <c r="H144"/>
      <c r="I144"/>
      <c r="J144"/>
      <c r="K144"/>
      <c r="L144"/>
      <c r="N144"/>
      <c r="O144"/>
      <c r="P144"/>
      <c r="Q144"/>
      <c r="R144"/>
      <c r="T144"/>
      <c r="U144"/>
      <c r="V144"/>
      <c r="W144"/>
      <c r="X144"/>
      <c r="Z144" s="21"/>
      <c r="AA144" s="21">
        <f>Tabla356813212939717274757677787[[#This Row],[COMISIONES]]*0.21</f>
        <v>0</v>
      </c>
      <c r="AB144" s="21">
        <f>Tabla356813212939717274757677787[[#This Row],[COMISIONES]]*0.105</f>
        <v>0</v>
      </c>
      <c r="AC144" s="21">
        <v>154.59</v>
      </c>
      <c r="AD144" s="21"/>
      <c r="AF144"/>
      <c r="AG144"/>
      <c r="AH144"/>
      <c r="AI144"/>
      <c r="AJ144"/>
      <c r="AK144"/>
      <c r="AL144"/>
      <c r="AM144"/>
      <c r="AN144"/>
      <c r="AO144"/>
    </row>
    <row r="145" spans="1:41" s="6" customFormat="1" x14ac:dyDescent="0.25">
      <c r="A145"/>
      <c r="B145"/>
      <c r="C145"/>
      <c r="D145"/>
      <c r="E145"/>
      <c r="F145"/>
      <c r="H145"/>
      <c r="I145"/>
      <c r="J145"/>
      <c r="K145"/>
      <c r="L145"/>
      <c r="N145"/>
      <c r="O145"/>
      <c r="P145"/>
      <c r="Q145"/>
      <c r="R145"/>
      <c r="T145"/>
      <c r="U145"/>
      <c r="V145"/>
      <c r="W145"/>
      <c r="X145"/>
      <c r="Z145" s="21"/>
      <c r="AA145" s="21">
        <f>Tabla356813212939717274757677787[[#This Row],[COMISIONES]]*0.21</f>
        <v>0</v>
      </c>
      <c r="AB145" s="21">
        <f>Tabla356813212939717274757677787[[#This Row],[COMISIONES]]*0.105</f>
        <v>0</v>
      </c>
      <c r="AC145" s="21">
        <v>13912.94</v>
      </c>
      <c r="AD145" s="21"/>
      <c r="AF145"/>
      <c r="AG145"/>
      <c r="AH145"/>
      <c r="AI145"/>
      <c r="AJ145"/>
      <c r="AK145"/>
      <c r="AL145"/>
      <c r="AM145"/>
      <c r="AN145"/>
      <c r="AO145"/>
    </row>
    <row r="146" spans="1:41" s="6" customFormat="1" x14ac:dyDescent="0.25">
      <c r="A146"/>
      <c r="B146"/>
      <c r="C146"/>
      <c r="D146"/>
      <c r="E146"/>
      <c r="F146"/>
      <c r="H146"/>
      <c r="I146"/>
      <c r="J146"/>
      <c r="K146"/>
      <c r="L146"/>
      <c r="N146"/>
      <c r="O146"/>
      <c r="P146"/>
      <c r="Q146"/>
      <c r="R146"/>
      <c r="T146"/>
      <c r="U146"/>
      <c r="V146"/>
      <c r="W146"/>
      <c r="X146"/>
      <c r="Z146" s="21"/>
      <c r="AA146" s="21">
        <f>Tabla356813212939717274757677787[[#This Row],[COMISIONES]]*0.21</f>
        <v>0</v>
      </c>
      <c r="AB146" s="21">
        <f>Tabla356813212939717274757677787[[#This Row],[COMISIONES]]*0.105</f>
        <v>0</v>
      </c>
      <c r="AC146" s="21"/>
      <c r="AD146" s="21"/>
      <c r="AF146"/>
      <c r="AG146"/>
      <c r="AH146"/>
      <c r="AI146"/>
      <c r="AJ146"/>
      <c r="AK146"/>
      <c r="AL146"/>
      <c r="AM146"/>
      <c r="AN146"/>
      <c r="AO146"/>
    </row>
    <row r="147" spans="1:41" s="6" customFormat="1" x14ac:dyDescent="0.25">
      <c r="A147"/>
      <c r="B147"/>
      <c r="C147"/>
      <c r="D147"/>
      <c r="E147"/>
      <c r="F147"/>
      <c r="H147"/>
      <c r="I147"/>
      <c r="J147"/>
      <c r="K147"/>
      <c r="L147"/>
      <c r="N147"/>
      <c r="O147"/>
      <c r="P147"/>
      <c r="Q147"/>
      <c r="R147"/>
      <c r="T147"/>
      <c r="U147"/>
      <c r="V147"/>
      <c r="W147"/>
      <c r="X147"/>
      <c r="Z147" s="21"/>
      <c r="AA147" s="21">
        <f>Tabla356813212939717274757677787[[#This Row],[COMISIONES]]*0.21</f>
        <v>0</v>
      </c>
      <c r="AB147" s="21">
        <f>Tabla356813212939717274757677787[[#This Row],[COMISIONES]]*0.105</f>
        <v>0</v>
      </c>
      <c r="AC147" s="21"/>
      <c r="AD147" s="21"/>
      <c r="AF147"/>
      <c r="AG147"/>
      <c r="AH147"/>
      <c r="AI147"/>
      <c r="AJ147"/>
      <c r="AK147"/>
      <c r="AL147"/>
      <c r="AM147"/>
      <c r="AN147"/>
      <c r="AO147"/>
    </row>
    <row r="148" spans="1:41" s="6" customFormat="1" x14ac:dyDescent="0.25">
      <c r="A148"/>
      <c r="B148"/>
      <c r="C148"/>
      <c r="D148"/>
      <c r="E148"/>
      <c r="F148"/>
      <c r="H148"/>
      <c r="I148"/>
      <c r="J148"/>
      <c r="K148"/>
      <c r="L148"/>
      <c r="N148"/>
      <c r="O148"/>
      <c r="P148"/>
      <c r="Q148"/>
      <c r="R148"/>
      <c r="T148"/>
      <c r="U148"/>
      <c r="V148"/>
      <c r="W148"/>
      <c r="X148"/>
      <c r="Z148" s="21"/>
      <c r="AA148" s="21">
        <f>Tabla356813212939717274757677787[[#This Row],[COMISIONES]]*0.21</f>
        <v>0</v>
      </c>
      <c r="AB148" s="21">
        <f>Tabla356813212939717274757677787[[#This Row],[COMISIONES]]*0.105</f>
        <v>0</v>
      </c>
      <c r="AC148" s="21"/>
      <c r="AD148" s="21"/>
      <c r="AF148"/>
      <c r="AG148"/>
      <c r="AH148"/>
      <c r="AI148"/>
      <c r="AJ148"/>
      <c r="AK148"/>
      <c r="AL148"/>
      <c r="AM148"/>
      <c r="AN148"/>
      <c r="AO148"/>
    </row>
    <row r="149" spans="1:41" s="6" customFormat="1" x14ac:dyDescent="0.25">
      <c r="A149"/>
      <c r="B149"/>
      <c r="C149"/>
      <c r="D149"/>
      <c r="E149"/>
      <c r="F149"/>
      <c r="H149"/>
      <c r="I149"/>
      <c r="J149"/>
      <c r="K149"/>
      <c r="L149"/>
      <c r="N149"/>
      <c r="O149"/>
      <c r="P149"/>
      <c r="Q149"/>
      <c r="R149"/>
      <c r="T149"/>
      <c r="U149"/>
      <c r="V149"/>
      <c r="W149"/>
      <c r="X149"/>
      <c r="Z149" s="21"/>
      <c r="AA149" s="21">
        <f>Tabla356813212939717274757677787[[#This Row],[COMISIONES]]*0.21</f>
        <v>0</v>
      </c>
      <c r="AB149" s="21">
        <f>Tabla356813212939717274757677787[[#This Row],[COMISIONES]]*0.105</f>
        <v>0</v>
      </c>
      <c r="AC149" s="21"/>
      <c r="AD149" s="21"/>
      <c r="AF149"/>
      <c r="AG149"/>
      <c r="AH149"/>
      <c r="AI149"/>
      <c r="AJ149"/>
      <c r="AK149"/>
      <c r="AL149"/>
      <c r="AM149"/>
      <c r="AN149"/>
      <c r="AO149"/>
    </row>
    <row r="150" spans="1:41" s="6" customFormat="1" x14ac:dyDescent="0.25">
      <c r="A150"/>
      <c r="B150"/>
      <c r="C150"/>
      <c r="D150"/>
      <c r="E150"/>
      <c r="F150"/>
      <c r="H150"/>
      <c r="I150"/>
      <c r="J150"/>
      <c r="K150"/>
      <c r="L150"/>
      <c r="N150"/>
      <c r="O150"/>
      <c r="P150"/>
      <c r="Q150"/>
      <c r="R150"/>
      <c r="T150"/>
      <c r="U150"/>
      <c r="V150"/>
      <c r="W150"/>
      <c r="X150"/>
      <c r="Z150" s="21"/>
      <c r="AA150" s="21">
        <f>Tabla356813212939717274757677787[[#This Row],[COMISIONES]]*0.21</f>
        <v>0</v>
      </c>
      <c r="AB150" s="21">
        <f>Tabla356813212939717274757677787[[#This Row],[COMISIONES]]*0.105</f>
        <v>0</v>
      </c>
      <c r="AC150" s="21"/>
      <c r="AD150" s="21"/>
      <c r="AF150"/>
      <c r="AG150"/>
      <c r="AH150"/>
      <c r="AI150"/>
      <c r="AJ150"/>
      <c r="AK150"/>
      <c r="AL150"/>
      <c r="AM150"/>
      <c r="AN150"/>
      <c r="AO150"/>
    </row>
    <row r="151" spans="1:41" s="6" customFormat="1" x14ac:dyDescent="0.25">
      <c r="A151"/>
      <c r="B151"/>
      <c r="C151"/>
      <c r="D151"/>
      <c r="E151"/>
      <c r="F151"/>
      <c r="H151"/>
      <c r="I151"/>
      <c r="J151"/>
      <c r="K151"/>
      <c r="L151"/>
      <c r="N151"/>
      <c r="O151"/>
      <c r="P151"/>
      <c r="Q151"/>
      <c r="R151"/>
      <c r="T151"/>
      <c r="U151"/>
      <c r="V151"/>
      <c r="W151"/>
      <c r="X151"/>
      <c r="Z151" s="21"/>
      <c r="AA151" s="21">
        <f>Tabla356813212939717274757677787[[#This Row],[COMISIONES]]*0.21</f>
        <v>0</v>
      </c>
      <c r="AB151" s="21">
        <f>Tabla356813212939717274757677787[[#This Row],[COMISIONES]]*0.105</f>
        <v>0</v>
      </c>
      <c r="AC151" s="21"/>
      <c r="AD151" s="21"/>
      <c r="AF151"/>
      <c r="AG151"/>
      <c r="AH151"/>
      <c r="AI151"/>
      <c r="AJ151"/>
      <c r="AK151"/>
      <c r="AL151"/>
      <c r="AM151"/>
      <c r="AN151"/>
      <c r="AO151"/>
    </row>
    <row r="152" spans="1:41" s="6" customFormat="1" x14ac:dyDescent="0.25">
      <c r="A152"/>
      <c r="B152"/>
      <c r="C152"/>
      <c r="D152"/>
      <c r="E152"/>
      <c r="F152"/>
      <c r="H152"/>
      <c r="I152"/>
      <c r="J152"/>
      <c r="K152"/>
      <c r="L152"/>
      <c r="N152"/>
      <c r="O152"/>
      <c r="P152"/>
      <c r="Q152"/>
      <c r="R152"/>
      <c r="T152"/>
      <c r="U152"/>
      <c r="V152"/>
      <c r="W152"/>
      <c r="X152"/>
      <c r="Z152" s="21"/>
      <c r="AA152" s="21">
        <f>Tabla356813212939717274757677787[[#This Row],[COMISIONES]]*0.21</f>
        <v>0</v>
      </c>
      <c r="AB152" s="21">
        <f>Tabla356813212939717274757677787[[#This Row],[COMISIONES]]*0.105</f>
        <v>0</v>
      </c>
      <c r="AC152" s="21"/>
      <c r="AD152" s="21"/>
      <c r="AF152"/>
      <c r="AG152"/>
      <c r="AH152"/>
      <c r="AI152"/>
      <c r="AJ152"/>
      <c r="AK152"/>
      <c r="AL152"/>
      <c r="AM152"/>
      <c r="AN152"/>
      <c r="AO152"/>
    </row>
    <row r="153" spans="1:41" s="6" customFormat="1" x14ac:dyDescent="0.25">
      <c r="A153"/>
      <c r="B153"/>
      <c r="C153"/>
      <c r="D153"/>
      <c r="E153"/>
      <c r="F153"/>
      <c r="H153"/>
      <c r="I153"/>
      <c r="J153"/>
      <c r="K153"/>
      <c r="L153"/>
      <c r="N153"/>
      <c r="O153"/>
      <c r="P153"/>
      <c r="Q153"/>
      <c r="R153"/>
      <c r="T153"/>
      <c r="U153"/>
      <c r="V153"/>
      <c r="W153"/>
      <c r="X153"/>
      <c r="Z153" s="21"/>
      <c r="AA153" s="21">
        <f>Tabla356813212939717274757677787[[#This Row],[COMISIONES]]*0.21</f>
        <v>0</v>
      </c>
      <c r="AB153" s="21">
        <f>Tabla356813212939717274757677787[[#This Row],[COMISIONES]]*0.105</f>
        <v>0</v>
      </c>
      <c r="AC153" s="21"/>
      <c r="AD153" s="21"/>
      <c r="AF153"/>
      <c r="AG153"/>
      <c r="AH153"/>
      <c r="AI153"/>
      <c r="AJ153"/>
      <c r="AK153"/>
      <c r="AL153"/>
      <c r="AM153"/>
      <c r="AN153"/>
      <c r="AO153"/>
    </row>
    <row r="154" spans="1:41" s="6" customFormat="1" x14ac:dyDescent="0.25">
      <c r="A154"/>
      <c r="B154"/>
      <c r="C154"/>
      <c r="D154"/>
      <c r="E154"/>
      <c r="F154"/>
      <c r="H154"/>
      <c r="I154"/>
      <c r="J154"/>
      <c r="K154"/>
      <c r="L154"/>
      <c r="N154"/>
      <c r="O154"/>
      <c r="P154"/>
      <c r="Q154"/>
      <c r="R154"/>
      <c r="T154"/>
      <c r="U154"/>
      <c r="V154"/>
      <c r="W154"/>
      <c r="X154"/>
      <c r="Z154" s="21"/>
      <c r="AA154" s="21">
        <f>Tabla356813212939717274757677787[[#This Row],[COMISIONES]]*0.21</f>
        <v>0</v>
      </c>
      <c r="AB154" s="21">
        <f>Tabla356813212939717274757677787[[#This Row],[COMISIONES]]*0.105</f>
        <v>0</v>
      </c>
      <c r="AC154" s="21"/>
      <c r="AD154" s="21"/>
      <c r="AF154"/>
      <c r="AG154"/>
      <c r="AH154"/>
      <c r="AI154"/>
      <c r="AJ154"/>
      <c r="AK154"/>
      <c r="AL154"/>
      <c r="AM154"/>
      <c r="AN154"/>
      <c r="AO154"/>
    </row>
    <row r="155" spans="1:41" s="6" customFormat="1" x14ac:dyDescent="0.25">
      <c r="A155"/>
      <c r="B155"/>
      <c r="C155"/>
      <c r="D155"/>
      <c r="E155"/>
      <c r="F155"/>
      <c r="H155"/>
      <c r="I155"/>
      <c r="J155"/>
      <c r="K155"/>
      <c r="L155"/>
      <c r="N155"/>
      <c r="O155"/>
      <c r="P155"/>
      <c r="Q155"/>
      <c r="R155"/>
      <c r="T155"/>
      <c r="U155"/>
      <c r="V155"/>
      <c r="W155"/>
      <c r="X155"/>
      <c r="Z155" s="21"/>
      <c r="AA155" s="21">
        <f>Tabla356813212939717274757677787[[#This Row],[COMISIONES]]*0.21</f>
        <v>0</v>
      </c>
      <c r="AB155" s="21">
        <f>Tabla356813212939717274757677787[[#This Row],[COMISIONES]]*0.105</f>
        <v>0</v>
      </c>
      <c r="AC155" s="21"/>
      <c r="AD155" s="21"/>
      <c r="AF155"/>
      <c r="AG155"/>
      <c r="AH155"/>
      <c r="AI155"/>
      <c r="AJ155"/>
      <c r="AK155"/>
      <c r="AL155"/>
      <c r="AM155"/>
      <c r="AN155"/>
      <c r="AO155"/>
    </row>
    <row r="156" spans="1:41" s="6" customFormat="1" x14ac:dyDescent="0.25">
      <c r="A156"/>
      <c r="B156"/>
      <c r="C156"/>
      <c r="D156"/>
      <c r="E156"/>
      <c r="F156"/>
      <c r="H156"/>
      <c r="I156"/>
      <c r="J156"/>
      <c r="K156"/>
      <c r="L156"/>
      <c r="N156"/>
      <c r="O156"/>
      <c r="P156"/>
      <c r="Q156"/>
      <c r="R156"/>
      <c r="T156"/>
      <c r="U156"/>
      <c r="V156"/>
      <c r="W156"/>
      <c r="X156"/>
      <c r="Z156" s="21"/>
      <c r="AA156" s="21">
        <f>Tabla356813212939717274757677787[[#This Row],[COMISIONES]]*0.21</f>
        <v>0</v>
      </c>
      <c r="AB156" s="21">
        <f>Tabla356813212939717274757677787[[#This Row],[COMISIONES]]*0.105</f>
        <v>0</v>
      </c>
      <c r="AC156" s="21"/>
      <c r="AD156" s="21"/>
      <c r="AF156"/>
      <c r="AG156"/>
      <c r="AH156"/>
      <c r="AI156"/>
      <c r="AJ156"/>
      <c r="AK156"/>
      <c r="AL156"/>
      <c r="AM156"/>
      <c r="AN156"/>
      <c r="AO156"/>
    </row>
    <row r="157" spans="1:41" s="6" customFormat="1" x14ac:dyDescent="0.25">
      <c r="A157"/>
      <c r="B157"/>
      <c r="C157"/>
      <c r="D157"/>
      <c r="E157"/>
      <c r="F157"/>
      <c r="H157"/>
      <c r="I157"/>
      <c r="J157"/>
      <c r="K157"/>
      <c r="L157"/>
      <c r="N157"/>
      <c r="O157"/>
      <c r="P157"/>
      <c r="Q157"/>
      <c r="R157"/>
      <c r="T157"/>
      <c r="U157"/>
      <c r="V157"/>
      <c r="W157"/>
      <c r="X157"/>
      <c r="Z157" s="21"/>
      <c r="AA157" s="21">
        <f>Tabla356813212939717274757677787[[#This Row],[COMISIONES]]*0.21</f>
        <v>0</v>
      </c>
      <c r="AB157" s="21">
        <f>Tabla356813212939717274757677787[[#This Row],[COMISIONES]]*0.105</f>
        <v>0</v>
      </c>
      <c r="AC157" s="21"/>
      <c r="AD157" s="21"/>
      <c r="AF157"/>
      <c r="AG157"/>
      <c r="AH157"/>
      <c r="AI157"/>
      <c r="AJ157"/>
      <c r="AK157"/>
      <c r="AL157"/>
      <c r="AM157"/>
      <c r="AN157"/>
      <c r="AO157"/>
    </row>
    <row r="158" spans="1:41" s="6" customFormat="1" x14ac:dyDescent="0.25">
      <c r="A158"/>
      <c r="B158"/>
      <c r="C158"/>
      <c r="D158"/>
      <c r="E158"/>
      <c r="F158"/>
      <c r="H158"/>
      <c r="I158"/>
      <c r="J158"/>
      <c r="K158"/>
      <c r="L158"/>
      <c r="N158"/>
      <c r="O158"/>
      <c r="P158"/>
      <c r="Q158"/>
      <c r="R158"/>
      <c r="T158"/>
      <c r="U158"/>
      <c r="V158"/>
      <c r="W158"/>
      <c r="X158"/>
      <c r="Z158" s="21"/>
      <c r="AA158" s="21">
        <f>Tabla356813212939717274757677787[[#This Row],[COMISIONES]]*0.21</f>
        <v>0</v>
      </c>
      <c r="AB158" s="21">
        <f>Tabla356813212939717274757677787[[#This Row],[COMISIONES]]*0.105</f>
        <v>0</v>
      </c>
      <c r="AC158" s="21"/>
      <c r="AD158" s="21"/>
      <c r="AF158"/>
      <c r="AG158"/>
      <c r="AH158"/>
      <c r="AI158"/>
      <c r="AJ158"/>
      <c r="AK158"/>
      <c r="AL158"/>
      <c r="AM158"/>
      <c r="AN158"/>
      <c r="AO158"/>
    </row>
    <row r="159" spans="1:41" s="6" customFormat="1" x14ac:dyDescent="0.25">
      <c r="A159"/>
      <c r="B159"/>
      <c r="C159"/>
      <c r="D159"/>
      <c r="E159"/>
      <c r="F159"/>
      <c r="H159"/>
      <c r="I159"/>
      <c r="J159"/>
      <c r="K159"/>
      <c r="L159"/>
      <c r="N159"/>
      <c r="O159"/>
      <c r="P159"/>
      <c r="Q159"/>
      <c r="R159"/>
      <c r="T159"/>
      <c r="U159"/>
      <c r="V159"/>
      <c r="W159"/>
      <c r="X159"/>
      <c r="Z159" s="21"/>
      <c r="AA159" s="21">
        <f>Tabla356813212939717274757677787[[#This Row],[COMISIONES]]*0.21</f>
        <v>0</v>
      </c>
      <c r="AB159" s="21">
        <f>Tabla356813212939717274757677787[[#This Row],[COMISIONES]]*0.105</f>
        <v>0</v>
      </c>
      <c r="AC159" s="21"/>
      <c r="AD159" s="21"/>
      <c r="AF159"/>
      <c r="AG159"/>
      <c r="AH159"/>
      <c r="AI159"/>
      <c r="AJ159"/>
      <c r="AK159"/>
      <c r="AL159"/>
      <c r="AM159"/>
      <c r="AN159"/>
      <c r="AO159"/>
    </row>
    <row r="160" spans="1:41" s="6" customFormat="1" x14ac:dyDescent="0.25">
      <c r="A160"/>
      <c r="B160"/>
      <c r="C160"/>
      <c r="D160"/>
      <c r="E160"/>
      <c r="F160"/>
      <c r="H160"/>
      <c r="I160"/>
      <c r="J160"/>
      <c r="K160"/>
      <c r="L160"/>
      <c r="N160"/>
      <c r="O160"/>
      <c r="P160"/>
      <c r="Q160"/>
      <c r="R160"/>
      <c r="T160"/>
      <c r="U160"/>
      <c r="V160"/>
      <c r="W160"/>
      <c r="X160"/>
      <c r="Z160" s="21"/>
      <c r="AA160" s="21">
        <f>Tabla356813212939717274757677787[[#This Row],[COMISIONES]]*0.21</f>
        <v>0</v>
      </c>
      <c r="AB160" s="21">
        <f>Tabla356813212939717274757677787[[#This Row],[COMISIONES]]*0.105</f>
        <v>0</v>
      </c>
      <c r="AC160" s="21"/>
      <c r="AD160" s="21"/>
      <c r="AF160"/>
      <c r="AG160"/>
      <c r="AH160"/>
      <c r="AI160"/>
      <c r="AJ160"/>
      <c r="AK160"/>
      <c r="AL160"/>
      <c r="AM160"/>
      <c r="AN160"/>
      <c r="AO160"/>
    </row>
    <row r="161" spans="1:41" s="6" customFormat="1" x14ac:dyDescent="0.25">
      <c r="A161"/>
      <c r="B161"/>
      <c r="C161"/>
      <c r="D161"/>
      <c r="E161"/>
      <c r="F161"/>
      <c r="H161"/>
      <c r="I161"/>
      <c r="J161"/>
      <c r="K161"/>
      <c r="L161"/>
      <c r="N161"/>
      <c r="O161"/>
      <c r="P161"/>
      <c r="Q161"/>
      <c r="R161"/>
      <c r="T161"/>
      <c r="U161"/>
      <c r="V161"/>
      <c r="W161"/>
      <c r="X161"/>
      <c r="Z161" s="21"/>
      <c r="AA161" s="21">
        <f>Tabla356813212939717274757677787[[#This Row],[COMISIONES]]*0.21</f>
        <v>0</v>
      </c>
      <c r="AB161" s="21">
        <f>Tabla356813212939717274757677787[[#This Row],[COMISIONES]]*0.105</f>
        <v>0</v>
      </c>
      <c r="AC161" s="21"/>
      <c r="AD161" s="21"/>
      <c r="AF161"/>
      <c r="AG161"/>
      <c r="AH161"/>
      <c r="AI161"/>
      <c r="AJ161"/>
      <c r="AK161"/>
      <c r="AL161"/>
      <c r="AM161"/>
      <c r="AN161"/>
      <c r="AO161"/>
    </row>
    <row r="162" spans="1:41" s="6" customFormat="1" x14ac:dyDescent="0.25">
      <c r="A162"/>
      <c r="B162"/>
      <c r="C162"/>
      <c r="D162"/>
      <c r="E162"/>
      <c r="F162"/>
      <c r="H162"/>
      <c r="I162"/>
      <c r="J162"/>
      <c r="K162"/>
      <c r="L162"/>
      <c r="N162"/>
      <c r="O162"/>
      <c r="P162"/>
      <c r="Q162"/>
      <c r="R162"/>
      <c r="T162"/>
      <c r="U162"/>
      <c r="V162"/>
      <c r="W162"/>
      <c r="X162"/>
      <c r="Z162" s="21"/>
      <c r="AA162" s="21">
        <f>Tabla356813212939717274757677787[[#This Row],[COMISIONES]]*0.21</f>
        <v>0</v>
      </c>
      <c r="AB162" s="21">
        <f>Tabla356813212939717274757677787[[#This Row],[COMISIONES]]*0.105</f>
        <v>0</v>
      </c>
      <c r="AC162" s="21"/>
      <c r="AD162" s="21"/>
      <c r="AF162"/>
      <c r="AG162"/>
      <c r="AH162"/>
      <c r="AI162"/>
      <c r="AJ162"/>
      <c r="AK162"/>
      <c r="AL162"/>
      <c r="AM162"/>
      <c r="AN162"/>
      <c r="AO162"/>
    </row>
    <row r="163" spans="1:41" s="6" customFormat="1" x14ac:dyDescent="0.25">
      <c r="A163"/>
      <c r="B163"/>
      <c r="C163"/>
      <c r="D163"/>
      <c r="E163"/>
      <c r="F163"/>
      <c r="H163"/>
      <c r="I163"/>
      <c r="J163"/>
      <c r="K163"/>
      <c r="L163"/>
      <c r="N163"/>
      <c r="O163"/>
      <c r="P163"/>
      <c r="Q163"/>
      <c r="R163"/>
      <c r="T163"/>
      <c r="U163"/>
      <c r="V163"/>
      <c r="W163"/>
      <c r="X163"/>
      <c r="Z163" s="21"/>
      <c r="AA163" s="21">
        <f>Tabla356813212939717274757677787[[#This Row],[COMISIONES]]*0.21</f>
        <v>0</v>
      </c>
      <c r="AB163" s="21">
        <f>Tabla356813212939717274757677787[[#This Row],[COMISIONES]]*0.105</f>
        <v>0</v>
      </c>
      <c r="AC163" s="21"/>
      <c r="AD163" s="21"/>
      <c r="AF163"/>
      <c r="AG163"/>
      <c r="AH163"/>
      <c r="AI163"/>
      <c r="AJ163"/>
      <c r="AK163"/>
      <c r="AL163"/>
      <c r="AM163"/>
      <c r="AN163"/>
      <c r="AO163"/>
    </row>
    <row r="164" spans="1:41" s="6" customFormat="1" x14ac:dyDescent="0.25">
      <c r="A164"/>
      <c r="B164"/>
      <c r="C164"/>
      <c r="D164"/>
      <c r="E164"/>
      <c r="F164"/>
      <c r="H164"/>
      <c r="I164"/>
      <c r="J164"/>
      <c r="K164"/>
      <c r="L164"/>
      <c r="N164"/>
      <c r="O164"/>
      <c r="P164"/>
      <c r="Q164"/>
      <c r="R164"/>
      <c r="T164"/>
      <c r="U164"/>
      <c r="V164"/>
      <c r="W164"/>
      <c r="X164"/>
      <c r="Z164" s="21"/>
      <c r="AA164" s="21">
        <f>Tabla356813212939717274757677787[[#This Row],[COMISIONES]]*0.21</f>
        <v>0</v>
      </c>
      <c r="AB164" s="21">
        <f>Tabla356813212939717274757677787[[#This Row],[COMISIONES]]*0.105</f>
        <v>0</v>
      </c>
      <c r="AC164" s="21"/>
      <c r="AD164" s="21"/>
      <c r="AF164"/>
      <c r="AG164"/>
      <c r="AH164"/>
      <c r="AI164"/>
      <c r="AJ164"/>
      <c r="AK164"/>
      <c r="AL164"/>
      <c r="AM164"/>
      <c r="AN164"/>
      <c r="AO164"/>
    </row>
    <row r="165" spans="1:41" s="6" customFormat="1" x14ac:dyDescent="0.25">
      <c r="A165"/>
      <c r="B165"/>
      <c r="C165"/>
      <c r="D165"/>
      <c r="E165"/>
      <c r="F165"/>
      <c r="H165"/>
      <c r="I165"/>
      <c r="J165"/>
      <c r="K165"/>
      <c r="L165"/>
      <c r="N165"/>
      <c r="O165"/>
      <c r="P165"/>
      <c r="Q165"/>
      <c r="R165"/>
      <c r="T165"/>
      <c r="U165"/>
      <c r="V165"/>
      <c r="W165"/>
      <c r="X165"/>
      <c r="Z165" s="21"/>
      <c r="AA165" s="21">
        <f>Tabla356813212939717274757677787[[#This Row],[COMISIONES]]*0.21</f>
        <v>0</v>
      </c>
      <c r="AB165" s="21">
        <f>Tabla356813212939717274757677787[[#This Row],[COMISIONES]]*0.105</f>
        <v>0</v>
      </c>
      <c r="AC165" s="21"/>
      <c r="AD165" s="21"/>
      <c r="AF165"/>
      <c r="AG165"/>
      <c r="AH165"/>
      <c r="AI165"/>
      <c r="AJ165"/>
      <c r="AK165"/>
      <c r="AL165"/>
      <c r="AM165"/>
      <c r="AN165"/>
      <c r="AO165"/>
    </row>
    <row r="166" spans="1:41" s="6" customFormat="1" x14ac:dyDescent="0.25">
      <c r="A166"/>
      <c r="B166"/>
      <c r="C166"/>
      <c r="D166"/>
      <c r="E166"/>
      <c r="F166"/>
      <c r="H166"/>
      <c r="I166"/>
      <c r="J166"/>
      <c r="K166"/>
      <c r="L166"/>
      <c r="N166"/>
      <c r="O166"/>
      <c r="P166"/>
      <c r="Q166"/>
      <c r="R166"/>
      <c r="T166"/>
      <c r="U166"/>
      <c r="V166"/>
      <c r="W166"/>
      <c r="X166"/>
      <c r="Z166" s="21"/>
      <c r="AA166" s="21">
        <f>Tabla356813212939717274757677787[[#This Row],[COMISIONES]]*0.21</f>
        <v>0</v>
      </c>
      <c r="AB166" s="21">
        <f>Tabla356813212939717274757677787[[#This Row],[COMISIONES]]*0.105</f>
        <v>0</v>
      </c>
      <c r="AC166" s="21"/>
      <c r="AD166" s="21"/>
      <c r="AF166"/>
      <c r="AG166"/>
      <c r="AH166"/>
      <c r="AI166"/>
      <c r="AJ166"/>
      <c r="AK166"/>
      <c r="AL166"/>
      <c r="AM166"/>
      <c r="AN166"/>
      <c r="AO166"/>
    </row>
    <row r="167" spans="1:41" s="6" customFormat="1" x14ac:dyDescent="0.25">
      <c r="A167"/>
      <c r="B167"/>
      <c r="C167"/>
      <c r="D167"/>
      <c r="E167"/>
      <c r="F167"/>
      <c r="H167"/>
      <c r="I167"/>
      <c r="J167"/>
      <c r="K167"/>
      <c r="L167"/>
      <c r="N167"/>
      <c r="O167"/>
      <c r="P167"/>
      <c r="Q167"/>
      <c r="R167"/>
      <c r="T167"/>
      <c r="U167"/>
      <c r="V167"/>
      <c r="W167"/>
      <c r="X167"/>
      <c r="Z167" s="21"/>
      <c r="AA167" s="21">
        <f>Tabla356813212939717274757677787[[#This Row],[COMISIONES]]*0.21</f>
        <v>0</v>
      </c>
      <c r="AB167" s="21">
        <f>Tabla356813212939717274757677787[[#This Row],[COMISIONES]]*0.105</f>
        <v>0</v>
      </c>
      <c r="AC167" s="21"/>
      <c r="AD167" s="21"/>
      <c r="AF167"/>
      <c r="AG167"/>
      <c r="AH167"/>
      <c r="AI167"/>
      <c r="AJ167"/>
      <c r="AK167"/>
      <c r="AL167"/>
      <c r="AM167"/>
      <c r="AN167"/>
      <c r="AO167"/>
    </row>
    <row r="168" spans="1:41" s="6" customFormat="1" x14ac:dyDescent="0.25">
      <c r="A168"/>
      <c r="B168"/>
      <c r="C168"/>
      <c r="D168"/>
      <c r="E168"/>
      <c r="F168"/>
      <c r="H168"/>
      <c r="I168"/>
      <c r="J168"/>
      <c r="K168"/>
      <c r="L168"/>
      <c r="N168"/>
      <c r="O168"/>
      <c r="P168"/>
      <c r="Q168"/>
      <c r="R168"/>
      <c r="T168"/>
      <c r="U168"/>
      <c r="V168"/>
      <c r="W168"/>
      <c r="X168"/>
      <c r="Z168" s="21"/>
      <c r="AA168" s="21">
        <f>Tabla356813212939717274757677787[[#This Row],[COMISIONES]]*0.21</f>
        <v>0</v>
      </c>
      <c r="AB168" s="21">
        <f>Tabla356813212939717274757677787[[#This Row],[COMISIONES]]*0.105</f>
        <v>0</v>
      </c>
      <c r="AC168" s="21"/>
      <c r="AD168" s="21"/>
      <c r="AF168"/>
      <c r="AG168"/>
      <c r="AH168"/>
      <c r="AI168"/>
      <c r="AJ168"/>
      <c r="AK168"/>
      <c r="AL168"/>
      <c r="AM168"/>
      <c r="AN168"/>
      <c r="AO168"/>
    </row>
    <row r="169" spans="1:41" s="6" customFormat="1" x14ac:dyDescent="0.25">
      <c r="A169"/>
      <c r="B169"/>
      <c r="C169"/>
      <c r="D169"/>
      <c r="E169"/>
      <c r="F169"/>
      <c r="H169"/>
      <c r="I169"/>
      <c r="J169"/>
      <c r="K169"/>
      <c r="L169"/>
      <c r="N169"/>
      <c r="O169"/>
      <c r="P169"/>
      <c r="Q169"/>
      <c r="R169"/>
      <c r="T169"/>
      <c r="U169"/>
      <c r="V169"/>
      <c r="W169"/>
      <c r="X169"/>
      <c r="Z169" s="4">
        <f>SUBTOTAL(109,Tabla356813212939717274757677787[COMISIONES])</f>
        <v>989441.90999999992</v>
      </c>
      <c r="AA169" s="4">
        <f>SUBTOTAL(109,Tabla356813212939717274757677787[IVA 21])</f>
        <v>118659.31450000002</v>
      </c>
      <c r="AB169" s="4">
        <f>SUBTOTAL(109,Tabla356813212939717274757677787[IVA 10,5])</f>
        <v>44561.737200000003</v>
      </c>
      <c r="AC169" s="4">
        <f>SUBTOTAL(109,Tabla356813212939717274757677787[Ret IIBB Caba])</f>
        <v>1418142.17</v>
      </c>
      <c r="AD169" s="4">
        <f>SUBTOTAL(109,Tabla356813212939717274757677787[PERC IVA])</f>
        <v>0</v>
      </c>
      <c r="AF169"/>
      <c r="AG169"/>
      <c r="AH169"/>
      <c r="AI169"/>
      <c r="AJ169"/>
      <c r="AK169"/>
      <c r="AL169"/>
      <c r="AM169"/>
      <c r="AN169"/>
      <c r="AO169"/>
    </row>
  </sheetData>
  <mergeCells count="13">
    <mergeCell ref="G2:H2"/>
    <mergeCell ref="J2:K2"/>
    <mergeCell ref="G12:H12"/>
    <mergeCell ref="H54:L54"/>
    <mergeCell ref="T64:X64"/>
    <mergeCell ref="N14:R14"/>
    <mergeCell ref="T14:X14"/>
    <mergeCell ref="B14:F14"/>
    <mergeCell ref="H14:L14"/>
    <mergeCell ref="AF14:AJ14"/>
    <mergeCell ref="AK14:AO14"/>
    <mergeCell ref="T32:X32"/>
    <mergeCell ref="Z14:AD14"/>
  </mergeCells>
  <pageMargins left="0.7" right="0.7" top="0.75" bottom="0.75" header="0.3" footer="0.3"/>
  <pageSetup paperSize="9" orientation="portrait" horizontalDpi="300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776D0-549B-4577-85D5-4459BA6D5A7A}">
  <dimension ref="A1:AO169"/>
  <sheetViews>
    <sheetView showGridLines="0" topLeftCell="P6" zoomScale="115" zoomScaleNormal="115" workbookViewId="0">
      <selection activeCell="AC17" sqref="AC17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4" bestFit="1" customWidth="1"/>
    <col min="4" max="4" width="12.140625" bestFit="1" customWidth="1"/>
    <col min="5" max="5" width="11.5703125" customWidth="1"/>
    <col min="6" max="6" width="13" bestFit="1" customWidth="1"/>
    <col min="7" max="7" width="2.42578125" style="6" customWidth="1"/>
    <col min="8" max="8" width="12.7109375" customWidth="1"/>
    <col min="9" max="9" width="13.5703125" customWidth="1"/>
    <col min="10" max="10" width="12.28515625" bestFit="1" customWidth="1"/>
    <col min="11" max="11" width="12.85546875" customWidth="1"/>
    <col min="13" max="13" width="2.5703125" style="6" customWidth="1"/>
    <col min="14" max="14" width="12.7109375" customWidth="1"/>
    <col min="17" max="17" width="12.85546875" customWidth="1"/>
    <col min="19" max="19" width="2.5703125" style="6" customWidth="1"/>
    <col min="20" max="20" width="12.7109375" customWidth="1"/>
    <col min="23" max="23" width="12.85546875" customWidth="1"/>
    <col min="24" max="24" width="13.5703125" customWidth="1"/>
    <col min="25" max="25" width="2.5703125" style="6" customWidth="1"/>
    <col min="26" max="26" width="15.42578125" bestFit="1" customWidth="1"/>
    <col min="27" max="27" width="13.28515625" customWidth="1"/>
    <col min="29" max="29" width="15.7109375" bestFit="1" customWidth="1"/>
    <col min="31" max="31" width="2.5703125" style="6" customWidth="1"/>
    <col min="32" max="32" width="15.42578125" bestFit="1" customWidth="1"/>
    <col min="35" max="35" width="15.7109375" bestFit="1" customWidth="1"/>
  </cols>
  <sheetData>
    <row r="1" spans="1:41" x14ac:dyDescent="0.25">
      <c r="G1"/>
      <c r="M1"/>
      <c r="S1"/>
      <c r="Y1"/>
      <c r="AE1"/>
    </row>
    <row r="2" spans="1:41" ht="18.75" x14ac:dyDescent="0.25">
      <c r="C2" s="15" t="s">
        <v>2</v>
      </c>
      <c r="D2" s="16" t="s">
        <v>0</v>
      </c>
      <c r="E2" s="16" t="s">
        <v>1</v>
      </c>
      <c r="F2" s="16" t="s">
        <v>3</v>
      </c>
      <c r="G2" s="53" t="s">
        <v>4</v>
      </c>
      <c r="H2" s="54"/>
      <c r="J2" s="55">
        <v>45536</v>
      </c>
      <c r="K2" s="55"/>
      <c r="M2"/>
      <c r="S2"/>
      <c r="Y2"/>
      <c r="AE2"/>
    </row>
    <row r="3" spans="1:41" x14ac:dyDescent="0.25">
      <c r="B3" s="25" t="str">
        <f>+B14</f>
        <v>Extracto Santander</v>
      </c>
      <c r="C3" s="14">
        <v>57.37</v>
      </c>
      <c r="D3" s="14"/>
      <c r="E3" s="14">
        <v>6.0238499999999995</v>
      </c>
      <c r="F3" s="14"/>
      <c r="G3" s="32"/>
      <c r="H3" s="33"/>
      <c r="J3" s="2"/>
      <c r="K3" s="3"/>
      <c r="M3"/>
      <c r="N3" t="s">
        <v>5</v>
      </c>
      <c r="S3"/>
      <c r="Y3"/>
      <c r="AE3"/>
    </row>
    <row r="4" spans="1:41" x14ac:dyDescent="0.25">
      <c r="B4" s="25" t="str">
        <f>+H14</f>
        <v>CABAL 22/3</v>
      </c>
      <c r="C4" s="14"/>
      <c r="D4" s="14"/>
      <c r="E4" s="14"/>
      <c r="F4" s="14"/>
      <c r="G4" s="32"/>
      <c r="H4" s="33"/>
      <c r="J4" s="2"/>
      <c r="K4" s="3"/>
      <c r="M4"/>
      <c r="S4"/>
      <c r="Y4"/>
      <c r="AE4"/>
    </row>
    <row r="5" spans="1:41" x14ac:dyDescent="0.25">
      <c r="B5" s="25" t="str">
        <f>+N14</f>
        <v>BBVA VISA</v>
      </c>
      <c r="C5" s="14"/>
      <c r="D5" s="14"/>
      <c r="E5" s="14"/>
      <c r="F5" s="14"/>
      <c r="G5" s="32"/>
      <c r="H5" s="33"/>
      <c r="M5"/>
      <c r="S5"/>
      <c r="Y5"/>
      <c r="AE5"/>
    </row>
    <row r="6" spans="1:41" x14ac:dyDescent="0.25">
      <c r="B6" s="25" t="str">
        <f>+T14</f>
        <v>GALICIA EXTRACTO (31/03)</v>
      </c>
      <c r="C6" s="14">
        <v>91225.93</v>
      </c>
      <c r="D6" s="14">
        <v>19127.010000000002</v>
      </c>
      <c r="E6" s="14">
        <v>15.217650000000001</v>
      </c>
      <c r="F6" s="14">
        <v>5464.88</v>
      </c>
      <c r="G6" s="32"/>
      <c r="H6" s="34">
        <v>2732.44</v>
      </c>
      <c r="M6"/>
      <c r="S6"/>
      <c r="Y6"/>
      <c r="AE6"/>
    </row>
    <row r="7" spans="1:41" x14ac:dyDescent="0.25">
      <c r="B7" s="25" t="str">
        <f>+Z14</f>
        <v>SANTANDER - GETNET</v>
      </c>
      <c r="C7" s="31">
        <v>676904.55000000016</v>
      </c>
      <c r="D7" s="14">
        <v>86647.760499999989</v>
      </c>
      <c r="E7" s="14">
        <v>26568.743299999998</v>
      </c>
      <c r="F7" s="14">
        <v>1080831.8599999999</v>
      </c>
      <c r="G7" s="32"/>
      <c r="H7" s="33"/>
      <c r="M7"/>
      <c r="S7"/>
      <c r="Y7"/>
      <c r="AE7"/>
    </row>
    <row r="8" spans="1:41" x14ac:dyDescent="0.25">
      <c r="B8" s="25" t="s">
        <v>14</v>
      </c>
      <c r="C8" s="14">
        <v>145723.02000000002</v>
      </c>
      <c r="D8" s="14">
        <v>26067.3</v>
      </c>
      <c r="E8" s="14">
        <v>2267.2671</v>
      </c>
      <c r="F8" s="14">
        <v>7226.58</v>
      </c>
      <c r="G8"/>
      <c r="H8" s="35">
        <v>3921.49</v>
      </c>
      <c r="I8" s="36"/>
      <c r="M8"/>
      <c r="S8"/>
      <c r="Y8"/>
      <c r="AE8"/>
    </row>
    <row r="9" spans="1:41" x14ac:dyDescent="0.25">
      <c r="B9" s="28" t="s">
        <v>17</v>
      </c>
      <c r="C9" s="14">
        <v>335583.22</v>
      </c>
      <c r="D9" s="14">
        <f>C9*0.21</f>
        <v>70472.47619999999</v>
      </c>
      <c r="E9" s="14"/>
      <c r="F9" s="14">
        <v>308144.71000000002</v>
      </c>
      <c r="G9" s="32"/>
      <c r="H9" s="33"/>
      <c r="M9"/>
      <c r="S9"/>
      <c r="Y9"/>
      <c r="AE9"/>
    </row>
    <row r="10" spans="1:41" x14ac:dyDescent="0.25">
      <c r="B10" s="28" t="s">
        <v>15</v>
      </c>
      <c r="C10" s="14">
        <v>5619.83</v>
      </c>
      <c r="D10" s="14">
        <v>1180.1642999999999</v>
      </c>
      <c r="E10" s="14"/>
      <c r="F10" s="14">
        <v>13528.37</v>
      </c>
      <c r="G10" s="32"/>
      <c r="H10" s="33">
        <v>168.59</v>
      </c>
      <c r="J10" s="3">
        <f>E7*100/10.5</f>
        <v>253035.65047619044</v>
      </c>
      <c r="M10"/>
      <c r="S10"/>
      <c r="Y10"/>
      <c r="AE10"/>
    </row>
    <row r="11" spans="1:41" x14ac:dyDescent="0.25">
      <c r="B11" s="28" t="s">
        <v>13</v>
      </c>
      <c r="C11" s="14"/>
      <c r="D11" s="14"/>
      <c r="E11" s="14"/>
      <c r="F11" s="14"/>
      <c r="G11" s="32"/>
      <c r="H11" s="33"/>
      <c r="M11"/>
      <c r="S11"/>
      <c r="Y11"/>
      <c r="AE11"/>
    </row>
    <row r="12" spans="1:41" x14ac:dyDescent="0.25">
      <c r="A12" s="26"/>
      <c r="B12" s="26"/>
      <c r="C12" s="27">
        <f>SUM(C3:C11)</f>
        <v>1255113.9200000002</v>
      </c>
      <c r="D12" s="27">
        <f t="shared" ref="D12:F12" si="0">SUM(D3:D11)</f>
        <v>203494.71099999995</v>
      </c>
      <c r="E12" s="27">
        <f t="shared" si="0"/>
        <v>28857.251899999999</v>
      </c>
      <c r="F12" s="27">
        <f t="shared" si="0"/>
        <v>1415196.4</v>
      </c>
      <c r="G12" s="56">
        <f>SUM(G3:H11)</f>
        <v>6822.52</v>
      </c>
      <c r="H12" s="56"/>
      <c r="M12"/>
      <c r="S12"/>
      <c r="Y12"/>
      <c r="AE12"/>
    </row>
    <row r="13" spans="1:41" x14ac:dyDescent="0.25">
      <c r="A13" s="26"/>
      <c r="B13" s="26"/>
      <c r="G13"/>
      <c r="J13" t="s">
        <v>7</v>
      </c>
      <c r="M13"/>
      <c r="S13"/>
      <c r="V13" t="s">
        <v>7</v>
      </c>
      <c r="Y13"/>
      <c r="AE13"/>
    </row>
    <row r="14" spans="1:41" ht="16.5" customHeight="1" x14ac:dyDescent="0.3">
      <c r="B14" s="52" t="s">
        <v>10</v>
      </c>
      <c r="C14" s="52"/>
      <c r="D14" s="52"/>
      <c r="E14" s="52"/>
      <c r="F14" s="52"/>
      <c r="H14" s="52" t="s">
        <v>8</v>
      </c>
      <c r="I14" s="52"/>
      <c r="J14" s="52"/>
      <c r="K14" s="52"/>
      <c r="L14" s="52"/>
      <c r="N14" s="52" t="s">
        <v>11</v>
      </c>
      <c r="O14" s="52"/>
      <c r="P14" s="52"/>
      <c r="Q14" s="52"/>
      <c r="R14" s="52"/>
      <c r="T14" s="52" t="s">
        <v>6</v>
      </c>
      <c r="U14" s="52"/>
      <c r="V14" s="52"/>
      <c r="W14" s="52"/>
      <c r="X14" s="52"/>
      <c r="Z14" s="52" t="s">
        <v>16</v>
      </c>
      <c r="AA14" s="52"/>
      <c r="AB14" s="52"/>
      <c r="AC14" s="52"/>
      <c r="AD14" s="52"/>
      <c r="AF14" s="52" t="s">
        <v>17</v>
      </c>
      <c r="AG14" s="52"/>
      <c r="AH14" s="52"/>
      <c r="AI14" s="52"/>
      <c r="AJ14" s="52"/>
      <c r="AK14" s="52" t="s">
        <v>13</v>
      </c>
      <c r="AL14" s="52"/>
      <c r="AM14" s="52"/>
      <c r="AN14" s="52"/>
      <c r="AO14" s="52"/>
    </row>
    <row r="15" spans="1:41" s="5" customFormat="1" x14ac:dyDescent="0.25">
      <c r="B15" s="10" t="s">
        <v>2</v>
      </c>
      <c r="C15" s="9" t="s">
        <v>0</v>
      </c>
      <c r="D15" s="9" t="s">
        <v>1</v>
      </c>
      <c r="E15" s="9" t="s">
        <v>3</v>
      </c>
      <c r="F15" s="9" t="s">
        <v>4</v>
      </c>
      <c r="G15" s="7"/>
      <c r="H15" s="12" t="s">
        <v>2</v>
      </c>
      <c r="I15" s="13" t="s">
        <v>0</v>
      </c>
      <c r="J15" s="13" t="s">
        <v>1</v>
      </c>
      <c r="K15" s="13" t="s">
        <v>3</v>
      </c>
      <c r="L15" s="13" t="s">
        <v>4</v>
      </c>
      <c r="M15" s="7"/>
      <c r="N15" s="12" t="s">
        <v>2</v>
      </c>
      <c r="O15" s="13" t="s">
        <v>0</v>
      </c>
      <c r="P15" s="13" t="s">
        <v>1</v>
      </c>
      <c r="Q15" s="13" t="s">
        <v>3</v>
      </c>
      <c r="R15" s="13" t="s">
        <v>4</v>
      </c>
      <c r="S15" s="7"/>
      <c r="T15" s="12" t="s">
        <v>2</v>
      </c>
      <c r="U15" s="13" t="s">
        <v>0</v>
      </c>
      <c r="V15" s="13" t="s">
        <v>1</v>
      </c>
      <c r="W15" s="13" t="s">
        <v>3</v>
      </c>
      <c r="X15" s="13" t="s">
        <v>4</v>
      </c>
      <c r="Y15" s="7"/>
      <c r="Z15" s="12" t="s">
        <v>2</v>
      </c>
      <c r="AA15" s="13" t="s">
        <v>0</v>
      </c>
      <c r="AB15" s="13" t="s">
        <v>1</v>
      </c>
      <c r="AC15" s="13" t="s">
        <v>3</v>
      </c>
      <c r="AD15" s="13" t="s">
        <v>4</v>
      </c>
      <c r="AE15" s="7"/>
      <c r="AF15" s="12" t="s">
        <v>2</v>
      </c>
      <c r="AG15" s="13" t="s">
        <v>0</v>
      </c>
      <c r="AH15" s="13" t="s">
        <v>1</v>
      </c>
      <c r="AI15" s="13" t="s">
        <v>3</v>
      </c>
      <c r="AJ15" s="13" t="s">
        <v>4</v>
      </c>
      <c r="AK15" s="12" t="s">
        <v>2</v>
      </c>
      <c r="AL15" s="13" t="s">
        <v>0</v>
      </c>
      <c r="AM15" s="13" t="s">
        <v>1</v>
      </c>
      <c r="AN15" s="13" t="s">
        <v>3</v>
      </c>
      <c r="AO15" s="13" t="s">
        <v>4</v>
      </c>
    </row>
    <row r="16" spans="1:41" x14ac:dyDescent="0.25">
      <c r="B16" s="2">
        <v>57.37</v>
      </c>
      <c r="C16" s="2"/>
      <c r="D16" s="3">
        <f>Tabla131624322122233526272822[[#This Row],[COMISIONES]]*0.105</f>
        <v>6.0238499999999995</v>
      </c>
      <c r="E16" s="3"/>
      <c r="F16" s="1"/>
      <c r="G16" s="8"/>
      <c r="H16" s="3"/>
      <c r="I16" s="11">
        <f>Tabla391725353132334536373833[[#This Row],[COMISIONES]]*0.21</f>
        <v>0</v>
      </c>
      <c r="J16" s="11"/>
      <c r="K16" s="11"/>
      <c r="L16" s="3"/>
      <c r="M16" s="8"/>
      <c r="N16" s="3">
        <v>5619.83</v>
      </c>
      <c r="O16" s="11">
        <f>Tabla35101826364142444546474844[[#This Row],[COMISIONES]]*0.21</f>
        <v>1180.1642999999999</v>
      </c>
      <c r="P16" s="11"/>
      <c r="Q16" s="1">
        <v>10445.200000000001</v>
      </c>
      <c r="R16">
        <v>168.59</v>
      </c>
      <c r="S16" s="8"/>
      <c r="T16" s="11">
        <v>38000</v>
      </c>
      <c r="U16" s="11">
        <f>Tabla356111927375152545556575855[[#This Row],[COMISIONES]]*0.21</f>
        <v>7980</v>
      </c>
      <c r="V16" s="11"/>
      <c r="W16" s="11">
        <v>2280</v>
      </c>
      <c r="X16" s="11">
        <v>1140</v>
      </c>
      <c r="Y16" s="8"/>
      <c r="Z16" s="3">
        <v>460.8</v>
      </c>
      <c r="AA16" s="11">
        <f>Tabla3568132129397172747576777877[[#This Row],[COMISIONES]]*0.21</f>
        <v>96.768000000000001</v>
      </c>
      <c r="AB16" s="3"/>
      <c r="AC16" s="1">
        <v>28.52</v>
      </c>
      <c r="AE16" s="8"/>
      <c r="AF16" s="3"/>
      <c r="AG16" s="11">
        <f>Tabla356813142230408182848586878888[[#This Row],[COMISIONES]]*0.21</f>
        <v>0</v>
      </c>
      <c r="AH16" s="11"/>
      <c r="AI16" s="1"/>
      <c r="AJ16" s="11"/>
      <c r="AK16" s="11"/>
      <c r="AL16" s="11">
        <f>Tabla3561119273443112131516171819111[[#This Row],[COMISIONES]]*0.21</f>
        <v>0</v>
      </c>
      <c r="AM16" s="11"/>
      <c r="AN16" s="11"/>
      <c r="AO16" s="11"/>
    </row>
    <row r="17" spans="2:41" x14ac:dyDescent="0.25">
      <c r="B17" s="3"/>
      <c r="C17" s="2">
        <f>Tabla131624322122233526272822[[#This Row],[COMISIONES]]*0.21</f>
        <v>0</v>
      </c>
      <c r="D17" s="3">
        <f>Tabla131624322122233526272822[[#This Row],[COMISIONES]]*0.105</f>
        <v>0</v>
      </c>
      <c r="E17" s="3"/>
      <c r="F17" s="3"/>
      <c r="G17" s="8"/>
      <c r="H17" s="11"/>
      <c r="I17" s="11">
        <f>Tabla391725353132334536373833[[#This Row],[COMISIONES]]*0.21</f>
        <v>0</v>
      </c>
      <c r="J17" s="11"/>
      <c r="K17" s="11"/>
      <c r="L17" s="11"/>
      <c r="M17" s="8"/>
      <c r="N17" s="11"/>
      <c r="O17" s="11"/>
      <c r="P17" s="11">
        <f>Tabla35101826364142444546474844[[#This Row],[COMISIONES]]*0.105</f>
        <v>0</v>
      </c>
      <c r="Q17" s="1">
        <v>3083.17</v>
      </c>
      <c r="S17" s="8"/>
      <c r="T17" s="11">
        <v>144.93</v>
      </c>
      <c r="U17" s="11"/>
      <c r="V17" s="11">
        <f>Tabla356111927375152545556575855[[#This Row],[COMISIONES]]*0.105</f>
        <v>15.217650000000001</v>
      </c>
      <c r="W17" s="11"/>
      <c r="X17" s="11">
        <v>1592.44</v>
      </c>
      <c r="Y17" s="8"/>
      <c r="Z17" s="3">
        <v>849.92</v>
      </c>
      <c r="AA17" s="11">
        <f>Tabla3568132129397172747576777877[[#This Row],[COMISIONES]]*0.21</f>
        <v>178.48319999999998</v>
      </c>
      <c r="AB17" s="3"/>
      <c r="AC17" s="1">
        <v>2566.91</v>
      </c>
      <c r="AE17" s="8"/>
      <c r="AF17" s="11"/>
      <c r="AG17" s="11">
        <f>Tabla356813142230408182848586878888[[#This Row],[COMISIONES]]*0.21</f>
        <v>0</v>
      </c>
      <c r="AH17" s="11"/>
      <c r="AI17" s="11"/>
      <c r="AJ17" s="11"/>
      <c r="AK17" s="11"/>
      <c r="AL17" s="11">
        <f>Tabla3561119273443112131516171819111[[#This Row],[COMISIONES]]*0.21</f>
        <v>0</v>
      </c>
      <c r="AM17" s="11"/>
      <c r="AN17" s="11"/>
      <c r="AO17" s="11"/>
    </row>
    <row r="18" spans="2:41" x14ac:dyDescent="0.25">
      <c r="B18" s="3"/>
      <c r="C18" s="2">
        <f>Tabla131624322122233526272822[[#This Row],[COMISIONES]]*0.21</f>
        <v>0</v>
      </c>
      <c r="D18" s="3">
        <f>Tabla131624322122233526272822[[#This Row],[COMISIONES]]*0.105</f>
        <v>0</v>
      </c>
      <c r="E18" s="3"/>
      <c r="F18" s="3"/>
      <c r="H18" s="11"/>
      <c r="I18" s="11">
        <f>Tabla391725353132334536373833[[#This Row],[COMISIONES]]*0.21</f>
        <v>0</v>
      </c>
      <c r="J18" s="11"/>
      <c r="K18" s="11"/>
      <c r="L18" s="11"/>
      <c r="N18" s="1"/>
      <c r="O18" s="11">
        <f>Tabla35101826364142444546474844[[#This Row],[COMISIONES]]*0.21</f>
        <v>0</v>
      </c>
      <c r="P18" s="11"/>
      <c r="Q18" s="11"/>
      <c r="R18" s="23"/>
      <c r="T18" s="11">
        <v>53081</v>
      </c>
      <c r="U18" s="11">
        <f>Tabla356111927375152545556575855[[#This Row],[COMISIONES]]*0.21</f>
        <v>11147.01</v>
      </c>
      <c r="V18" s="11"/>
      <c r="W18" s="11">
        <v>3184.88</v>
      </c>
      <c r="X18" s="11"/>
      <c r="Z18" s="3">
        <v>6132.8</v>
      </c>
      <c r="AA18" s="11">
        <f>Tabla3568132129397172747576777877[[#This Row],[COMISIONES]]*0.21</f>
        <v>1287.8879999999999</v>
      </c>
      <c r="AB18" s="3"/>
      <c r="AC18">
        <v>52.61</v>
      </c>
      <c r="AF18" s="11"/>
      <c r="AG18" s="11">
        <f>Tabla356813142230408182848586878888[[#This Row],[COMISIONES]]*0.21</f>
        <v>0</v>
      </c>
      <c r="AH18" s="11"/>
      <c r="AI18" s="11"/>
      <c r="AJ18" s="11"/>
      <c r="AK18" s="11"/>
      <c r="AL18" s="11">
        <f>Tabla3561119273443112131516171819111[[#This Row],[COMISIONES]]*0.21</f>
        <v>0</v>
      </c>
      <c r="AM18" s="11"/>
      <c r="AN18" s="11"/>
      <c r="AO18" s="11"/>
    </row>
    <row r="19" spans="2:41" x14ac:dyDescent="0.25">
      <c r="B19" s="3"/>
      <c r="C19" s="2">
        <f>Tabla131624322122233526272822[[#This Row],[COMISIONES]]*0.21</f>
        <v>0</v>
      </c>
      <c r="D19" s="3">
        <f>Tabla131624322122233526272822[[#This Row],[COMISIONES]]*0.105</f>
        <v>0</v>
      </c>
      <c r="E19" s="3"/>
      <c r="F19" s="3"/>
      <c r="G19" s="8"/>
      <c r="H19" s="11"/>
      <c r="I19" s="11">
        <f>Tabla391725353132334536373833[[#This Row],[COMISIONES]]*0.21</f>
        <v>0</v>
      </c>
      <c r="J19" s="11"/>
      <c r="K19" s="11"/>
      <c r="L19" s="11"/>
      <c r="M19" s="8"/>
      <c r="N19" s="1"/>
      <c r="O19" s="11">
        <f>Tabla35101826364142444546474844[[#This Row],[COMISIONES]]*0.21</f>
        <v>0</v>
      </c>
      <c r="P19" s="11"/>
      <c r="Q19" s="11"/>
      <c r="R19" s="23"/>
      <c r="S19" s="8"/>
      <c r="T19" s="11"/>
      <c r="U19" s="11">
        <f>Tabla356111927375152545556575855[[#This Row],[COMISIONES]]*0.21</f>
        <v>0</v>
      </c>
      <c r="V19" s="11"/>
      <c r="W19" s="11"/>
      <c r="X19" s="11"/>
      <c r="Y19" s="8"/>
      <c r="Z19" s="3">
        <v>8107.52</v>
      </c>
      <c r="AA19" s="11">
        <f>Tabla3568132129397172747576777877[[#This Row],[COMISIONES]]*0.21</f>
        <v>1702.5792000000001</v>
      </c>
      <c r="AB19" s="3"/>
      <c r="AC19" s="1">
        <v>4734.5200000000004</v>
      </c>
      <c r="AE19" s="8"/>
      <c r="AF19" s="11"/>
      <c r="AG19" s="11">
        <f>Tabla356813142230408182848586878888[[#This Row],[COMISIONES]]*0.21</f>
        <v>0</v>
      </c>
      <c r="AH19" s="11"/>
      <c r="AI19" s="11"/>
      <c r="AJ19" s="11"/>
      <c r="AK19" s="11"/>
      <c r="AL19" s="11">
        <f>Tabla3561119273443112131516171819111[[#This Row],[COMISIONES]]*0.21</f>
        <v>0</v>
      </c>
      <c r="AM19" s="11"/>
      <c r="AN19" s="11"/>
      <c r="AO19" s="11"/>
    </row>
    <row r="20" spans="2:41" x14ac:dyDescent="0.25">
      <c r="B20" s="3"/>
      <c r="C20" s="2">
        <f>Tabla131624322122233526272822[[#This Row],[COMISIONES]]*0.21</f>
        <v>0</v>
      </c>
      <c r="D20" s="3">
        <f>Tabla131624322122233526272822[[#This Row],[COMISIONES]]*0.105</f>
        <v>0</v>
      </c>
      <c r="E20" s="3"/>
      <c r="F20" s="3"/>
      <c r="H20" s="11"/>
      <c r="I20" s="11">
        <f>Tabla391725353132334536373833[[#This Row],[COMISIONES]]*0.21</f>
        <v>0</v>
      </c>
      <c r="J20" s="11"/>
      <c r="K20" s="11"/>
      <c r="L20" s="11"/>
      <c r="N20" s="1"/>
      <c r="O20" s="11">
        <f>Tabla35101826364142444546474844[[#This Row],[COMISIONES]]*0.21</f>
        <v>0</v>
      </c>
      <c r="P20" s="11"/>
      <c r="Q20" s="11"/>
      <c r="R20" s="23"/>
      <c r="T20" s="11"/>
      <c r="U20" s="11">
        <f>Tabla356111927375152545556575855[[#This Row],[COMISIONES]]*0.21</f>
        <v>0</v>
      </c>
      <c r="V20" s="11"/>
      <c r="W20" s="11"/>
      <c r="X20" s="11"/>
      <c r="Z20" s="3">
        <v>1172.4000000000001</v>
      </c>
      <c r="AA20" s="11">
        <f>Tabla3568132129397172747576777877[[#This Row],[COMISIONES]]*0.21</f>
        <v>246.20400000000001</v>
      </c>
      <c r="AB20" s="11"/>
      <c r="AC20" s="1">
        <v>27263.67</v>
      </c>
      <c r="AF20" s="11"/>
      <c r="AG20" s="11">
        <f>Tabla356813142230408182848586878888[[#This Row],[COMISIONES]]*0.21</f>
        <v>0</v>
      </c>
      <c r="AH20" s="11"/>
      <c r="AI20" s="11"/>
      <c r="AJ20" s="11"/>
      <c r="AK20" s="11"/>
      <c r="AL20" s="11">
        <f>Tabla3561119273443112131516171819111[[#This Row],[COMISIONES]]*0.21</f>
        <v>0</v>
      </c>
      <c r="AM20" s="11"/>
      <c r="AN20" s="11"/>
      <c r="AO20" s="11"/>
    </row>
    <row r="21" spans="2:41" x14ac:dyDescent="0.25">
      <c r="B21" s="3"/>
      <c r="C21" s="2">
        <f>Tabla131624322122233526272822[[#This Row],[COMISIONES]]*0.21</f>
        <v>0</v>
      </c>
      <c r="D21" s="3">
        <f>Tabla131624322122233526272822[[#This Row],[COMISIONES]]*0.105</f>
        <v>0</v>
      </c>
      <c r="E21" s="3"/>
      <c r="F21" s="3"/>
      <c r="H21" s="11"/>
      <c r="I21" s="11">
        <f>Tabla391725353132334536373833[[#This Row],[COMISIONES]]*0.21</f>
        <v>0</v>
      </c>
      <c r="J21" s="11"/>
      <c r="K21" s="11"/>
      <c r="L21" s="11"/>
      <c r="N21" s="11"/>
      <c r="O21" s="11">
        <f>Tabla35101826364142444546474844[[#This Row],[COMISIONES]]*0.21</f>
        <v>0</v>
      </c>
      <c r="P21" s="11"/>
      <c r="Q21" s="11"/>
      <c r="R21" s="11"/>
      <c r="T21" s="11"/>
      <c r="U21" s="11">
        <f>Tabla356111927375152545556575855[[#This Row],[COMISIONES]]*0.21</f>
        <v>0</v>
      </c>
      <c r="V21" s="11"/>
      <c r="W21" s="11"/>
      <c r="X21" s="11"/>
      <c r="Z21" s="3">
        <v>4149.6000000000004</v>
      </c>
      <c r="AA21" s="11">
        <f>Tabla3568132129397172747576777877[[#This Row],[COMISIONES]]*0.21</f>
        <v>871.41600000000005</v>
      </c>
      <c r="AB21" s="11"/>
      <c r="AC21" s="1">
        <v>302.93</v>
      </c>
      <c r="AF21" s="11"/>
      <c r="AG21" s="11">
        <f>Tabla356813142230408182848586878888[[#This Row],[COMISIONES]]*0.21</f>
        <v>0</v>
      </c>
      <c r="AH21" s="11"/>
      <c r="AI21" s="11"/>
      <c r="AJ21" s="11"/>
      <c r="AK21" s="11"/>
      <c r="AL21" s="11">
        <f>Tabla3561119273443112131516171819111[[#This Row],[COMISIONES]]*0.21</f>
        <v>0</v>
      </c>
      <c r="AM21" s="11"/>
      <c r="AN21" s="11"/>
      <c r="AO21" s="11"/>
    </row>
    <row r="22" spans="2:41" x14ac:dyDescent="0.25">
      <c r="B22" s="3"/>
      <c r="C22" s="2">
        <f>Tabla131624322122233526272822[[#This Row],[COMISIONES]]*0.21</f>
        <v>0</v>
      </c>
      <c r="D22" s="3">
        <f>Tabla131624322122233526272822[[#This Row],[COMISIONES]]*0.105</f>
        <v>0</v>
      </c>
      <c r="E22" s="3"/>
      <c r="F22" s="3"/>
      <c r="H22" s="11"/>
      <c r="I22" s="11">
        <f>Tabla391725353132334536373833[[#This Row],[COMISIONES]]*0.21</f>
        <v>0</v>
      </c>
      <c r="J22" s="11"/>
      <c r="K22" s="11"/>
      <c r="L22" s="11"/>
      <c r="N22" s="11"/>
      <c r="O22" s="11">
        <f>Tabla35101826364142444546474844[[#This Row],[COMISIONES]]*0.21</f>
        <v>0</v>
      </c>
      <c r="P22" s="11"/>
      <c r="Q22" s="11"/>
      <c r="R22" s="11"/>
      <c r="T22" s="11"/>
      <c r="U22" s="11">
        <f>Tabla356111927375152545556575855[[#This Row],[COMISIONES]]*0.21</f>
        <v>0</v>
      </c>
      <c r="V22" s="11"/>
      <c r="W22" s="11"/>
      <c r="X22" s="11"/>
      <c r="Z22" s="3">
        <v>21833.68</v>
      </c>
      <c r="AA22" s="11">
        <f>Tabla3568132129397172747576777877[[#This Row],[COMISIONES]]*0.21</f>
        <v>4585.0727999999999</v>
      </c>
      <c r="AB22" s="29"/>
      <c r="AC22" s="1">
        <v>16131.37</v>
      </c>
      <c r="AD22" s="11"/>
      <c r="AF22" s="11"/>
      <c r="AG22" s="11">
        <f>Tabla356813142230408182848586878888[[#This Row],[COMISIONES]]*0.21</f>
        <v>0</v>
      </c>
      <c r="AH22" s="11"/>
      <c r="AI22" s="11"/>
      <c r="AJ22" s="11"/>
      <c r="AK22" s="11"/>
      <c r="AL22" s="11">
        <f>Tabla3561119273443112131516171819111[[#This Row],[COMISIONES]]*0.21</f>
        <v>0</v>
      </c>
      <c r="AM22" s="11"/>
      <c r="AN22" s="11"/>
      <c r="AO22" s="11"/>
    </row>
    <row r="23" spans="2:41" x14ac:dyDescent="0.25">
      <c r="B23" s="3"/>
      <c r="C23" s="2">
        <f>Tabla131624322122233526272822[[#This Row],[COMISIONES]]*0.21</f>
        <v>0</v>
      </c>
      <c r="D23" s="3">
        <f>Tabla131624322122233526272822[[#This Row],[COMISIONES]]*0.105</f>
        <v>0</v>
      </c>
      <c r="E23" s="3"/>
      <c r="F23" s="3"/>
      <c r="H23" s="11"/>
      <c r="I23" s="11">
        <f>Tabla391725353132334536373833[[#This Row],[COMISIONES]]*0.21</f>
        <v>0</v>
      </c>
      <c r="J23" s="11"/>
      <c r="K23" s="11"/>
      <c r="L23" s="11"/>
      <c r="N23" s="11"/>
      <c r="O23" s="11">
        <f>Tabla35101826364142444546474844[[#This Row],[COMISIONES]]*0.21</f>
        <v>0</v>
      </c>
      <c r="P23" s="11"/>
      <c r="Q23" s="11"/>
      <c r="R23" s="11"/>
      <c r="T23" s="11"/>
      <c r="U23" s="11">
        <f>Tabla356111927375152545556575855[[#This Row],[COMISIONES]]*0.21</f>
        <v>0</v>
      </c>
      <c r="V23" s="11"/>
      <c r="W23" s="11"/>
      <c r="X23" s="11"/>
      <c r="Z23" s="3">
        <v>62075.95</v>
      </c>
      <c r="AA23" s="11"/>
      <c r="AB23" s="3">
        <f>Tabla3568132129397172747576777877[[#This Row],[COMISIONES]]*0.105</f>
        <v>6517.9747499999994</v>
      </c>
      <c r="AC23" s="1">
        <v>179.24</v>
      </c>
      <c r="AD23" s="11"/>
      <c r="AF23" s="11"/>
      <c r="AG23" s="11">
        <f>Tabla356813142230408182848586878888[[#This Row],[COMISIONES]]*0.21</f>
        <v>0</v>
      </c>
      <c r="AH23" s="11"/>
      <c r="AI23" s="11"/>
      <c r="AJ23" s="11"/>
      <c r="AK23" s="11"/>
      <c r="AL23" s="11">
        <f>Tabla3561119273443112131516171819111[[#This Row],[COMISIONES]]*0.21</f>
        <v>0</v>
      </c>
      <c r="AM23" s="11"/>
      <c r="AN23" s="11"/>
      <c r="AO23" s="11"/>
    </row>
    <row r="24" spans="2:41" x14ac:dyDescent="0.25">
      <c r="B24" s="3"/>
      <c r="C24" s="2">
        <f>Tabla131624322122233526272822[[#This Row],[COMISIONES]]*0.21</f>
        <v>0</v>
      </c>
      <c r="D24" s="3">
        <f>Tabla131624322122233526272822[[#This Row],[COMISIONES]]*0.105</f>
        <v>0</v>
      </c>
      <c r="E24" s="3"/>
      <c r="F24" s="3"/>
      <c r="H24" s="11"/>
      <c r="I24" s="11">
        <f>Tabla391725353132334536373833[[#This Row],[COMISIONES]]*0.21</f>
        <v>0</v>
      </c>
      <c r="J24" s="11"/>
      <c r="K24" s="11"/>
      <c r="L24" s="11"/>
      <c r="N24" s="11"/>
      <c r="O24" s="11">
        <f>Tabla35101826364142444546474844[[#This Row],[COMISIONES]]*0.21</f>
        <v>0</v>
      </c>
      <c r="P24" s="11"/>
      <c r="Q24" s="11"/>
      <c r="R24" s="11"/>
      <c r="T24" s="11"/>
      <c r="U24" s="11">
        <f>Tabla356111927375152545556575855[[#This Row],[COMISIONES]]*0.21</f>
        <v>0</v>
      </c>
      <c r="V24" s="11"/>
      <c r="W24" s="11"/>
      <c r="X24" s="11"/>
      <c r="Z24" s="3">
        <v>511.68</v>
      </c>
      <c r="AA24" s="11">
        <f>Tabla3568132129397172747576777877[[#This Row],[COMISIONES]]*0.21</f>
        <v>107.4528</v>
      </c>
      <c r="AB24" s="11"/>
      <c r="AC24" s="1">
        <v>72.569999999999993</v>
      </c>
      <c r="AD24" s="11"/>
      <c r="AF24" s="11"/>
      <c r="AG24" s="11">
        <f>Tabla356813142230408182848586878888[[#This Row],[COMISIONES]]*0.21</f>
        <v>0</v>
      </c>
      <c r="AH24" s="11"/>
      <c r="AI24" s="11"/>
      <c r="AJ24" s="11"/>
      <c r="AK24" s="11"/>
      <c r="AL24" s="11">
        <f>Tabla3561119273443112131516171819111[[#This Row],[COMISIONES]]*0.21</f>
        <v>0</v>
      </c>
      <c r="AM24" s="11"/>
      <c r="AN24" s="11"/>
      <c r="AO24" s="11"/>
    </row>
    <row r="25" spans="2:41" x14ac:dyDescent="0.25">
      <c r="B25" s="3"/>
      <c r="C25" s="2">
        <f>Tabla131624322122233526272822[[#This Row],[COMISIONES]]*0.21</f>
        <v>0</v>
      </c>
      <c r="D25" s="3">
        <f>Tabla131624322122233526272822[[#This Row],[COMISIONES]]*0.105</f>
        <v>0</v>
      </c>
      <c r="E25" s="3"/>
      <c r="F25" s="3"/>
      <c r="H25" s="11"/>
      <c r="I25" s="11">
        <f>Tabla391725353132334536373833[[#This Row],[COMISIONES]]*0.21</f>
        <v>0</v>
      </c>
      <c r="J25" s="11"/>
      <c r="K25" s="11"/>
      <c r="L25" s="11"/>
      <c r="N25" s="11"/>
      <c r="O25" s="11">
        <f>Tabla35101826364142444546474844[[#This Row],[COMISIONES]]*0.21</f>
        <v>0</v>
      </c>
      <c r="P25" s="11"/>
      <c r="Q25" s="11"/>
      <c r="R25" s="11"/>
      <c r="T25" s="11"/>
      <c r="U25" s="11">
        <f>Tabla356111927375152545556575855[[#This Row],[COMISIONES]]*0.21</f>
        <v>0</v>
      </c>
      <c r="V25" s="11"/>
      <c r="W25" s="11"/>
      <c r="X25" s="11"/>
      <c r="Z25" s="3">
        <v>4212.5</v>
      </c>
      <c r="AA25" s="11">
        <f>Tabla3568132129397172747576777877[[#This Row],[COMISIONES]]*0.21</f>
        <v>884.625</v>
      </c>
      <c r="AB25" s="11"/>
      <c r="AC25" s="1">
        <v>6530.92</v>
      </c>
      <c r="AD25" s="11"/>
      <c r="AF25" s="11"/>
      <c r="AG25" s="11">
        <f>Tabla356813142230408182848586878888[[#This Row],[COMISIONES]]*0.21</f>
        <v>0</v>
      </c>
      <c r="AH25" s="11"/>
      <c r="AI25" s="11"/>
      <c r="AJ25" s="11"/>
      <c r="AK25" s="11"/>
      <c r="AL25" s="11">
        <f>Tabla3561119273443112131516171819111[[#This Row],[COMISIONES]]*0.21</f>
        <v>0</v>
      </c>
      <c r="AM25" s="11"/>
      <c r="AN25" s="11"/>
      <c r="AO25" s="11"/>
    </row>
    <row r="26" spans="2:41" x14ac:dyDescent="0.25">
      <c r="B26" s="3"/>
      <c r="C26" s="2">
        <f>Tabla131624322122233526272822[[#This Row],[COMISIONES]]*0.21</f>
        <v>0</v>
      </c>
      <c r="D26" s="3">
        <f>Tabla131624322122233526272822[[#This Row],[COMISIONES]]*0.105</f>
        <v>0</v>
      </c>
      <c r="E26" s="3"/>
      <c r="F26" s="3"/>
      <c r="H26" s="11"/>
      <c r="I26" s="11">
        <f>Tabla391725353132334536373833[[#This Row],[COMISIONES]]*0.21</f>
        <v>0</v>
      </c>
      <c r="J26" s="11"/>
      <c r="K26" s="11"/>
      <c r="L26" s="11"/>
      <c r="N26" s="11"/>
      <c r="O26" s="11">
        <f>Tabla35101826364142444546474844[[#This Row],[COMISIONES]]*0.21</f>
        <v>0</v>
      </c>
      <c r="P26" s="11"/>
      <c r="Q26" s="11"/>
      <c r="R26" s="11"/>
      <c r="T26" s="11"/>
      <c r="U26" s="11">
        <f>Tabla356111927375152545556575855[[#This Row],[COMISIONES]]*0.21</f>
        <v>0</v>
      </c>
      <c r="V26" s="11"/>
      <c r="W26" s="11"/>
      <c r="X26" s="11"/>
      <c r="Z26" s="3">
        <v>8034.6</v>
      </c>
      <c r="AA26" s="11">
        <f>Tabla3568132129397172747576777877[[#This Row],[COMISIONES]]*0.21</f>
        <v>1687.2660000000001</v>
      </c>
      <c r="AB26" s="11"/>
      <c r="AC26" s="1">
        <v>204.97</v>
      </c>
      <c r="AD26" s="11"/>
      <c r="AF26" s="4">
        <f>SUBTOTAL(109,Tabla356813142230408182848586878888[COMISIONES])</f>
        <v>0</v>
      </c>
      <c r="AG26" s="4">
        <f>SUBTOTAL(109,Tabla356813142230408182848586878888[IVA 21])</f>
        <v>0</v>
      </c>
      <c r="AH26" s="4">
        <f>SUBTOTAL(109,Tabla356813142230408182848586878888[IVA 10,5])</f>
        <v>0</v>
      </c>
      <c r="AI26" s="4">
        <f>SUBTOTAL(109,Tabla356813142230408182848586878888[Ret IIBB Caba])</f>
        <v>0</v>
      </c>
      <c r="AJ26" s="4">
        <f>SUBTOTAL(109,Tabla356813142230408182848586878888[PERC IVA])</f>
        <v>0</v>
      </c>
      <c r="AK26" s="11"/>
      <c r="AL26" s="11">
        <f>Tabla3561119273443112131516171819111[[#This Row],[COMISIONES]]*0.21</f>
        <v>0</v>
      </c>
      <c r="AM26" s="11"/>
      <c r="AN26" s="11"/>
      <c r="AO26" s="11"/>
    </row>
    <row r="27" spans="2:41" x14ac:dyDescent="0.25">
      <c r="B27" s="3"/>
      <c r="C27" s="2">
        <f>Tabla131624322122233526272822[[#This Row],[COMISIONES]]*0.21</f>
        <v>0</v>
      </c>
      <c r="D27" s="3">
        <f>Tabla131624322122233526272822[[#This Row],[COMISIONES]]*0.105</f>
        <v>0</v>
      </c>
      <c r="E27" s="3"/>
      <c r="F27" s="3"/>
      <c r="H27" s="11"/>
      <c r="I27" s="11">
        <f>Tabla391725353132334536373833[[#This Row],[COMISIONES]]*0.21</f>
        <v>0</v>
      </c>
      <c r="J27" s="11"/>
      <c r="K27" s="11"/>
      <c r="L27" s="11"/>
      <c r="N27" s="11"/>
      <c r="O27" s="11">
        <f>Tabla35101826364142444546474844[[#This Row],[COMISIONES]]*0.21</f>
        <v>0</v>
      </c>
      <c r="P27" s="11"/>
      <c r="Q27" s="11"/>
      <c r="R27" s="11"/>
      <c r="T27" s="11"/>
      <c r="U27" s="11">
        <f>Tabla356111927375152545556575855[[#This Row],[COMISIONES]]*0.21</f>
        <v>0</v>
      </c>
      <c r="V27" s="11"/>
      <c r="W27" s="11"/>
      <c r="X27" s="11"/>
      <c r="Z27" s="3">
        <v>6054.53</v>
      </c>
      <c r="AA27" s="11"/>
      <c r="AB27" s="11">
        <f>Tabla3568132129397172747576777877[[#This Row],[COMISIONES]]*0.105</f>
        <v>635.72564999999997</v>
      </c>
      <c r="AC27" s="1">
        <v>18447.25</v>
      </c>
      <c r="AK27" s="11"/>
      <c r="AL27" s="11">
        <f>Tabla3561119273443112131516171819111[[#This Row],[COMISIONES]]*0.21</f>
        <v>0</v>
      </c>
      <c r="AM27" s="11"/>
      <c r="AN27" s="11"/>
      <c r="AO27" s="11"/>
    </row>
    <row r="28" spans="2:41" x14ac:dyDescent="0.25">
      <c r="B28" s="3"/>
      <c r="C28" s="2">
        <f>Tabla131624322122233526272822[[#This Row],[COMISIONES]]*0.21</f>
        <v>0</v>
      </c>
      <c r="D28" s="3">
        <f>Tabla131624322122233526272822[[#This Row],[COMISIONES]]*0.105</f>
        <v>0</v>
      </c>
      <c r="E28" s="3"/>
      <c r="F28" s="3"/>
      <c r="H28" s="11"/>
      <c r="I28" s="11">
        <f>Tabla391725353132334536373833[[#This Row],[COMISIONES]]*0.21</f>
        <v>0</v>
      </c>
      <c r="J28" s="11"/>
      <c r="K28" s="11"/>
      <c r="L28" s="11"/>
      <c r="N28" s="11"/>
      <c r="O28" s="11">
        <f>Tabla35101826364142444546474844[[#This Row],[COMISIONES]]*0.21</f>
        <v>0</v>
      </c>
      <c r="P28" s="11"/>
      <c r="Q28" s="11"/>
      <c r="R28" s="11"/>
      <c r="T28" s="11"/>
      <c r="U28" s="11">
        <f>Tabla356111927375152545556575855[[#This Row],[COMISIONES]]*0.21</f>
        <v>0</v>
      </c>
      <c r="V28" s="11"/>
      <c r="W28" s="11"/>
      <c r="X28" s="11"/>
      <c r="Z28" s="3">
        <v>2994.48</v>
      </c>
      <c r="AA28" s="11">
        <f>Tabla3568132129397172747576777877[[#This Row],[COMISIONES]]*0.21</f>
        <v>628.84079999999994</v>
      </c>
      <c r="AB28" s="1"/>
      <c r="AC28" s="1">
        <v>495.1</v>
      </c>
      <c r="AD28" s="11"/>
      <c r="AK28" s="11"/>
      <c r="AL28" s="11">
        <f>Tabla3561119273443112131516171819111[[#This Row],[COMISIONES]]*0.21</f>
        <v>0</v>
      </c>
      <c r="AM28" s="11"/>
      <c r="AN28" s="11"/>
      <c r="AO28" s="11"/>
    </row>
    <row r="29" spans="2:41" x14ac:dyDescent="0.25">
      <c r="B29" s="3"/>
      <c r="C29" s="2">
        <f>Tabla131624322122233526272822[[#This Row],[COMISIONES]]*0.21</f>
        <v>0</v>
      </c>
      <c r="D29" s="3">
        <f>Tabla131624322122233526272822[[#This Row],[COMISIONES]]*0.105</f>
        <v>0</v>
      </c>
      <c r="E29" s="3"/>
      <c r="F29" s="3"/>
      <c r="H29" s="11"/>
      <c r="I29" s="11">
        <f>Tabla391725353132334536373833[[#This Row],[COMISIONES]]*0.21</f>
        <v>0</v>
      </c>
      <c r="J29" s="11"/>
      <c r="K29" s="11"/>
      <c r="L29" s="11"/>
      <c r="N29" s="11"/>
      <c r="O29" s="11">
        <f>Tabla35101826364142444546474844[[#This Row],[COMISIONES]]*0.21</f>
        <v>0</v>
      </c>
      <c r="P29" s="11"/>
      <c r="Q29" s="11"/>
      <c r="R29" s="11"/>
      <c r="T29" s="18"/>
      <c r="U29" s="18">
        <f>Tabla356111927375152545556575855[[#This Row],[COMISIONES]]*0.21</f>
        <v>0</v>
      </c>
      <c r="V29" s="18"/>
      <c r="W29" s="18"/>
      <c r="X29" s="18"/>
      <c r="Z29" s="3">
        <v>2250.6999999999998</v>
      </c>
      <c r="AA29" s="11">
        <f>Tabla3568132129397172747576777877[[#This Row],[COMISIONES]]*0.21</f>
        <v>472.64699999999993</v>
      </c>
      <c r="AB29" s="1"/>
      <c r="AC29">
        <v>44558.93</v>
      </c>
      <c r="AD29" s="11"/>
      <c r="AK29" s="18"/>
      <c r="AL29" s="18">
        <f>Tabla3561119273443112131516171819111[[#This Row],[COMISIONES]]*0.21</f>
        <v>0</v>
      </c>
      <c r="AM29" s="18"/>
      <c r="AN29" s="18"/>
      <c r="AO29" s="18"/>
    </row>
    <row r="30" spans="2:41" x14ac:dyDescent="0.25">
      <c r="B30" s="3"/>
      <c r="C30" s="2">
        <f>Tabla131624322122233526272822[[#This Row],[COMISIONES]]*0.21</f>
        <v>0</v>
      </c>
      <c r="D30" s="3">
        <f>Tabla131624322122233526272822[[#This Row],[COMISIONES]]*0.105</f>
        <v>0</v>
      </c>
      <c r="E30" s="3"/>
      <c r="F30" s="3"/>
      <c r="H30" s="11"/>
      <c r="I30" s="11">
        <f>Tabla391725353132334536373833[[#This Row],[COMISIONES]]*0.21</f>
        <v>0</v>
      </c>
      <c r="J30" s="11"/>
      <c r="K30" s="11"/>
      <c r="L30" s="11"/>
      <c r="N30" s="11"/>
      <c r="O30" s="11">
        <f>Tabla35101826364142444546474844[[#This Row],[COMISIONES]]*0.21</f>
        <v>0</v>
      </c>
      <c r="P30" s="11"/>
      <c r="Q30" s="11"/>
      <c r="R30" s="11"/>
      <c r="T30" s="18"/>
      <c r="U30" s="18">
        <f>Tabla356111927375152545556575855[[#This Row],[COMISIONES]]*0.21</f>
        <v>0</v>
      </c>
      <c r="V30" s="18"/>
      <c r="W30" s="18"/>
      <c r="X30" s="18"/>
      <c r="Z30" s="3">
        <v>19121.759999999998</v>
      </c>
      <c r="AA30" s="11">
        <f>Tabla3568132129397172747576777877[[#This Row],[COMISIONES]]*0.21</f>
        <v>4015.5695999999994</v>
      </c>
      <c r="AB30" s="11"/>
      <c r="AC30" s="11">
        <v>31.67</v>
      </c>
      <c r="AD30" s="11"/>
      <c r="AK30" s="18"/>
      <c r="AL30" s="18">
        <f>Tabla3561119273443112131516171819111[[#This Row],[COMISIONES]]*0.21</f>
        <v>0</v>
      </c>
      <c r="AM30" s="18"/>
      <c r="AN30" s="18"/>
      <c r="AO30" s="18"/>
    </row>
    <row r="31" spans="2:41" x14ac:dyDescent="0.25">
      <c r="B31" s="3"/>
      <c r="C31" s="2">
        <f>Tabla131624322122233526272822[[#This Row],[COMISIONES]]*0.21</f>
        <v>0</v>
      </c>
      <c r="D31" s="3">
        <f>Tabla131624322122233526272822[[#This Row],[COMISIONES]]*0.105</f>
        <v>0</v>
      </c>
      <c r="E31" s="1"/>
      <c r="F31" s="3"/>
      <c r="H31" s="11"/>
      <c r="I31" s="11">
        <f>Tabla391725353132334536373833[[#This Row],[COMISIONES]]*0.21</f>
        <v>0</v>
      </c>
      <c r="J31" s="11"/>
      <c r="K31" s="11"/>
      <c r="L31" s="11"/>
      <c r="N31" s="11"/>
      <c r="O31" s="11">
        <f>Tabla35101826364142444546474844[[#This Row],[COMISIONES]]*0.21</f>
        <v>0</v>
      </c>
      <c r="P31" s="11"/>
      <c r="Q31" s="11"/>
      <c r="R31" s="11"/>
      <c r="T31" s="4">
        <f>SUBTOTAL(109,Tabla356111927375152545556575855[COMISIONES])</f>
        <v>91225.93</v>
      </c>
      <c r="U31" s="4">
        <f>SUBTOTAL(109,Tabla356111927375152545556575855[IVA 21])</f>
        <v>19127.010000000002</v>
      </c>
      <c r="V31" s="4">
        <f>SUBTOTAL(109,Tabla356111927375152545556575855[IVA 10,5])</f>
        <v>15.217650000000001</v>
      </c>
      <c r="W31" s="4">
        <f>SUBTOTAL(109,Tabla356111927375152545556575855[Ret IIBB Caba])</f>
        <v>5464.88</v>
      </c>
      <c r="X31" s="4">
        <f>SUBTOTAL(109,Tabla356111927375152545556575855[PERC IVA])</f>
        <v>2732.44</v>
      </c>
      <c r="Z31" s="3">
        <v>12042.19</v>
      </c>
      <c r="AA31" s="11"/>
      <c r="AB31" s="11">
        <f>Tabla3568132129397172747576777877[[#This Row],[COMISIONES]]*0.105</f>
        <v>1264.42995</v>
      </c>
      <c r="AC31" s="1">
        <v>2850.34</v>
      </c>
      <c r="AK31" s="4">
        <f>SUBTOTAL(109,Tabla3561119273443112131516171819111[COMISIONES])</f>
        <v>0</v>
      </c>
      <c r="AL31" s="4">
        <f>SUBTOTAL(109,Tabla3561119273443112131516171819111[IVA 21])</f>
        <v>0</v>
      </c>
      <c r="AM31" s="4">
        <f>SUBTOTAL(109,Tabla3561119273443112131516171819111[IVA 10,5])</f>
        <v>0</v>
      </c>
      <c r="AN31" s="4">
        <f>SUBTOTAL(109,Tabla3561119273443112131516171819111[Ret IIBB Caba])</f>
        <v>0</v>
      </c>
      <c r="AO31" s="4">
        <f>SUBTOTAL(109,Tabla3561119273443112131516171819111[PERC IVA])</f>
        <v>0</v>
      </c>
    </row>
    <row r="32" spans="2:41" ht="18.75" x14ac:dyDescent="0.3">
      <c r="B32" s="3"/>
      <c r="C32" s="2">
        <f>Tabla131624322122233526272822[[#This Row],[COMISIONES]]*0.21</f>
        <v>0</v>
      </c>
      <c r="D32" s="3">
        <f>Tabla131624322122233526272822[[#This Row],[COMISIONES]]*0.105</f>
        <v>0</v>
      </c>
      <c r="E32" s="3"/>
      <c r="F32" s="3"/>
      <c r="H32" s="11"/>
      <c r="I32" s="11">
        <f>Tabla391725353132334536373833[[#This Row],[COMISIONES]]*0.21</f>
        <v>0</v>
      </c>
      <c r="J32" s="11"/>
      <c r="K32" s="11"/>
      <c r="L32" s="11"/>
      <c r="N32" s="11"/>
      <c r="O32" s="11">
        <f>Tabla35101826364142444546474844[[#This Row],[COMISIONES]]*0.21</f>
        <v>0</v>
      </c>
      <c r="P32" s="11"/>
      <c r="Q32" s="11"/>
      <c r="R32" s="11"/>
      <c r="T32" s="52" t="s">
        <v>9</v>
      </c>
      <c r="U32" s="52"/>
      <c r="V32" s="52"/>
      <c r="W32" s="52"/>
      <c r="X32" s="52"/>
      <c r="Z32" s="3">
        <v>514.48</v>
      </c>
      <c r="AA32" s="11">
        <f>Tabla3568132129397172747576777877[[#This Row],[COMISIONES]]*0.21</f>
        <v>108.0408</v>
      </c>
      <c r="AB32" s="1"/>
      <c r="AC32" s="11">
        <v>208.08</v>
      </c>
      <c r="AD32" s="11"/>
    </row>
    <row r="33" spans="2:31" x14ac:dyDescent="0.25">
      <c r="B33" s="3"/>
      <c r="C33" s="2">
        <f>Tabla131624322122233526272822[[#This Row],[COMISIONES]]*0.21</f>
        <v>0</v>
      </c>
      <c r="D33" s="3">
        <f>Tabla131624322122233526272822[[#This Row],[COMISIONES]]*0.105</f>
        <v>0</v>
      </c>
      <c r="E33" s="3"/>
      <c r="F33" s="3"/>
      <c r="H33" s="11"/>
      <c r="I33" s="11">
        <f>Tabla391725353132334536373833[[#This Row],[COMISIONES]]*0.21</f>
        <v>0</v>
      </c>
      <c r="J33" s="11"/>
      <c r="K33" s="11"/>
      <c r="L33" s="11"/>
      <c r="N33" s="11"/>
      <c r="O33" s="11">
        <f>Tabla35101826364142444546474844[[#This Row],[COMISIONES]]*0.21</f>
        <v>0</v>
      </c>
      <c r="P33" s="11"/>
      <c r="Q33" s="11"/>
      <c r="R33" s="11"/>
      <c r="T33" s="12" t="s">
        <v>2</v>
      </c>
      <c r="U33" s="13" t="s">
        <v>0</v>
      </c>
      <c r="V33" s="13" t="s">
        <v>1</v>
      </c>
      <c r="W33" s="13" t="s">
        <v>3</v>
      </c>
      <c r="X33" s="13" t="s">
        <v>4</v>
      </c>
      <c r="Z33" s="3">
        <v>11356.81</v>
      </c>
      <c r="AA33" s="11">
        <f>Tabla3568132129397172747576777877[[#This Row],[COMISIONES]]*0.21</f>
        <v>2384.9300999999996</v>
      </c>
      <c r="AB33" s="29"/>
      <c r="AC33" s="11">
        <v>18726.88</v>
      </c>
      <c r="AD33" s="11"/>
    </row>
    <row r="34" spans="2:31" x14ac:dyDescent="0.25">
      <c r="B34" s="3"/>
      <c r="C34" s="2">
        <f>Tabla131624322122233526272822[[#This Row],[COMISIONES]]*0.21</f>
        <v>0</v>
      </c>
      <c r="D34" s="3">
        <f>Tabla131624322122233526272822[[#This Row],[COMISIONES]]*0.105</f>
        <v>0</v>
      </c>
      <c r="E34" s="3"/>
      <c r="F34" s="3"/>
      <c r="H34" s="11"/>
      <c r="I34" s="11">
        <f>Tabla391725353132334536373833[[#This Row],[COMISIONES]]*0.21</f>
        <v>0</v>
      </c>
      <c r="J34" s="11"/>
      <c r="K34" s="11"/>
      <c r="L34" s="11"/>
      <c r="N34" s="11"/>
      <c r="O34" s="11">
        <f>Tabla35101826364142444546474844[[#This Row],[COMISIONES]]*0.21</f>
        <v>0</v>
      </c>
      <c r="P34" s="11"/>
      <c r="Q34" s="11"/>
      <c r="R34" s="11"/>
      <c r="T34" s="11">
        <v>10</v>
      </c>
      <c r="U34" s="11">
        <f>Tabla6122028386162646566676866[[#This Row],[COMISIONES]]*0.21</f>
        <v>2.1</v>
      </c>
      <c r="V34" s="11"/>
      <c r="W34" s="11">
        <v>1295.58</v>
      </c>
      <c r="X34" s="11">
        <v>323.89</v>
      </c>
      <c r="Z34" s="3">
        <v>780.48</v>
      </c>
      <c r="AA34" s="11">
        <f>Tabla3568132129397172747576777877[[#This Row],[COMISIONES]]*0.21</f>
        <v>163.9008</v>
      </c>
      <c r="AB34" s="11"/>
      <c r="AC34" s="11">
        <v>192.66</v>
      </c>
      <c r="AD34" s="11"/>
    </row>
    <row r="35" spans="2:31" x14ac:dyDescent="0.25">
      <c r="B35" s="3"/>
      <c r="C35" s="2">
        <f>Tabla131624322122233526272822[[#This Row],[COMISIONES]]*0.21</f>
        <v>0</v>
      </c>
      <c r="D35" s="3">
        <f>Tabla131624322122233526272822[[#This Row],[COMISIONES]]*0.105</f>
        <v>0</v>
      </c>
      <c r="E35" s="3"/>
      <c r="F35" s="3"/>
      <c r="H35" s="11"/>
      <c r="I35" s="11">
        <f>Tabla391725353132334536373833[[#This Row],[COMISIONES]]*0.21</f>
        <v>0</v>
      </c>
      <c r="J35" s="11"/>
      <c r="K35" s="11"/>
      <c r="L35" s="11"/>
      <c r="N35" s="11"/>
      <c r="O35" s="11">
        <f>Tabla35101826364142444546474844[[#This Row],[COMISIONES]]*0.21</f>
        <v>0</v>
      </c>
      <c r="P35" s="11"/>
      <c r="Q35" s="11"/>
      <c r="R35" s="11"/>
      <c r="T35" s="11">
        <v>21593.02</v>
      </c>
      <c r="U35" s="11"/>
      <c r="V35" s="11">
        <f>Tabla6122028386162646566676866[[#This Row],[COMISIONES]]*0.105</f>
        <v>2267.2671</v>
      </c>
      <c r="W35" s="11">
        <v>2793</v>
      </c>
      <c r="X35" s="11">
        <v>1396.5</v>
      </c>
      <c r="Z35" s="3">
        <v>7276.1</v>
      </c>
      <c r="AA35" s="11">
        <f>Tabla3568132129397172747576777877[[#This Row],[COMISIONES]]*0.21</f>
        <v>1527.981</v>
      </c>
      <c r="AB35" s="11"/>
      <c r="AC35" s="11">
        <v>17339.3</v>
      </c>
      <c r="AD35" s="11"/>
    </row>
    <row r="36" spans="2:31" x14ac:dyDescent="0.25">
      <c r="B36" s="3"/>
      <c r="C36" s="2">
        <f>Tabla131624322122233526272822[[#This Row],[COMISIONES]]*0.21</f>
        <v>0</v>
      </c>
      <c r="D36" s="3">
        <f>Tabla131624322122233526272822[[#This Row],[COMISIONES]]*0.105</f>
        <v>0</v>
      </c>
      <c r="E36" s="3"/>
      <c r="F36" s="3"/>
      <c r="H36" s="11"/>
      <c r="I36" s="11">
        <f>Tabla391725353132334536373833[[#This Row],[COMISIONES]]*0.21</f>
        <v>0</v>
      </c>
      <c r="J36" s="11"/>
      <c r="K36" s="11"/>
      <c r="L36" s="11"/>
      <c r="N36" s="11"/>
      <c r="O36" s="11">
        <f>Tabla35101826364142444546474844[[#This Row],[COMISIONES]]*0.21</f>
        <v>0</v>
      </c>
      <c r="P36" s="11"/>
      <c r="Q36" s="11"/>
      <c r="R36" s="11"/>
      <c r="T36" s="11">
        <v>46550</v>
      </c>
      <c r="U36" s="19">
        <f>Tabla6122028386162646566676866[[#This Row],[COMISIONES]]*0.21</f>
        <v>9775.5</v>
      </c>
      <c r="V36" s="19"/>
      <c r="W36">
        <v>3138</v>
      </c>
      <c r="X36">
        <v>1569</v>
      </c>
      <c r="Z36" s="3">
        <v>7273.33</v>
      </c>
      <c r="AA36" s="11">
        <f>Tabla3568132129397172747576777877[[#This Row],[COMISIONES]]*0.21</f>
        <v>1527.3993</v>
      </c>
      <c r="AB36" s="1"/>
      <c r="AC36" s="11">
        <v>185.35</v>
      </c>
      <c r="AD36" s="11"/>
    </row>
    <row r="37" spans="2:31" x14ac:dyDescent="0.25">
      <c r="B37" s="3"/>
      <c r="C37" s="2">
        <f>Tabla131624322122233526272822[[#This Row],[COMISIONES]]*0.21</f>
        <v>0</v>
      </c>
      <c r="D37" s="3">
        <f>Tabla131624322122233526272822[[#This Row],[COMISIONES]]*0.105</f>
        <v>0</v>
      </c>
      <c r="E37" s="3"/>
      <c r="F37" s="3"/>
      <c r="H37" s="11"/>
      <c r="I37" s="11">
        <f>Tabla391725353132334536373833[[#This Row],[COMISIONES]]*0.21</f>
        <v>0</v>
      </c>
      <c r="J37" s="11"/>
      <c r="K37" s="11"/>
      <c r="L37" s="11"/>
      <c r="N37" s="11"/>
      <c r="O37" s="11">
        <f>Tabla35101826364142444546474844[[#This Row],[COMISIONES]]*0.21</f>
        <v>0</v>
      </c>
      <c r="P37" s="11"/>
      <c r="Q37" s="11"/>
      <c r="R37" s="11"/>
      <c r="T37" s="11">
        <v>52300</v>
      </c>
      <c r="U37" s="19">
        <f>Tabla6122028386162646566676866[[#This Row],[COMISIONES]]*0.21</f>
        <v>10983</v>
      </c>
      <c r="Z37" s="3">
        <v>22210.97</v>
      </c>
      <c r="AA37" s="21"/>
      <c r="AB37" s="21">
        <f>Tabla3568132129397172747576777877[[#This Row],[COMISIONES]]*0.105</f>
        <v>2332.1518500000002</v>
      </c>
      <c r="AC37" s="21">
        <v>16680.900000000001</v>
      </c>
      <c r="AD37" s="22"/>
    </row>
    <row r="38" spans="2:31" x14ac:dyDescent="0.25">
      <c r="B38" s="3"/>
      <c r="C38" s="2">
        <f>Tabla131624322122233526272822[[#This Row],[COMISIONES]]*0.21</f>
        <v>0</v>
      </c>
      <c r="D38" s="3">
        <f>Tabla131624322122233526272822[[#This Row],[COMISIONES]]*0.105</f>
        <v>0</v>
      </c>
      <c r="E38" s="3"/>
      <c r="F38" s="3"/>
      <c r="H38" s="11"/>
      <c r="I38" s="11">
        <f>Tabla391725353132334536373833[[#This Row],[COMISIONES]]*0.21</f>
        <v>0</v>
      </c>
      <c r="J38" s="11"/>
      <c r="K38" s="11"/>
      <c r="L38" s="11"/>
      <c r="N38" s="11"/>
      <c r="O38" s="11">
        <f>Tabla35101826364142444546474844[[#This Row],[COMISIONES]]*0.21</f>
        <v>0</v>
      </c>
      <c r="P38" s="11"/>
      <c r="Q38" s="11"/>
      <c r="R38" s="11"/>
      <c r="T38" s="11">
        <v>21070</v>
      </c>
      <c r="U38" s="19">
        <f>Tabla6122028386162646566676866[[#This Row],[COMISIONES]]*0.21</f>
        <v>4424.7</v>
      </c>
      <c r="X38">
        <v>632.1</v>
      </c>
      <c r="Z38" s="3">
        <v>264</v>
      </c>
      <c r="AA38" s="21">
        <f>Tabla3568132129397172747576777877[[#This Row],[COMISIONES]]*0.21</f>
        <v>55.44</v>
      </c>
      <c r="AB38" s="1"/>
      <c r="AC38" s="1">
        <v>10005.6</v>
      </c>
    </row>
    <row r="39" spans="2:31" x14ac:dyDescent="0.25">
      <c r="B39" s="3"/>
      <c r="C39" s="2">
        <f>Tabla131624322122233526272822[[#This Row],[COMISIONES]]*0.21</f>
        <v>0</v>
      </c>
      <c r="D39" s="3">
        <f>Tabla131624322122233526272822[[#This Row],[COMISIONES]]*0.105</f>
        <v>0</v>
      </c>
      <c r="E39" s="3"/>
      <c r="F39" s="3"/>
      <c r="H39" s="11"/>
      <c r="I39" s="11">
        <f>Tabla391725353132334536373833[[#This Row],[COMISIONES]]*0.21</f>
        <v>0</v>
      </c>
      <c r="J39" s="11"/>
      <c r="K39" s="11"/>
      <c r="L39" s="11"/>
      <c r="N39" s="11"/>
      <c r="O39" s="11">
        <f>Tabla35101826364142444546474844[[#This Row],[COMISIONES]]*0.21</f>
        <v>0</v>
      </c>
      <c r="P39" s="11"/>
      <c r="Q39" s="11"/>
      <c r="R39" s="11"/>
      <c r="T39" s="11">
        <v>300</v>
      </c>
      <c r="U39" s="19">
        <f>Tabla6122028386162646566676866[[#This Row],[COMISIONES]]*0.21</f>
        <v>63</v>
      </c>
      <c r="V39" s="19"/>
      <c r="Z39" s="3">
        <v>4994.3999999999996</v>
      </c>
      <c r="AA39" s="21">
        <f>Tabla3568132129397172747576777877[[#This Row],[COMISIONES]]*0.21</f>
        <v>1048.8239999999998</v>
      </c>
      <c r="AB39" s="21"/>
      <c r="AC39" s="21">
        <v>111.17</v>
      </c>
      <c r="AD39" s="21"/>
    </row>
    <row r="40" spans="2:31" x14ac:dyDescent="0.25">
      <c r="B40" s="3"/>
      <c r="C40" s="2">
        <f>Tabla131624322122233526272822[[#This Row],[COMISIONES]]*0.21</f>
        <v>0</v>
      </c>
      <c r="D40" s="3">
        <f>Tabla131624322122233526272822[[#This Row],[COMISIONES]]*0.105</f>
        <v>0</v>
      </c>
      <c r="E40" s="3"/>
      <c r="F40" s="3"/>
      <c r="H40" s="11"/>
      <c r="I40" s="11">
        <f>Tabla391725353132334536373833[[#This Row],[COMISIONES]]*0.21</f>
        <v>0</v>
      </c>
      <c r="J40" s="11"/>
      <c r="K40" s="11"/>
      <c r="L40" s="11"/>
      <c r="N40" s="11"/>
      <c r="O40" s="11">
        <f>Tabla35101826364142444546474844[[#This Row],[COMISIONES]]*0.21</f>
        <v>0</v>
      </c>
      <c r="P40" s="11"/>
      <c r="Q40" s="11"/>
      <c r="R40" s="11"/>
      <c r="T40" s="11">
        <v>300</v>
      </c>
      <c r="U40" s="19">
        <f>Tabla6122028386162646566676866[[#This Row],[COMISIONES]]*0.21</f>
        <v>63</v>
      </c>
      <c r="Z40" s="3">
        <v>13007.81</v>
      </c>
      <c r="AA40" s="21">
        <f>Tabla3568132129397172747576777877[[#This Row],[COMISIONES]]*0.21</f>
        <v>2731.6400999999996</v>
      </c>
      <c r="AB40" s="21"/>
      <c r="AC40" s="21">
        <v>39751.15</v>
      </c>
      <c r="AD40" s="21"/>
    </row>
    <row r="41" spans="2:31" x14ac:dyDescent="0.25">
      <c r="B41" s="3"/>
      <c r="C41" s="2">
        <f>Tabla131624322122233526272822[[#This Row],[COMISIONES]]*0.21</f>
        <v>0</v>
      </c>
      <c r="D41" s="3">
        <f>Tabla131624322122233526272822[[#This Row],[COMISIONES]]*0.105</f>
        <v>0</v>
      </c>
      <c r="E41" s="3"/>
      <c r="F41" s="3"/>
      <c r="H41" s="18"/>
      <c r="I41" s="18">
        <f>Tabla391725353132334536373833[[#This Row],[COMISIONES]]*0.21</f>
        <v>0</v>
      </c>
      <c r="J41" s="18"/>
      <c r="K41" s="18"/>
      <c r="L41" s="18"/>
      <c r="N41" s="11"/>
      <c r="O41" s="11">
        <f>Tabla35101826364142444546474844[[#This Row],[COMISIONES]]*0.21</f>
        <v>0</v>
      </c>
      <c r="P41" s="11"/>
      <c r="Q41" s="11"/>
      <c r="R41" s="11"/>
      <c r="T41" s="11">
        <v>300</v>
      </c>
      <c r="U41" s="19">
        <f>Tabla6122028386162646566676866[[#This Row],[COMISIONES]]*0.21</f>
        <v>63</v>
      </c>
      <c r="Z41" s="3">
        <v>10074.370000000001</v>
      </c>
      <c r="AA41" s="21">
        <f>Tabla3568132129397172747576777877[[#This Row],[COMISIONES]]*0.21</f>
        <v>2115.6177000000002</v>
      </c>
      <c r="AB41" s="21"/>
      <c r="AC41" s="21">
        <v>441.68</v>
      </c>
      <c r="AD41" s="21"/>
    </row>
    <row r="42" spans="2:31" x14ac:dyDescent="0.25">
      <c r="B42" s="3"/>
      <c r="C42" s="2">
        <f>Tabla131624322122233526272822[[#This Row],[COMISIONES]]*0.21</f>
        <v>0</v>
      </c>
      <c r="D42" s="3">
        <f>Tabla131624322122233526272822[[#This Row],[COMISIONES]]*0.105</f>
        <v>0</v>
      </c>
      <c r="E42" s="3"/>
      <c r="F42" s="3"/>
      <c r="H42" s="18"/>
      <c r="I42" s="18">
        <f>Tabla391725353132334536373833[[#This Row],[COMISIONES]]*0.21</f>
        <v>0</v>
      </c>
      <c r="J42" s="18"/>
      <c r="K42" s="18"/>
      <c r="L42" s="18"/>
      <c r="N42" s="11"/>
      <c r="O42" s="11">
        <f>Tabla35101826364142444546474844[[#This Row],[COMISIONES]]*0.21</f>
        <v>0</v>
      </c>
      <c r="P42" s="11"/>
      <c r="Q42" s="11"/>
      <c r="R42" s="11"/>
      <c r="T42" s="11">
        <v>300</v>
      </c>
      <c r="U42" s="19">
        <f>Tabla6122028386162646566676866[[#This Row],[COMISIONES]]*0.21</f>
        <v>63</v>
      </c>
      <c r="Z42" s="3">
        <v>664.24</v>
      </c>
      <c r="AA42" s="21">
        <f>Tabla3568132129397172747576777877[[#This Row],[COMISIONES]]*0.21</f>
        <v>139.49039999999999</v>
      </c>
      <c r="AB42" s="21"/>
      <c r="AC42" s="21">
        <v>31.84</v>
      </c>
      <c r="AD42" s="21"/>
    </row>
    <row r="43" spans="2:31" x14ac:dyDescent="0.25">
      <c r="B43" s="3"/>
      <c r="C43" s="2">
        <f>Tabla131624322122233526272822[[#This Row],[COMISIONES]]*0.21</f>
        <v>0</v>
      </c>
      <c r="D43" s="3">
        <f>Tabla131624322122233526272822[[#This Row],[COMISIONES]]*0.105</f>
        <v>0</v>
      </c>
      <c r="E43" s="3"/>
      <c r="F43" s="3"/>
      <c r="G43" s="8"/>
      <c r="H43" s="18"/>
      <c r="I43" s="18">
        <f>Tabla391725353132334536373833[[#This Row],[COMISIONES]]*0.21</f>
        <v>0</v>
      </c>
      <c r="J43" s="18"/>
      <c r="K43" s="18"/>
      <c r="L43" s="18"/>
      <c r="M43" s="8"/>
      <c r="N43" s="11"/>
      <c r="O43" s="11">
        <f>Tabla35101826364142444546474844[[#This Row],[COMISIONES]]*0.21</f>
        <v>0</v>
      </c>
      <c r="P43" s="11"/>
      <c r="Q43" s="11"/>
      <c r="R43" s="11"/>
      <c r="S43" s="8"/>
      <c r="T43" s="11">
        <v>300</v>
      </c>
      <c r="U43" s="19">
        <f>Tabla6122028386162646566676866[[#This Row],[COMISIONES]]*0.21</f>
        <v>63</v>
      </c>
      <c r="Y43" s="8"/>
      <c r="Z43" s="3">
        <v>1550.5</v>
      </c>
      <c r="AA43" s="21">
        <f>Tabla3568132129397172747576777877[[#This Row],[COMISIONES]]*0.21</f>
        <v>325.60499999999996</v>
      </c>
      <c r="AB43" s="21"/>
      <c r="AC43" s="21">
        <v>2865.94</v>
      </c>
      <c r="AD43" s="21"/>
      <c r="AE43" s="8"/>
    </row>
    <row r="44" spans="2:31" x14ac:dyDescent="0.25">
      <c r="B44" s="3"/>
      <c r="C44" s="2">
        <f>Tabla131624322122233526272822[[#This Row],[COMISIONES]]*0.21</f>
        <v>0</v>
      </c>
      <c r="D44" s="3">
        <f>Tabla131624322122233526272822[[#This Row],[COMISIONES]]*0.105</f>
        <v>0</v>
      </c>
      <c r="E44" s="3"/>
      <c r="F44" s="3"/>
      <c r="H44" s="18"/>
      <c r="I44" s="18">
        <f>Tabla391725353132334536373833[[#This Row],[COMISIONES]]*0.21</f>
        <v>0</v>
      </c>
      <c r="J44" s="18"/>
      <c r="K44" s="18"/>
      <c r="L44" s="18"/>
      <c r="N44" s="11"/>
      <c r="O44" s="11">
        <f>Tabla35101826364142444546474844[[#This Row],[COMISIONES]]*0.21</f>
        <v>0</v>
      </c>
      <c r="P44" s="11"/>
      <c r="Q44" s="11"/>
      <c r="R44" s="11"/>
      <c r="T44">
        <v>300</v>
      </c>
      <c r="U44" s="19">
        <f>Tabla6122028386162646566676866[[#This Row],[COMISIONES]]*0.21</f>
        <v>63</v>
      </c>
      <c r="Z44" s="3">
        <v>8240.42</v>
      </c>
      <c r="AA44" s="21">
        <f>Tabla3568132129397172747576777877[[#This Row],[COMISIONES]]*0.21</f>
        <v>1730.4882</v>
      </c>
      <c r="AB44" s="21"/>
      <c r="AC44" s="21">
        <v>23836.42</v>
      </c>
      <c r="AD44" s="21"/>
    </row>
    <row r="45" spans="2:31" x14ac:dyDescent="0.25">
      <c r="B45" s="3"/>
      <c r="C45" s="2">
        <f>Tabla131624322122233526272822[[#This Row],[COMISIONES]]*0.21</f>
        <v>0</v>
      </c>
      <c r="D45" s="3">
        <f>Tabla131624322122233526272822[[#This Row],[COMISIONES]]*0.105</f>
        <v>0</v>
      </c>
      <c r="E45" s="3"/>
      <c r="F45" s="3"/>
      <c r="H45" s="18"/>
      <c r="I45" s="18">
        <f>Tabla391725353132334536373833[[#This Row],[COMISIONES]]*0.21</f>
        <v>0</v>
      </c>
      <c r="J45" s="18"/>
      <c r="K45" s="18"/>
      <c r="L45" s="18"/>
      <c r="N45" s="11"/>
      <c r="O45" s="11">
        <f>Tabla35101826364142444546474844[[#This Row],[COMISIONES]]*0.21</f>
        <v>0</v>
      </c>
      <c r="P45" s="11"/>
      <c r="Q45" s="11"/>
      <c r="R45" s="11"/>
      <c r="T45">
        <v>300</v>
      </c>
      <c r="U45" s="19">
        <f>Tabla6122028386162646566676866[[#This Row],[COMISIONES]]*0.21</f>
        <v>63</v>
      </c>
      <c r="Z45" s="3">
        <v>7933.01</v>
      </c>
      <c r="AA45" s="21"/>
      <c r="AB45" s="21">
        <f>Tabla3568132129397172747576777877[[#This Row],[COMISIONES]]*0.105</f>
        <v>832.96605</v>
      </c>
      <c r="AC45" s="21">
        <v>264.85000000000002</v>
      </c>
      <c r="AD45" s="21"/>
    </row>
    <row r="46" spans="2:31" x14ac:dyDescent="0.25">
      <c r="B46" s="3"/>
      <c r="C46" s="2">
        <f>Tabla131624322122233526272822[[#This Row],[COMISIONES]]*0.21</f>
        <v>0</v>
      </c>
      <c r="D46" s="3">
        <f>Tabla131624322122233526272822[[#This Row],[COMISIONES]]*0.105</f>
        <v>0</v>
      </c>
      <c r="E46" s="3"/>
      <c r="F46" s="3"/>
      <c r="H46" s="18"/>
      <c r="I46" s="18">
        <f>Tabla391725353132334536373833[[#This Row],[COMISIONES]]*0.21</f>
        <v>0</v>
      </c>
      <c r="J46" s="18"/>
      <c r="K46" s="18"/>
      <c r="L46" s="18"/>
      <c r="N46" s="11"/>
      <c r="O46" s="11">
        <f>Tabla35101826364142444546474844[[#This Row],[COMISIONES]]*0.21</f>
        <v>0</v>
      </c>
      <c r="P46" s="11"/>
      <c r="Q46" s="11"/>
      <c r="R46" s="11"/>
      <c r="T46">
        <v>300</v>
      </c>
      <c r="U46" s="19">
        <f>Tabla6122028386162646566676866[[#This Row],[COMISIONES]]*0.21</f>
        <v>63</v>
      </c>
      <c r="Z46" s="3">
        <v>4214.67</v>
      </c>
      <c r="AA46" s="21">
        <f>Tabla3568132129397172747576777877[[#This Row],[COMISIONES]]*0.21</f>
        <v>885.08069999999998</v>
      </c>
      <c r="AB46" s="21"/>
      <c r="AC46" s="21">
        <v>48.31</v>
      </c>
      <c r="AD46" s="21"/>
    </row>
    <row r="47" spans="2:31" x14ac:dyDescent="0.25">
      <c r="B47" s="3"/>
      <c r="C47" s="2">
        <f>Tabla131624322122233526272822[[#This Row],[COMISIONES]]*0.21</f>
        <v>0</v>
      </c>
      <c r="D47" s="3">
        <f>Tabla131624322122233526272822[[#This Row],[COMISIONES]]*0.105</f>
        <v>0</v>
      </c>
      <c r="E47" s="3"/>
      <c r="F47" s="3"/>
      <c r="H47" s="18"/>
      <c r="I47" s="18">
        <f>Tabla391725353132334536373833[[#This Row],[COMISIONES]]*0.21</f>
        <v>0</v>
      </c>
      <c r="J47" s="18"/>
      <c r="K47" s="18"/>
      <c r="L47" s="18"/>
      <c r="N47" s="11"/>
      <c r="O47" s="11">
        <f>Tabla35101826364142444546474844[[#This Row],[COMISIONES]]*0.21</f>
        <v>0</v>
      </c>
      <c r="P47" s="11"/>
      <c r="Q47" s="11"/>
      <c r="R47" s="11"/>
      <c r="T47">
        <v>300</v>
      </c>
      <c r="U47" s="19">
        <f>Tabla6122028386162646566676866[[#This Row],[COMISIONES]]*0.21</f>
        <v>63</v>
      </c>
      <c r="Z47" s="3">
        <v>18524.27</v>
      </c>
      <c r="AA47" s="21">
        <f>Tabla3568132129397172747576777877[[#This Row],[COMISIONES]]*0.21</f>
        <v>3890.0967000000001</v>
      </c>
      <c r="AB47" s="21"/>
      <c r="AC47" s="21">
        <v>4347.71</v>
      </c>
      <c r="AD47" s="21"/>
    </row>
    <row r="48" spans="2:31" x14ac:dyDescent="0.25">
      <c r="B48" s="3"/>
      <c r="C48" s="2">
        <f>Tabla131624322122233526272822[[#This Row],[COMISIONES]]*0.21</f>
        <v>0</v>
      </c>
      <c r="D48" s="3">
        <f>Tabla131624322122233526272822[[#This Row],[COMISIONES]]*0.105</f>
        <v>0</v>
      </c>
      <c r="E48" s="3"/>
      <c r="F48" s="3"/>
      <c r="H48" s="18"/>
      <c r="I48" s="18">
        <f>Tabla391725353132334536373833[[#This Row],[COMISIONES]]*0.21</f>
        <v>0</v>
      </c>
      <c r="J48" s="18"/>
      <c r="K48" s="18"/>
      <c r="L48" s="18"/>
      <c r="N48" s="11"/>
      <c r="O48" s="11">
        <f>Tabla35101826364142444546474844[[#This Row],[COMISIONES]]*0.21</f>
        <v>0</v>
      </c>
      <c r="P48" s="11"/>
      <c r="Q48" s="11"/>
      <c r="R48" s="11"/>
      <c r="T48">
        <v>300</v>
      </c>
      <c r="U48" s="19">
        <f>Tabla6122028386162646566676866[[#This Row],[COMISIONES]]*0.21</f>
        <v>63</v>
      </c>
      <c r="Z48" s="3">
        <v>540.79999999999995</v>
      </c>
      <c r="AA48" s="21">
        <f>Tabla3568132129397172747576777877[[#This Row],[COMISIONES]]*0.21</f>
        <v>113.56799999999998</v>
      </c>
      <c r="AB48" s="21"/>
      <c r="AC48" s="21">
        <v>32346.27</v>
      </c>
      <c r="AD48" s="21"/>
    </row>
    <row r="49" spans="1:41" x14ac:dyDescent="0.25">
      <c r="B49" s="3"/>
      <c r="C49" s="2">
        <f>Tabla131624322122233526272822[[#This Row],[COMISIONES]]*0.21</f>
        <v>0</v>
      </c>
      <c r="D49" s="3">
        <f>Tabla131624322122233526272822[[#This Row],[COMISIONES]]*0.105</f>
        <v>0</v>
      </c>
      <c r="E49" s="3"/>
      <c r="F49" s="3"/>
      <c r="H49" s="18"/>
      <c r="I49" s="18">
        <f>Tabla391725353132334536373833[[#This Row],[COMISIONES]]*0.21</f>
        <v>0</v>
      </c>
      <c r="J49" s="18"/>
      <c r="K49" s="18"/>
      <c r="L49" s="18"/>
      <c r="N49" s="11"/>
      <c r="O49" s="11">
        <f>Tabla35101826364142444546474844[[#This Row],[COMISIONES]]*0.21</f>
        <v>0</v>
      </c>
      <c r="P49" s="11"/>
      <c r="Q49" s="11"/>
      <c r="R49" s="11"/>
      <c r="T49">
        <v>300</v>
      </c>
      <c r="U49" s="19">
        <f>Tabla6122028386162646566676866[[#This Row],[COMISIONES]]*0.21</f>
        <v>63</v>
      </c>
      <c r="Z49" s="3">
        <v>4430.3</v>
      </c>
      <c r="AA49" s="21">
        <f>Tabla3568132129397172747576777877[[#This Row],[COMISIONES]]*0.21</f>
        <v>930.36300000000006</v>
      </c>
      <c r="AB49" s="1"/>
      <c r="AC49" s="21">
        <v>359.4</v>
      </c>
      <c r="AD49" s="21"/>
    </row>
    <row r="50" spans="1:41" s="6" customFormat="1" x14ac:dyDescent="0.25">
      <c r="A50"/>
      <c r="B50" s="3"/>
      <c r="C50" s="2">
        <f>Tabla131624322122233526272822[[#This Row],[COMISIONES]]*0.21</f>
        <v>0</v>
      </c>
      <c r="D50" s="3">
        <f>Tabla131624322122233526272822[[#This Row],[COMISIONES]]*0.105</f>
        <v>0</v>
      </c>
      <c r="E50" s="3"/>
      <c r="F50" s="3"/>
      <c r="H50" s="18"/>
      <c r="I50" s="18">
        <f>Tabla391725353132334536373833[[#This Row],[COMISIONES]]*0.21</f>
        <v>0</v>
      </c>
      <c r="J50" s="18"/>
      <c r="K50" s="18"/>
      <c r="L50" s="18"/>
      <c r="N50" s="11"/>
      <c r="O50" s="11">
        <f>Tabla35101826364142444546474844[[#This Row],[COMISIONES]]*0.21</f>
        <v>0</v>
      </c>
      <c r="P50" s="11"/>
      <c r="Q50" s="11"/>
      <c r="R50" s="11"/>
      <c r="T50">
        <v>300</v>
      </c>
      <c r="U50" s="19">
        <f>Tabla6122028386162646566676866[[#This Row],[COMISIONES]]*0.21</f>
        <v>63</v>
      </c>
      <c r="V50"/>
      <c r="W50"/>
      <c r="X50"/>
      <c r="Z50" s="3">
        <v>20171.240000000002</v>
      </c>
      <c r="AA50" s="21">
        <f>Tabla3568132129397172747576777877[[#This Row],[COMISIONES]]*0.21</f>
        <v>4235.9603999999999</v>
      </c>
      <c r="AB50" s="21"/>
      <c r="AC50" s="21">
        <v>14273.36</v>
      </c>
      <c r="AD50" s="21"/>
      <c r="AF50"/>
      <c r="AG50"/>
      <c r="AH50"/>
      <c r="AI50"/>
      <c r="AJ50"/>
      <c r="AK50"/>
      <c r="AL50"/>
      <c r="AM50"/>
      <c r="AN50"/>
      <c r="AO50"/>
    </row>
    <row r="51" spans="1:41" s="6" customFormat="1" x14ac:dyDescent="0.25">
      <c r="A51"/>
      <c r="B51" s="2"/>
      <c r="C51" s="2">
        <f>Tabla131624322122233526272822[[#This Row],[COMISIONES]]*0.21</f>
        <v>0</v>
      </c>
      <c r="D51" s="2">
        <f>Tabla131624322122233526272822[[#This Row],[COMISIONES]]*0.105</f>
        <v>0</v>
      </c>
      <c r="E51" s="2"/>
      <c r="F51"/>
      <c r="H51" s="18"/>
      <c r="I51" s="18">
        <f>Tabla391725353132334536373833[[#This Row],[COMISIONES]]*0.21</f>
        <v>0</v>
      </c>
      <c r="J51" s="18"/>
      <c r="K51" s="18"/>
      <c r="L51" s="18"/>
      <c r="N51" s="11"/>
      <c r="O51" s="11">
        <f>Tabla35101826364142444546474844[[#This Row],[COMISIONES]]*0.21</f>
        <v>0</v>
      </c>
      <c r="P51" s="11"/>
      <c r="Q51" s="11"/>
      <c r="R51" s="11"/>
      <c r="T51">
        <v>300</v>
      </c>
      <c r="U51" s="19">
        <f>Tabla6122028386162646566676866[[#This Row],[COMISIONES]]*0.21</f>
        <v>63</v>
      </c>
      <c r="V51"/>
      <c r="W51"/>
      <c r="X51"/>
      <c r="Z51" s="3">
        <v>34986.49</v>
      </c>
      <c r="AA51" s="21"/>
      <c r="AB51" s="21">
        <f>Tabla3568132129397172747576777877[[#This Row],[COMISIONES]]*0.105</f>
        <v>3673.5814499999997</v>
      </c>
      <c r="AC51" s="21">
        <v>158.59</v>
      </c>
      <c r="AD51" s="21"/>
      <c r="AF51"/>
      <c r="AG51"/>
      <c r="AH51"/>
      <c r="AI51"/>
      <c r="AJ51"/>
      <c r="AK51"/>
      <c r="AL51"/>
      <c r="AM51"/>
      <c r="AN51"/>
      <c r="AO51"/>
    </row>
    <row r="52" spans="1:41" s="6" customFormat="1" x14ac:dyDescent="0.25">
      <c r="A52"/>
      <c r="B52" s="2"/>
      <c r="C52" s="2">
        <f>Tabla131624322122233526272822[[#This Row],[COMISIONES]]*0.21</f>
        <v>0</v>
      </c>
      <c r="D52" s="2">
        <f>Tabla131624322122233526272822[[#This Row],[COMISIONES]]*0.105</f>
        <v>0</v>
      </c>
      <c r="E52" s="2"/>
      <c r="F52"/>
      <c r="H52" s="18"/>
      <c r="I52" s="18">
        <f>Tabla391725353132334536373833[[#This Row],[COMISIONES]]*0.21</f>
        <v>0</v>
      </c>
      <c r="J52" s="18"/>
      <c r="K52" s="18"/>
      <c r="L52" s="18"/>
      <c r="N52" s="11"/>
      <c r="O52" s="11">
        <f>Tabla35101826364142444546474844[[#This Row],[COMISIONES]]*0.21</f>
        <v>0</v>
      </c>
      <c r="P52" s="11"/>
      <c r="Q52" s="11"/>
      <c r="R52" s="11"/>
      <c r="T52">
        <v>300</v>
      </c>
      <c r="U52" s="19">
        <f>Tabla6122028386162646566676866[[#This Row],[COMISIONES]]*0.21</f>
        <v>63</v>
      </c>
      <c r="V52"/>
      <c r="W52"/>
      <c r="X52"/>
      <c r="Z52" s="3">
        <v>1658.12</v>
      </c>
      <c r="AA52" s="21">
        <f>Tabla3568132129397172747576777877[[#This Row],[COMISIONES]]*0.21</f>
        <v>348.20519999999999</v>
      </c>
      <c r="AB52" s="30"/>
      <c r="AC52" s="21">
        <v>16.34</v>
      </c>
      <c r="AD52" s="21"/>
      <c r="AF52"/>
      <c r="AG52"/>
      <c r="AH52"/>
      <c r="AI52"/>
      <c r="AJ52"/>
      <c r="AK52"/>
      <c r="AL52"/>
      <c r="AM52"/>
      <c r="AN52"/>
      <c r="AO52"/>
    </row>
    <row r="53" spans="1:41" s="6" customFormat="1" x14ac:dyDescent="0.25">
      <c r="A53"/>
      <c r="B53" s="2"/>
      <c r="C53" s="2">
        <f>Tabla131624322122233526272822[[#This Row],[COMISIONES]]*0.21</f>
        <v>0</v>
      </c>
      <c r="D53" s="2">
        <f>Tabla131624322122233526272822[[#This Row],[COMISIONES]]*0.105</f>
        <v>0</v>
      </c>
      <c r="E53" s="2"/>
      <c r="F53"/>
      <c r="H53" s="24">
        <f>SUBTOTAL(109,Tabla391725353132334536373833[COMISIONES])</f>
        <v>0</v>
      </c>
      <c r="I53" s="24">
        <f>SUBTOTAL(109,Tabla391725353132334536373833[IVA 21])</f>
        <v>0</v>
      </c>
      <c r="J53" s="24">
        <f>SUBTOTAL(109,Tabla391725353132334536373833[IVA 10,5])</f>
        <v>0</v>
      </c>
      <c r="K53" s="24">
        <f>SUBTOTAL(109,Tabla391725353132334536373833[Ret IIBB Caba])</f>
        <v>0</v>
      </c>
      <c r="L53" s="24">
        <f>SUBTOTAL(109,Tabla391725353132334536373833[PERC IVA])</f>
        <v>0</v>
      </c>
      <c r="N53" s="11"/>
      <c r="O53" s="11">
        <f>Tabla35101826364142444546474844[[#This Row],[COMISIONES]]*0.21</f>
        <v>0</v>
      </c>
      <c r="P53" s="11"/>
      <c r="Q53" s="11"/>
      <c r="R53" s="11"/>
      <c r="T53"/>
      <c r="U53" s="19">
        <f>Tabla6122028386162646566676866[[#This Row],[COMISIONES]]*0.21</f>
        <v>0</v>
      </c>
      <c r="V53"/>
      <c r="W53"/>
      <c r="X53"/>
      <c r="Z53" s="3">
        <v>104.4</v>
      </c>
      <c r="AA53" s="21">
        <f>Tabla3568132129397172747576777877[[#This Row],[COMISIONES]]*0.21</f>
        <v>21.923999999999999</v>
      </c>
      <c r="AB53" s="1"/>
      <c r="AC53" s="21">
        <v>1470.63</v>
      </c>
      <c r="AD53" s="21"/>
      <c r="AF53"/>
      <c r="AG53"/>
      <c r="AH53"/>
      <c r="AI53"/>
      <c r="AJ53"/>
      <c r="AK53"/>
      <c r="AL53"/>
      <c r="AM53"/>
      <c r="AN53"/>
      <c r="AO53"/>
    </row>
    <row r="54" spans="1:41" s="6" customFormat="1" ht="18.75" x14ac:dyDescent="0.3">
      <c r="A54"/>
      <c r="B54" s="2"/>
      <c r="C54" s="2">
        <f>Tabla131624322122233526272822[[#This Row],[COMISIONES]]*0.21</f>
        <v>0</v>
      </c>
      <c r="D54" s="2">
        <f>Tabla131624322122233526272822[[#This Row],[COMISIONES]]*0.105</f>
        <v>0</v>
      </c>
      <c r="E54" s="2"/>
      <c r="F54"/>
      <c r="H54" s="52" t="s">
        <v>12</v>
      </c>
      <c r="I54" s="52"/>
      <c r="J54" s="52"/>
      <c r="K54" s="52"/>
      <c r="L54" s="52"/>
      <c r="N54" s="11"/>
      <c r="O54" s="11">
        <f>Tabla35101826364142444546474844[[#This Row],[COMISIONES]]*0.21</f>
        <v>0</v>
      </c>
      <c r="P54" s="11"/>
      <c r="Q54" s="11"/>
      <c r="R54" s="11"/>
      <c r="T54"/>
      <c r="U54" s="19">
        <f>Tabla6122028386162646566676866[[#This Row],[COMISIONES]]*0.21</f>
        <v>0</v>
      </c>
      <c r="V54"/>
      <c r="W54"/>
      <c r="X54"/>
      <c r="Z54" s="3">
        <v>3078.9</v>
      </c>
      <c r="AA54" s="21">
        <f>Tabla3568132129397172747576777877[[#This Row],[COMISIONES]]*0.21</f>
        <v>646.56899999999996</v>
      </c>
      <c r="AB54" s="21"/>
      <c r="AC54" s="1">
        <v>22202.85</v>
      </c>
      <c r="AD54" s="21"/>
      <c r="AF54"/>
      <c r="AG54"/>
      <c r="AH54"/>
      <c r="AI54"/>
      <c r="AJ54"/>
      <c r="AK54"/>
      <c r="AL54"/>
      <c r="AM54"/>
      <c r="AN54"/>
      <c r="AO54"/>
    </row>
    <row r="55" spans="1:41" s="6" customFormat="1" x14ac:dyDescent="0.25">
      <c r="A55"/>
      <c r="B55" s="2"/>
      <c r="C55" s="2">
        <f>Tabla131624322122233526272822[[#This Row],[COMISIONES]]*0.21</f>
        <v>0</v>
      </c>
      <c r="D55" s="2">
        <f>Tabla131624322122233526272822[[#This Row],[COMISIONES]]*0.105</f>
        <v>0</v>
      </c>
      <c r="E55" s="2"/>
      <c r="F55"/>
      <c r="H55" s="12" t="s">
        <v>2</v>
      </c>
      <c r="I55" s="13" t="s">
        <v>0</v>
      </c>
      <c r="J55" s="13" t="s">
        <v>1</v>
      </c>
      <c r="K55" s="13" t="s">
        <v>3</v>
      </c>
      <c r="L55" s="13" t="s">
        <v>4</v>
      </c>
      <c r="N55" s="11"/>
      <c r="O55" s="11">
        <f>Tabla35101826364142444546474844[[#This Row],[COMISIONES]]*0.21</f>
        <v>0</v>
      </c>
      <c r="P55" s="11"/>
      <c r="Q55" s="11"/>
      <c r="R55" s="11"/>
      <c r="T55"/>
      <c r="U55" s="19">
        <f>Tabla6122028386162646566676866[[#This Row],[COMISIONES]]*0.21</f>
        <v>0</v>
      </c>
      <c r="V55"/>
      <c r="W55"/>
      <c r="X55"/>
      <c r="Z55" s="3">
        <v>7550.22</v>
      </c>
      <c r="AA55" s="21">
        <f>Tabla3568132129397172747576777877[[#This Row],[COMISIONES]]*0.21</f>
        <v>1585.5462</v>
      </c>
      <c r="AB55" s="3"/>
      <c r="AC55" s="1">
        <v>246.7</v>
      </c>
      <c r="AD55" s="21"/>
      <c r="AF55"/>
      <c r="AG55"/>
      <c r="AH55"/>
      <c r="AI55"/>
      <c r="AJ55"/>
      <c r="AK55"/>
      <c r="AL55"/>
      <c r="AM55"/>
      <c r="AN55"/>
      <c r="AO55"/>
    </row>
    <row r="56" spans="1:41" s="6" customFormat="1" x14ac:dyDescent="0.25">
      <c r="A56"/>
      <c r="B56" s="2"/>
      <c r="C56" s="2">
        <f>Tabla131624322122233526272822[[#This Row],[COMISIONES]]*0.21</f>
        <v>0</v>
      </c>
      <c r="D56" s="2">
        <f>Tabla131624322122233526272822[[#This Row],[COMISIONES]]*0.105</f>
        <v>0</v>
      </c>
      <c r="E56" s="2"/>
      <c r="F56"/>
      <c r="H56" s="1"/>
      <c r="I56" s="11">
        <f>Tabla39152331419192949596979899[[#This Row],[COMISIONES]]*0.21</f>
        <v>0</v>
      </c>
      <c r="J56" s="11"/>
      <c r="K56" s="11"/>
      <c r="L56" s="1"/>
      <c r="N56" s="11"/>
      <c r="O56" s="11">
        <f>Tabla35101826364142444546474844[[#This Row],[COMISIONES]]*0.21</f>
        <v>0</v>
      </c>
      <c r="P56" s="11"/>
      <c r="Q56" s="11"/>
      <c r="R56" s="11"/>
      <c r="T56"/>
      <c r="U56" s="19">
        <f>Tabla6122028386162646566676866[[#This Row],[COMISIONES]]*0.21</f>
        <v>0</v>
      </c>
      <c r="V56"/>
      <c r="W56"/>
      <c r="X56"/>
      <c r="Z56" s="3">
        <v>17078.82</v>
      </c>
      <c r="AA56" s="21">
        <v>2133.88</v>
      </c>
      <c r="AB56" s="21">
        <v>726.33</v>
      </c>
      <c r="AC56">
        <v>25865.99</v>
      </c>
      <c r="AD56" s="21"/>
      <c r="AF56"/>
      <c r="AG56"/>
      <c r="AH56"/>
      <c r="AI56"/>
      <c r="AJ56"/>
      <c r="AK56"/>
      <c r="AL56"/>
      <c r="AM56"/>
      <c r="AN56"/>
      <c r="AO56"/>
    </row>
    <row r="57" spans="1:41" s="6" customFormat="1" x14ac:dyDescent="0.25">
      <c r="A57"/>
      <c r="B57" s="2"/>
      <c r="C57" s="2">
        <f>Tabla131624322122233526272822[[#This Row],[COMISIONES]]*0.21</f>
        <v>0</v>
      </c>
      <c r="D57" s="2">
        <f>Tabla131624322122233526272822[[#This Row],[COMISIONES]]*0.105</f>
        <v>0</v>
      </c>
      <c r="E57" s="2"/>
      <c r="F57"/>
      <c r="H57" s="11"/>
      <c r="I57" s="11">
        <f>Tabla39152331419192949596979899[[#This Row],[COMISIONES]]*0.21</f>
        <v>0</v>
      </c>
      <c r="J57" s="11"/>
      <c r="K57" s="11"/>
      <c r="L57" s="21"/>
      <c r="N57" s="11"/>
      <c r="O57" s="11">
        <f>Tabla35101826364142444546474844[[#This Row],[COMISIONES]]*0.21</f>
        <v>0</v>
      </c>
      <c r="P57" s="11"/>
      <c r="Q57" s="11"/>
      <c r="R57" s="11"/>
      <c r="T57"/>
      <c r="U57" s="19">
        <f>Tabla6122028386162646566676866[[#This Row],[COMISIONES]]*0.21</f>
        <v>0</v>
      </c>
      <c r="V57"/>
      <c r="W57"/>
      <c r="X57"/>
      <c r="Z57" s="3">
        <v>1609.84</v>
      </c>
      <c r="AA57" s="21">
        <f>Tabla3568132129397172747576777877[[#This Row],[COMISIONES]]*0.21</f>
        <v>338.06639999999999</v>
      </c>
      <c r="AB57" s="21"/>
      <c r="AC57" s="21">
        <v>287.39999999999998</v>
      </c>
      <c r="AD57" s="21"/>
      <c r="AF57"/>
      <c r="AG57"/>
      <c r="AH57"/>
      <c r="AI57"/>
      <c r="AJ57"/>
      <c r="AK57"/>
      <c r="AL57"/>
      <c r="AM57"/>
      <c r="AN57"/>
      <c r="AO57"/>
    </row>
    <row r="58" spans="1:41" s="6" customFormat="1" x14ac:dyDescent="0.25">
      <c r="A58"/>
      <c r="B58" s="2"/>
      <c r="C58" s="2">
        <f>Tabla131624322122233526272822[[#This Row],[COMISIONES]]*0.21</f>
        <v>0</v>
      </c>
      <c r="D58" s="1">
        <f>Tabla131624322122233526272822[[#This Row],[COMISIONES]]*0.105</f>
        <v>0</v>
      </c>
      <c r="E58" s="2"/>
      <c r="F58"/>
      <c r="H58" s="11"/>
      <c r="I58" s="11">
        <f>Tabla39152331419192949596979899[[#This Row],[COMISIONES]]*0.21</f>
        <v>0</v>
      </c>
      <c r="J58" s="11"/>
      <c r="K58" s="11"/>
      <c r="L58" s="11"/>
      <c r="N58" s="11"/>
      <c r="O58" s="11">
        <f>Tabla35101826364142444546474844[[#This Row],[COMISIONES]]*0.21</f>
        <v>0</v>
      </c>
      <c r="P58" s="11"/>
      <c r="Q58" s="11"/>
      <c r="R58" s="11"/>
      <c r="T58"/>
      <c r="U58" s="19">
        <f>Tabla6122028386162646566676866[[#This Row],[COMISIONES]]*0.21</f>
        <v>0</v>
      </c>
      <c r="V58"/>
      <c r="W58"/>
      <c r="X58"/>
      <c r="Z58" s="3">
        <v>12006.92</v>
      </c>
      <c r="AA58" s="21">
        <f>Tabla3568132129397172747576777877[[#This Row],[COMISIONES]]*0.21</f>
        <v>2521.4531999999999</v>
      </c>
      <c r="AB58" s="21"/>
      <c r="AC58" s="21">
        <v>41.11</v>
      </c>
      <c r="AD58" s="21"/>
      <c r="AF58"/>
      <c r="AG58"/>
      <c r="AH58"/>
      <c r="AI58"/>
      <c r="AJ58"/>
      <c r="AK58"/>
      <c r="AL58"/>
      <c r="AM58"/>
      <c r="AN58"/>
      <c r="AO58"/>
    </row>
    <row r="59" spans="1:41" s="6" customFormat="1" x14ac:dyDescent="0.25">
      <c r="A59"/>
      <c r="B59" s="2"/>
      <c r="C59" s="2">
        <f>Tabla131624322122233526272822[[#This Row],[COMISIONES]]*0.21</f>
        <v>0</v>
      </c>
      <c r="D59" s="2">
        <f>Tabla131624322122233526272822[[#This Row],[COMISIONES]]*0.105</f>
        <v>0</v>
      </c>
      <c r="E59" s="2"/>
      <c r="F59"/>
      <c r="H59" s="11"/>
      <c r="I59" s="11">
        <f>Tabla39152331419192949596979899[[#This Row],[COMISIONES]]*0.21</f>
        <v>0</v>
      </c>
      <c r="J59" s="11"/>
      <c r="K59" s="11"/>
      <c r="L59" s="11"/>
      <c r="N59" s="11"/>
      <c r="O59" s="11">
        <f>Tabla35101826364142444546474844[[#This Row],[COMISIONES]]*0.21</f>
        <v>0</v>
      </c>
      <c r="P59" s="11"/>
      <c r="Q59" s="11"/>
      <c r="R59" s="11"/>
      <c r="T59"/>
      <c r="U59" s="19">
        <f>Tabla6122028386162646566676866[[#This Row],[COMISIONES]]*0.21</f>
        <v>0</v>
      </c>
      <c r="V59"/>
      <c r="W59"/>
      <c r="X59"/>
      <c r="Z59" s="3">
        <v>14621.96</v>
      </c>
      <c r="AA59" s="21">
        <f>Tabla3568132129397172747576777877[[#This Row],[COMISIONES]]*0.21</f>
        <v>3070.6115999999997</v>
      </c>
      <c r="AB59" s="21"/>
      <c r="AC59" s="21">
        <v>3700.19</v>
      </c>
      <c r="AD59" s="21"/>
      <c r="AF59"/>
      <c r="AG59"/>
      <c r="AH59"/>
      <c r="AI59"/>
      <c r="AJ59"/>
      <c r="AK59"/>
      <c r="AL59"/>
      <c r="AM59"/>
      <c r="AN59"/>
      <c r="AO59"/>
    </row>
    <row r="60" spans="1:41" s="6" customFormat="1" x14ac:dyDescent="0.25">
      <c r="A60"/>
      <c r="B60" s="2"/>
      <c r="C60" s="2">
        <f>Tabla131624322122233526272822[[#This Row],[COMISIONES]]*0.21</f>
        <v>0</v>
      </c>
      <c r="D60" s="2">
        <f>Tabla131624322122233526272822[[#This Row],[COMISIONES]]*0.105</f>
        <v>0</v>
      </c>
      <c r="E60" s="2"/>
      <c r="F60"/>
      <c r="H60" s="11"/>
      <c r="I60" s="11">
        <f>Tabla39152331419192949596979899[[#This Row],[COMISIONES]]*0.21</f>
        <v>0</v>
      </c>
      <c r="J60" s="11"/>
      <c r="K60" s="11"/>
      <c r="L60" s="11"/>
      <c r="N60" s="11"/>
      <c r="O60" s="11">
        <f>Tabla35101826364142444546474844[[#This Row],[COMISIONES]]*0.21</f>
        <v>0</v>
      </c>
      <c r="P60" s="11"/>
      <c r="Q60" s="11"/>
      <c r="R60" s="11"/>
      <c r="T60"/>
      <c r="U60" s="19">
        <f>Tabla6122028386162646566676866[[#This Row],[COMISIONES]]*0.21</f>
        <v>0</v>
      </c>
      <c r="V60"/>
      <c r="W60"/>
      <c r="X60"/>
      <c r="Z60" s="3">
        <v>48122.23</v>
      </c>
      <c r="AA60" s="21"/>
      <c r="AB60" s="21">
        <f>Tabla3568132129397172747576777877[[#This Row],[COMISIONES]]*0.105</f>
        <v>5052.8341500000006</v>
      </c>
      <c r="AC60" s="21">
        <v>76.59</v>
      </c>
      <c r="AD60" s="21"/>
      <c r="AF60"/>
      <c r="AG60"/>
      <c r="AH60"/>
      <c r="AI60"/>
      <c r="AJ60"/>
      <c r="AK60"/>
      <c r="AL60"/>
      <c r="AM60"/>
      <c r="AN60"/>
      <c r="AO60"/>
    </row>
    <row r="61" spans="1:41" s="6" customFormat="1" x14ac:dyDescent="0.25">
      <c r="A61"/>
      <c r="B61" s="4">
        <f>SUBTOTAL(109,Tabla131624322122233526272822[COMISIONES])</f>
        <v>57.37</v>
      </c>
      <c r="C61" s="4">
        <f>SUBTOTAL(109,Tabla131624322122233526272822[IVA 21])</f>
        <v>0</v>
      </c>
      <c r="D61" s="4">
        <f>SUBTOTAL(109,Tabla131624322122233526272822[IVA 10,5])</f>
        <v>6.0238499999999995</v>
      </c>
      <c r="E61" s="4">
        <f>SUBTOTAL(109,Tabla131624322122233526272822[Ret IIBB Caba])</f>
        <v>0</v>
      </c>
      <c r="F61" s="4">
        <f>SUBTOTAL(109,Tabla131624322122233526272822[PERC IVA])</f>
        <v>0</v>
      </c>
      <c r="H61" s="11"/>
      <c r="I61" s="11">
        <f>Tabla39152331419192949596979899[[#This Row],[COMISIONES]]*0.21</f>
        <v>0</v>
      </c>
      <c r="J61" s="11"/>
      <c r="K61" s="11"/>
      <c r="L61" s="11"/>
      <c r="N61" s="11"/>
      <c r="O61" s="11">
        <f>Tabla35101826364142444546474844[[#This Row],[COMISIONES]]*0.21</f>
        <v>0</v>
      </c>
      <c r="P61" s="11"/>
      <c r="Q61" s="11"/>
      <c r="R61" s="11"/>
      <c r="T61"/>
      <c r="U61" s="19">
        <f>Tabla6122028386162646566676866[[#This Row],[COMISIONES]]*0.21</f>
        <v>0</v>
      </c>
      <c r="V61"/>
      <c r="W61"/>
      <c r="X61"/>
      <c r="Z61" s="3">
        <v>1256</v>
      </c>
      <c r="AA61" s="21">
        <f>Tabla3568132129397172747576777877[[#This Row],[COMISIONES]]*0.21</f>
        <v>263.76</v>
      </c>
      <c r="AB61" s="21"/>
      <c r="AC61" s="21">
        <v>6892.83</v>
      </c>
      <c r="AD61" s="21"/>
      <c r="AF61"/>
      <c r="AG61"/>
      <c r="AH61"/>
      <c r="AI61"/>
      <c r="AJ61"/>
      <c r="AK61"/>
      <c r="AL61"/>
      <c r="AM61"/>
      <c r="AN61"/>
      <c r="AO61"/>
    </row>
    <row r="62" spans="1:41" s="6" customFormat="1" x14ac:dyDescent="0.25">
      <c r="A62"/>
      <c r="B62"/>
      <c r="C62"/>
      <c r="D62"/>
      <c r="E62"/>
      <c r="F62"/>
      <c r="H62" s="11"/>
      <c r="I62" s="11">
        <f>Tabla39152331419192949596979899[[#This Row],[COMISIONES]]*0.21</f>
        <v>0</v>
      </c>
      <c r="J62" s="11"/>
      <c r="K62" s="11"/>
      <c r="L62" s="11"/>
      <c r="N62" s="11"/>
      <c r="O62" s="11">
        <f>Tabla35101826364142444546474844[[#This Row],[COMISIONES]]*0.21</f>
        <v>0</v>
      </c>
      <c r="P62" s="11"/>
      <c r="Q62" s="11"/>
      <c r="R62" s="11"/>
      <c r="T62" s="4">
        <f>SUBTOTAL(109,Tabla6122028386162646566676866[COMISIONES])</f>
        <v>145723.02000000002</v>
      </c>
      <c r="U62" s="4">
        <f>SUBTOTAL(109,Tabla6122028386162646566676866[IVA 21])</f>
        <v>26067.3</v>
      </c>
      <c r="V62" s="4">
        <f>SUBTOTAL(109,Tabla6122028386162646566676866[IVA 10,5])</f>
        <v>2267.2671</v>
      </c>
      <c r="W62" s="4">
        <f>SUBTOTAL(109,Tabla6122028386162646566676866[Ret IIBB Caba])</f>
        <v>7226.58</v>
      </c>
      <c r="X62" s="4">
        <f>SUBTOTAL(109,Tabla6122028386162646566676866[PERC IVA])</f>
        <v>3921.49</v>
      </c>
      <c r="Z62" s="3">
        <v>4568.82</v>
      </c>
      <c r="AA62" s="21">
        <f>Tabla3568132129397172747576777877[[#This Row],[COMISIONES]]*0.21</f>
        <v>959.45219999999995</v>
      </c>
      <c r="AB62" s="21"/>
      <c r="AC62" s="21">
        <v>17697.79</v>
      </c>
      <c r="AD62" s="21"/>
      <c r="AF62"/>
      <c r="AG62"/>
      <c r="AH62"/>
      <c r="AI62"/>
      <c r="AJ62"/>
      <c r="AK62"/>
      <c r="AL62"/>
      <c r="AM62"/>
      <c r="AN62"/>
      <c r="AO62"/>
    </row>
    <row r="63" spans="1:41" s="6" customFormat="1" x14ac:dyDescent="0.25">
      <c r="A63"/>
      <c r="B63"/>
      <c r="C63"/>
      <c r="D63"/>
      <c r="E63"/>
      <c r="F63"/>
      <c r="H63" s="11"/>
      <c r="I63" s="11">
        <f>Tabla39152331419192949596979899[[#This Row],[COMISIONES]]*0.21</f>
        <v>0</v>
      </c>
      <c r="J63" s="11"/>
      <c r="K63" s="11"/>
      <c r="L63" s="11"/>
      <c r="N63" s="11"/>
      <c r="O63" s="11">
        <f>Tabla35101826364142444546474844[[#This Row],[COMISIONES]]*0.21</f>
        <v>0</v>
      </c>
      <c r="P63" s="11"/>
      <c r="Q63" s="11"/>
      <c r="R63" s="11"/>
      <c r="T63"/>
      <c r="U63"/>
      <c r="V63"/>
      <c r="W63"/>
      <c r="X63"/>
      <c r="Z63" s="3">
        <v>30148.959999999999</v>
      </c>
      <c r="AA63" s="21">
        <f>Tabla3568132129397172747576777877[[#This Row],[COMISIONES]]*0.21</f>
        <v>6331.2815999999993</v>
      </c>
      <c r="AB63" s="21"/>
      <c r="AC63" s="21">
        <v>196.64</v>
      </c>
      <c r="AD63" s="21"/>
      <c r="AF63"/>
      <c r="AG63"/>
      <c r="AH63"/>
      <c r="AI63"/>
      <c r="AJ63"/>
      <c r="AK63"/>
      <c r="AL63"/>
      <c r="AM63"/>
      <c r="AN63"/>
      <c r="AO63"/>
    </row>
    <row r="64" spans="1:41" s="6" customFormat="1" ht="18.75" x14ac:dyDescent="0.3">
      <c r="A64"/>
      <c r="B64"/>
      <c r="C64"/>
      <c r="D64"/>
      <c r="E64"/>
      <c r="F64"/>
      <c r="H64" s="11"/>
      <c r="I64" s="11">
        <f>Tabla39152331419192949596979899[[#This Row],[COMISIONES]]*0.21</f>
        <v>0</v>
      </c>
      <c r="J64" s="11"/>
      <c r="K64" s="11"/>
      <c r="L64" s="11"/>
      <c r="N64" s="11"/>
      <c r="O64" s="11">
        <f>Tabla35101826364142444546474844[[#This Row],[COMISIONES]]*0.21</f>
        <v>0</v>
      </c>
      <c r="P64" s="11"/>
      <c r="Q64" s="11"/>
      <c r="R64" s="11"/>
      <c r="T64" s="52" t="s">
        <v>13</v>
      </c>
      <c r="U64" s="52"/>
      <c r="V64" s="52"/>
      <c r="W64" s="52"/>
      <c r="X64" s="52"/>
      <c r="Z64" s="3">
        <v>30641.22</v>
      </c>
      <c r="AA64" s="21"/>
      <c r="AB64" s="1">
        <v>2034.98</v>
      </c>
      <c r="AC64" s="21">
        <v>208.18</v>
      </c>
      <c r="AD64"/>
      <c r="AF64"/>
      <c r="AG64"/>
      <c r="AH64"/>
      <c r="AI64"/>
      <c r="AJ64"/>
      <c r="AK64"/>
      <c r="AL64"/>
      <c r="AM64"/>
      <c r="AN64"/>
      <c r="AO64"/>
    </row>
    <row r="65" spans="1:41" s="6" customFormat="1" x14ac:dyDescent="0.25">
      <c r="A65"/>
      <c r="B65"/>
      <c r="C65"/>
      <c r="D65"/>
      <c r="E65"/>
      <c r="F65"/>
      <c r="H65" s="11"/>
      <c r="I65" s="11">
        <f>Tabla39152331419192949596979899[[#This Row],[COMISIONES]]*0.21</f>
        <v>0</v>
      </c>
      <c r="J65" s="11"/>
      <c r="K65" s="11"/>
      <c r="L65" s="11"/>
      <c r="N65" s="11"/>
      <c r="O65" s="11">
        <f>Tabla35101826364142444546474844[[#This Row],[COMISIONES]]*0.21</f>
        <v>0</v>
      </c>
      <c r="P65" s="11"/>
      <c r="Q65" s="11"/>
      <c r="R65" s="11"/>
      <c r="T65" s="12" t="s">
        <v>2</v>
      </c>
      <c r="U65" s="13" t="s">
        <v>0</v>
      </c>
      <c r="V65" s="13" t="s">
        <v>1</v>
      </c>
      <c r="W65" s="13" t="s">
        <v>3</v>
      </c>
      <c r="X65" s="13" t="s">
        <v>4</v>
      </c>
      <c r="Z65" s="3">
        <v>124</v>
      </c>
      <c r="AA65" s="21">
        <f>Tabla3568132129397172747576777877[[#This Row],[COMISIONES]]*0.21</f>
        <v>26.04</v>
      </c>
      <c r="AB65" s="21"/>
      <c r="AC65" s="21">
        <v>18736.53</v>
      </c>
      <c r="AD65"/>
      <c r="AF65"/>
      <c r="AG65"/>
      <c r="AH65"/>
      <c r="AI65"/>
      <c r="AJ65"/>
      <c r="AK65"/>
      <c r="AL65"/>
      <c r="AM65"/>
      <c r="AN65"/>
      <c r="AO65"/>
    </row>
    <row r="66" spans="1:41" s="6" customFormat="1" x14ac:dyDescent="0.25">
      <c r="A66"/>
      <c r="B66"/>
      <c r="C66"/>
      <c r="D66"/>
      <c r="E66"/>
      <c r="F66"/>
      <c r="H66" s="11"/>
      <c r="I66" s="11">
        <f>Tabla39152331419192949596979899[[#This Row],[COMISIONES]]*0.21</f>
        <v>0</v>
      </c>
      <c r="J66" s="11"/>
      <c r="K66" s="11"/>
      <c r="L66" s="11"/>
      <c r="N66" s="11"/>
      <c r="O66" s="11">
        <f>Tabla35101826364142444546474844[[#This Row],[COMISIONES]]*0.21</f>
        <v>0</v>
      </c>
      <c r="P66" s="11"/>
      <c r="Q66" s="11"/>
      <c r="R66" s="11"/>
      <c r="T66" s="11"/>
      <c r="U66" s="11">
        <f>Tabla61220283342102030506070809010[[#This Row],[COMISIONES]]*0.21</f>
        <v>0</v>
      </c>
      <c r="V66" s="11"/>
      <c r="W66" s="1"/>
      <c r="X66" s="11"/>
      <c r="Z66" s="3">
        <v>3373.5</v>
      </c>
      <c r="AA66" s="21">
        <f>Tabla3568132129397172747576777877[[#This Row],[COMISIONES]]*0.21</f>
        <v>708.43499999999995</v>
      </c>
      <c r="AB66" s="21"/>
      <c r="AC66" s="21">
        <v>39925.15</v>
      </c>
      <c r="AD66" s="21"/>
      <c r="AF66"/>
      <c r="AG66"/>
      <c r="AH66"/>
      <c r="AI66"/>
      <c r="AJ66"/>
      <c r="AK66"/>
      <c r="AL66"/>
      <c r="AM66"/>
      <c r="AN66"/>
      <c r="AO66"/>
    </row>
    <row r="67" spans="1:41" s="6" customFormat="1" x14ac:dyDescent="0.25">
      <c r="A67"/>
      <c r="B67"/>
      <c r="C67"/>
      <c r="D67"/>
      <c r="E67"/>
      <c r="F67"/>
      <c r="H67" s="11"/>
      <c r="I67" s="11">
        <f>Tabla39152331419192949596979899[[#This Row],[COMISIONES]]*0.21</f>
        <v>0</v>
      </c>
      <c r="J67" s="11"/>
      <c r="K67" s="11"/>
      <c r="L67" s="11"/>
      <c r="N67" s="18"/>
      <c r="O67" s="11">
        <f>Tabla35101826364142444546474844[[#This Row],[COMISIONES]]*0.21</f>
        <v>0</v>
      </c>
      <c r="P67" s="18"/>
      <c r="Q67" s="18"/>
      <c r="R67" s="18"/>
      <c r="T67" s="11"/>
      <c r="U67" s="11">
        <f>Tabla61220283342102030506070809010[[#This Row],[COMISIONES]]*0.21</f>
        <v>0</v>
      </c>
      <c r="V67" s="11"/>
      <c r="W67" s="11"/>
      <c r="X67" s="11"/>
      <c r="Z67" s="3">
        <v>18837.7</v>
      </c>
      <c r="AA67" s="21">
        <f>Tabla3568132129397172747576777877[[#This Row],[COMISIONES]]*0.21</f>
        <v>3955.9169999999999</v>
      </c>
      <c r="AB67" s="21"/>
      <c r="AC67" s="21">
        <v>443.61</v>
      </c>
      <c r="AD67" s="21"/>
      <c r="AF67"/>
      <c r="AG67"/>
      <c r="AH67"/>
      <c r="AI67"/>
      <c r="AJ67"/>
      <c r="AK67"/>
      <c r="AL67"/>
      <c r="AM67"/>
      <c r="AN67"/>
      <c r="AO67"/>
    </row>
    <row r="68" spans="1:41" s="6" customFormat="1" x14ac:dyDescent="0.25">
      <c r="A68"/>
      <c r="B68"/>
      <c r="C68"/>
      <c r="D68"/>
      <c r="E68"/>
      <c r="F68"/>
      <c r="H68" s="11"/>
      <c r="I68" s="11">
        <f>Tabla39152331419192949596979899[[#This Row],[COMISIONES]]*0.21</f>
        <v>0</v>
      </c>
      <c r="J68" s="11"/>
      <c r="K68" s="11"/>
      <c r="L68" s="11"/>
      <c r="N68" s="18"/>
      <c r="O68" s="11">
        <f>Tabla35101826364142444546474844[[#This Row],[COMISIONES]]*0.21</f>
        <v>0</v>
      </c>
      <c r="P68" s="18"/>
      <c r="Q68" s="18"/>
      <c r="R68" s="18"/>
      <c r="T68" s="11"/>
      <c r="U68" s="19">
        <f>Tabla61220283342102030506070809010[[#This Row],[COMISIONES]]*0.21</f>
        <v>0</v>
      </c>
      <c r="V68"/>
      <c r="W68" s="1"/>
      <c r="X68"/>
      <c r="Z68" s="3">
        <v>1580.43</v>
      </c>
      <c r="AA68" s="21">
        <f>Tabla3568132129397172747576777877[[#This Row],[COMISIONES]]*0.21</f>
        <v>331.89030000000002</v>
      </c>
      <c r="AB68" s="21"/>
      <c r="AC68" s="21">
        <v>33.47</v>
      </c>
      <c r="AD68" s="21"/>
      <c r="AF68"/>
      <c r="AG68"/>
      <c r="AH68"/>
      <c r="AI68"/>
      <c r="AJ68"/>
      <c r="AK68"/>
      <c r="AL68"/>
      <c r="AM68"/>
      <c r="AN68"/>
      <c r="AO68"/>
    </row>
    <row r="69" spans="1:41" s="6" customFormat="1" x14ac:dyDescent="0.25">
      <c r="A69"/>
      <c r="B69"/>
      <c r="C69"/>
      <c r="D69"/>
      <c r="E69"/>
      <c r="F69"/>
      <c r="H69" s="11"/>
      <c r="I69" s="11">
        <f>Tabla39152331419192949596979899[[#This Row],[COMISIONES]]*0.21</f>
        <v>0</v>
      </c>
      <c r="J69" s="11"/>
      <c r="K69" s="11"/>
      <c r="L69" s="11"/>
      <c r="N69" s="18"/>
      <c r="O69" s="11">
        <f>Tabla35101826364142444546474844[[#This Row],[COMISIONES]]*0.21</f>
        <v>0</v>
      </c>
      <c r="P69" s="18"/>
      <c r="Q69" s="18"/>
      <c r="R69" s="18"/>
      <c r="T69" s="11"/>
      <c r="U69" s="19">
        <f>Tabla61220283342102030506070809010[[#This Row],[COMISIONES]]*0.21</f>
        <v>0</v>
      </c>
      <c r="V69"/>
      <c r="W69"/>
      <c r="X69"/>
      <c r="Z69" s="3">
        <v>3437.95</v>
      </c>
      <c r="AA69" s="21">
        <f>Tabla3568132129397172747576777877[[#This Row],[COMISIONES]]*0.21</f>
        <v>721.96949999999993</v>
      </c>
      <c r="AB69" s="21"/>
      <c r="AC69" s="21">
        <v>3012.56</v>
      </c>
      <c r="AD69" s="21"/>
      <c r="AF69"/>
      <c r="AG69"/>
      <c r="AH69"/>
      <c r="AI69"/>
      <c r="AJ69"/>
      <c r="AK69"/>
      <c r="AL69"/>
      <c r="AM69"/>
      <c r="AN69"/>
      <c r="AO69"/>
    </row>
    <row r="70" spans="1:41" s="6" customFormat="1" x14ac:dyDescent="0.25">
      <c r="A70"/>
      <c r="B70"/>
      <c r="C70"/>
      <c r="D70"/>
      <c r="E70"/>
      <c r="F70"/>
      <c r="H70" s="11"/>
      <c r="I70" s="11">
        <f>Tabla39152331419192949596979899[[#This Row],[COMISIONES]]*0.21</f>
        <v>0</v>
      </c>
      <c r="J70" s="11"/>
      <c r="K70" s="11"/>
      <c r="L70" s="11"/>
      <c r="N70" s="18"/>
      <c r="O70" s="11">
        <f>Tabla35101826364142444546474844[[#This Row],[COMISIONES]]*0.21</f>
        <v>0</v>
      </c>
      <c r="P70" s="18"/>
      <c r="Q70" s="18"/>
      <c r="R70" s="18"/>
      <c r="T70" s="11"/>
      <c r="U70" s="19">
        <f>Tabla61220283342102030506070809010[[#This Row],[COMISIONES]]*0.21</f>
        <v>0</v>
      </c>
      <c r="V70"/>
      <c r="W70"/>
      <c r="X70"/>
      <c r="Z70" s="3">
        <v>6146.9</v>
      </c>
      <c r="AA70" s="21">
        <f>Tabla3568132129397172747576777877[[#This Row],[COMISIONES]]*0.21</f>
        <v>1290.8489999999999</v>
      </c>
      <c r="AB70" s="21"/>
      <c r="AC70" s="21">
        <v>195.18</v>
      </c>
      <c r="AD70" s="21"/>
      <c r="AF70"/>
      <c r="AG70"/>
      <c r="AH70"/>
      <c r="AI70"/>
      <c r="AJ70"/>
      <c r="AK70"/>
      <c r="AL70"/>
      <c r="AM70"/>
      <c r="AN70"/>
      <c r="AO70"/>
    </row>
    <row r="71" spans="1:41" s="6" customFormat="1" x14ac:dyDescent="0.25">
      <c r="A71"/>
      <c r="B71"/>
      <c r="C71"/>
      <c r="D71"/>
      <c r="E71"/>
      <c r="F71"/>
      <c r="H71" s="11"/>
      <c r="I71" s="11">
        <f>Tabla39152331419192949596979899[[#This Row],[COMISIONES]]*0.21</f>
        <v>0</v>
      </c>
      <c r="J71" s="11"/>
      <c r="K71" s="11"/>
      <c r="L71" s="11"/>
      <c r="N71" s="18"/>
      <c r="O71" s="11">
        <f>Tabla35101826364142444546474844[[#This Row],[COMISIONES]]*0.21</f>
        <v>0</v>
      </c>
      <c r="P71" s="18"/>
      <c r="Q71" s="18"/>
      <c r="R71" s="18"/>
      <c r="T71" s="11"/>
      <c r="U71" s="19">
        <f>Tabla61220283342102030506070809010[[#This Row],[COMISIONES]]*0.21</f>
        <v>0</v>
      </c>
      <c r="V71"/>
      <c r="W71"/>
      <c r="X71"/>
      <c r="Z71" s="3">
        <v>716.32</v>
      </c>
      <c r="AA71" s="21">
        <f>Tabla3568132129397172747576777877[[#This Row],[COMISIONES]]*0.21</f>
        <v>150.4272</v>
      </c>
      <c r="AB71" s="21"/>
      <c r="AC71" s="21">
        <v>17566.62</v>
      </c>
      <c r="AD71" s="21"/>
      <c r="AF71"/>
      <c r="AG71"/>
      <c r="AH71"/>
      <c r="AI71"/>
      <c r="AJ71"/>
      <c r="AK71"/>
      <c r="AL71"/>
      <c r="AM71"/>
      <c r="AN71"/>
      <c r="AO71"/>
    </row>
    <row r="72" spans="1:41" s="6" customFormat="1" x14ac:dyDescent="0.25">
      <c r="A72"/>
      <c r="B72"/>
      <c r="C72"/>
      <c r="D72"/>
      <c r="E72"/>
      <c r="F72"/>
      <c r="H72" s="11"/>
      <c r="I72" s="11">
        <f>Tabla39152331419192949596979899[[#This Row],[COMISIONES]]*0.21</f>
        <v>0</v>
      </c>
      <c r="J72" s="11"/>
      <c r="K72" s="11"/>
      <c r="L72" s="11"/>
      <c r="N72" s="18"/>
      <c r="O72" s="11">
        <f>Tabla35101826364142444546474844[[#This Row],[COMISIONES]]*0.21</f>
        <v>0</v>
      </c>
      <c r="P72" s="18"/>
      <c r="Q72" s="18"/>
      <c r="R72" s="18"/>
      <c r="T72" s="11"/>
      <c r="U72" s="19">
        <f>Tabla61220283342102030506070809010[[#This Row],[COMISIONES]]*0.21</f>
        <v>0</v>
      </c>
      <c r="V72"/>
      <c r="W72"/>
      <c r="X72"/>
      <c r="Z72" s="3">
        <v>2077.6799999999998</v>
      </c>
      <c r="AA72" s="21">
        <f>Tabla3568132129397172747576777877[[#This Row],[COMISIONES]]*0.21</f>
        <v>436.31279999999992</v>
      </c>
      <c r="AB72" s="21"/>
      <c r="AC72" s="21">
        <v>494.21</v>
      </c>
      <c r="AD72" s="21"/>
      <c r="AF72"/>
      <c r="AG72"/>
      <c r="AH72"/>
      <c r="AI72"/>
      <c r="AJ72"/>
      <c r="AK72"/>
      <c r="AL72"/>
      <c r="AM72"/>
      <c r="AN72"/>
      <c r="AO72"/>
    </row>
    <row r="73" spans="1:41" s="6" customFormat="1" x14ac:dyDescent="0.25">
      <c r="A73"/>
      <c r="B73"/>
      <c r="C73"/>
      <c r="D73"/>
      <c r="E73"/>
      <c r="F73"/>
      <c r="H73" s="11"/>
      <c r="I73" s="11">
        <f>Tabla39152331419192949596979899[[#This Row],[COMISIONES]]*0.21</f>
        <v>0</v>
      </c>
      <c r="J73" s="11"/>
      <c r="K73" s="11"/>
      <c r="L73" s="11"/>
      <c r="N73" s="18"/>
      <c r="O73" s="11">
        <f>Tabla35101826364142444546474844[[#This Row],[COMISIONES]]*0.21</f>
        <v>0</v>
      </c>
      <c r="P73" s="18"/>
      <c r="Q73" s="18"/>
      <c r="R73" s="18"/>
      <c r="T73" s="11"/>
      <c r="U73" s="19">
        <f>Tabla61220283342102030506070809010[[#This Row],[COMISIONES]]*0.21</f>
        <v>0</v>
      </c>
      <c r="V73"/>
      <c r="W73"/>
      <c r="X73"/>
      <c r="Z73" s="3">
        <v>3945.9</v>
      </c>
      <c r="AA73" s="21">
        <f>Tabla3568132129397172747576777877[[#This Row],[COMISIONES]]*0.21</f>
        <v>828.63900000000001</v>
      </c>
      <c r="AB73" s="1"/>
      <c r="AC73" s="1">
        <v>41778.480000000003</v>
      </c>
      <c r="AD73"/>
      <c r="AF73"/>
      <c r="AG73"/>
      <c r="AH73"/>
      <c r="AI73"/>
      <c r="AJ73"/>
      <c r="AK73"/>
      <c r="AL73"/>
      <c r="AM73"/>
      <c r="AN73"/>
      <c r="AO73"/>
    </row>
    <row r="74" spans="1:41" s="6" customFormat="1" x14ac:dyDescent="0.25">
      <c r="A74"/>
      <c r="B74"/>
      <c r="C74"/>
      <c r="D74"/>
      <c r="E74"/>
      <c r="F74"/>
      <c r="H74" s="11"/>
      <c r="I74" s="11">
        <f>Tabla39152331419192949596979899[[#This Row],[COMISIONES]]*0.21</f>
        <v>0</v>
      </c>
      <c r="J74" s="11"/>
      <c r="K74" s="11"/>
      <c r="L74" s="11"/>
      <c r="N74" s="18"/>
      <c r="O74" s="11">
        <f>Tabla35101826364142444546474844[[#This Row],[COMISIONES]]*0.21</f>
        <v>0</v>
      </c>
      <c r="P74" s="18"/>
      <c r="Q74" s="18"/>
      <c r="R74" s="18"/>
      <c r="T74" s="11"/>
      <c r="U74" s="19">
        <f>Tabla61220283342102030506070809010[[#This Row],[COMISIONES]]*0.21</f>
        <v>0</v>
      </c>
      <c r="V74"/>
      <c r="W74"/>
      <c r="X74"/>
      <c r="Z74" s="3">
        <v>25834.12</v>
      </c>
      <c r="AA74" s="21">
        <f>Tabla3568132129397172747576777877[[#This Row],[COMISIONES]]*0.21</f>
        <v>5425.1651999999995</v>
      </c>
      <c r="AB74" s="19"/>
      <c r="AC74">
        <v>102.63</v>
      </c>
      <c r="AD74"/>
      <c r="AF74"/>
      <c r="AG74"/>
      <c r="AH74"/>
      <c r="AI74"/>
      <c r="AJ74"/>
      <c r="AK74"/>
      <c r="AL74"/>
      <c r="AM74"/>
      <c r="AN74"/>
      <c r="AO74"/>
    </row>
    <row r="75" spans="1:41" s="6" customFormat="1" x14ac:dyDescent="0.25">
      <c r="A75"/>
      <c r="B75"/>
      <c r="C75"/>
      <c r="D75"/>
      <c r="E75"/>
      <c r="F75"/>
      <c r="H75" s="11"/>
      <c r="I75" s="11">
        <f>Tabla39152331419192949596979899[[#This Row],[COMISIONES]]*0.21</f>
        <v>0</v>
      </c>
      <c r="J75" s="11"/>
      <c r="K75" s="11"/>
      <c r="L75" s="11"/>
      <c r="N75" s="18"/>
      <c r="O75" s="11">
        <f>Tabla35101826364142444546474844[[#This Row],[COMISIONES]]*0.21</f>
        <v>0</v>
      </c>
      <c r="P75" s="18"/>
      <c r="Q75" s="18"/>
      <c r="R75" s="18"/>
      <c r="T75" s="11"/>
      <c r="U75" s="19">
        <f>Tabla61220283342102030506070809010[[#This Row],[COMISIONES]]*0.21</f>
        <v>0</v>
      </c>
      <c r="V75"/>
      <c r="W75"/>
      <c r="X75"/>
      <c r="Z75" s="3">
        <v>6968.28</v>
      </c>
      <c r="AA75" s="21"/>
      <c r="AB75" s="1">
        <f>Tabla3568132129397172747576777877[[#This Row],[COMISIONES]]*0.105</f>
        <v>731.6694</v>
      </c>
      <c r="AC75" s="21">
        <v>9236.64</v>
      </c>
      <c r="AD75"/>
      <c r="AF75"/>
      <c r="AG75"/>
      <c r="AH75"/>
      <c r="AI75"/>
      <c r="AJ75"/>
      <c r="AK75"/>
      <c r="AL75"/>
      <c r="AM75"/>
      <c r="AN75"/>
      <c r="AO75"/>
    </row>
    <row r="76" spans="1:41" s="6" customFormat="1" x14ac:dyDescent="0.25">
      <c r="A76"/>
      <c r="B76"/>
      <c r="C76"/>
      <c r="D76"/>
      <c r="E76"/>
      <c r="F76"/>
      <c r="H76" s="11"/>
      <c r="I76" s="11">
        <f>Tabla39152331419192949596979899[[#This Row],[COMISIONES]]*0.21</f>
        <v>0</v>
      </c>
      <c r="J76" s="11"/>
      <c r="K76" s="11"/>
      <c r="L76" s="11"/>
      <c r="N76" s="18"/>
      <c r="O76" s="11">
        <f>Tabla35101826364142444546474844[[#This Row],[COMISIONES]]*0.21</f>
        <v>0</v>
      </c>
      <c r="P76" s="18"/>
      <c r="Q76" s="18"/>
      <c r="R76" s="18"/>
      <c r="T76"/>
      <c r="U76" s="19">
        <f>Tabla61220283342102030506070809010[[#This Row],[COMISIONES]]*0.21</f>
        <v>0</v>
      </c>
      <c r="V76"/>
      <c r="W76"/>
      <c r="X76"/>
      <c r="Z76" s="3">
        <v>1690.44</v>
      </c>
      <c r="AA76" s="21">
        <f>Tabla3568132129397172747576777877[[#This Row],[COMISIONES]]*0.21</f>
        <v>354.99239999999998</v>
      </c>
      <c r="AB76" s="1"/>
      <c r="AC76" s="21">
        <v>6.46</v>
      </c>
      <c r="AD76"/>
      <c r="AF76"/>
      <c r="AG76"/>
      <c r="AH76"/>
      <c r="AI76"/>
      <c r="AJ76"/>
      <c r="AK76"/>
      <c r="AL76"/>
      <c r="AM76"/>
      <c r="AN76"/>
      <c r="AO76"/>
    </row>
    <row r="77" spans="1:41" s="6" customFormat="1" x14ac:dyDescent="0.25">
      <c r="A77"/>
      <c r="B77"/>
      <c r="C77"/>
      <c r="D77"/>
      <c r="E77"/>
      <c r="F77"/>
      <c r="H77" s="11"/>
      <c r="I77" s="11">
        <f>Tabla39152331419192949596979899[[#This Row],[COMISIONES]]*0.21</f>
        <v>0</v>
      </c>
      <c r="J77" s="11"/>
      <c r="K77" s="11"/>
      <c r="L77" s="11"/>
      <c r="N77" s="18"/>
      <c r="O77" s="11">
        <f>Tabla35101826364142444546474844[[#This Row],[COMISIONES]]*0.21</f>
        <v>0</v>
      </c>
      <c r="P77" s="18"/>
      <c r="Q77" s="18"/>
      <c r="R77" s="18"/>
      <c r="T77"/>
      <c r="U77" s="19">
        <f>Tabla61220283342102030506070809010[[#This Row],[COMISIONES]]*0.21</f>
        <v>0</v>
      </c>
      <c r="V77"/>
      <c r="W77"/>
      <c r="X77"/>
      <c r="Z77" s="3">
        <v>3163.25</v>
      </c>
      <c r="AA77" s="21">
        <f>Tabla3568132129397172747576777877[[#This Row],[COMISIONES]]*0.21</f>
        <v>664.28250000000003</v>
      </c>
      <c r="AB77" s="1"/>
      <c r="AC77" s="21">
        <v>581.57000000000005</v>
      </c>
      <c r="AD77"/>
      <c r="AF77"/>
      <c r="AG77"/>
      <c r="AH77"/>
      <c r="AI77"/>
      <c r="AJ77"/>
      <c r="AK77"/>
      <c r="AL77"/>
      <c r="AM77"/>
      <c r="AN77"/>
      <c r="AO77"/>
    </row>
    <row r="78" spans="1:41" s="6" customFormat="1" x14ac:dyDescent="0.25">
      <c r="A78"/>
      <c r="B78"/>
      <c r="C78"/>
      <c r="D78"/>
      <c r="E78"/>
      <c r="F78"/>
      <c r="H78" s="11"/>
      <c r="I78" s="11">
        <f>Tabla39152331419192949596979899[[#This Row],[COMISIONES]]*0.21</f>
        <v>0</v>
      </c>
      <c r="J78" s="11"/>
      <c r="K78" s="11"/>
      <c r="L78" s="11"/>
      <c r="N78" s="18"/>
      <c r="O78" s="11">
        <f>Tabla35101826364142444546474844[[#This Row],[COMISIONES]]*0.21</f>
        <v>0</v>
      </c>
      <c r="P78" s="18"/>
      <c r="Q78" s="18"/>
      <c r="R78" s="18"/>
      <c r="T78"/>
      <c r="U78" s="19">
        <f>Tabla61220283342102030506070809010[[#This Row],[COMISIONES]]*0.21</f>
        <v>0</v>
      </c>
      <c r="V78"/>
      <c r="W78"/>
      <c r="X78"/>
      <c r="Z78" s="3">
        <v>17945.3</v>
      </c>
      <c r="AA78" s="21">
        <f>Tabla3568132129397172747576777877[[#This Row],[COMISIONES]]*0.21</f>
        <v>3768.5129999999999</v>
      </c>
      <c r="AB78" s="1"/>
      <c r="AC78" s="21">
        <v>152.08000000000001</v>
      </c>
      <c r="AD78"/>
      <c r="AF78"/>
      <c r="AG78"/>
      <c r="AH78"/>
      <c r="AI78"/>
      <c r="AJ78"/>
      <c r="AK78"/>
      <c r="AL78"/>
      <c r="AM78"/>
      <c r="AN78"/>
      <c r="AO78"/>
    </row>
    <row r="79" spans="1:41" s="6" customFormat="1" x14ac:dyDescent="0.25">
      <c r="A79"/>
      <c r="B79"/>
      <c r="C79"/>
      <c r="D79"/>
      <c r="E79"/>
      <c r="F79"/>
      <c r="H79" s="11"/>
      <c r="I79" s="11">
        <f>Tabla39152331419192949596979899[[#This Row],[COMISIONES]]*0.21</f>
        <v>0</v>
      </c>
      <c r="J79" s="11"/>
      <c r="K79" s="11"/>
      <c r="L79" s="11"/>
      <c r="N79" s="18"/>
      <c r="O79" s="11">
        <f>Tabla35101826364142444546474844[[#This Row],[COMISIONES]]*0.21</f>
        <v>0</v>
      </c>
      <c r="P79" s="18"/>
      <c r="Q79" s="18"/>
      <c r="R79" s="18"/>
      <c r="T79"/>
      <c r="U79" s="19">
        <f>Tabla61220283342102030506070809010[[#This Row],[COMISIONES]]*0.21</f>
        <v>0</v>
      </c>
      <c r="V79"/>
      <c r="W79"/>
      <c r="X79"/>
      <c r="Z79" s="3">
        <v>22834.34</v>
      </c>
      <c r="AA79" s="21"/>
      <c r="AB79" s="21">
        <f>Tabla3568132129397172747576777877[[#This Row],[COMISIONES]]*0.105</f>
        <v>2397.6057000000001</v>
      </c>
      <c r="AC79" s="21">
        <v>13687.4</v>
      </c>
      <c r="AD79"/>
      <c r="AF79"/>
      <c r="AG79"/>
      <c r="AH79"/>
      <c r="AI79"/>
      <c r="AJ79"/>
      <c r="AK79"/>
      <c r="AL79"/>
      <c r="AM79"/>
      <c r="AN79"/>
      <c r="AO79"/>
    </row>
    <row r="80" spans="1:41" s="6" customFormat="1" x14ac:dyDescent="0.25">
      <c r="A80"/>
      <c r="B80"/>
      <c r="C80"/>
      <c r="D80"/>
      <c r="E80"/>
      <c r="F80"/>
      <c r="H80" s="11"/>
      <c r="I80" s="11">
        <f>Tabla39152331419192949596979899[[#This Row],[COMISIONES]]*0.21</f>
        <v>0</v>
      </c>
      <c r="J80" s="11"/>
      <c r="K80" s="11"/>
      <c r="L80" s="11"/>
      <c r="N80" s="18"/>
      <c r="O80" s="11">
        <f>Tabla35101826364142444546474844[[#This Row],[COMISIONES]]*0.21</f>
        <v>0</v>
      </c>
      <c r="P80" s="18"/>
      <c r="Q80" s="18"/>
      <c r="R80" s="18"/>
      <c r="T80"/>
      <c r="U80" s="19">
        <f>Tabla61220283342102030506070809010[[#This Row],[COMISIONES]]*0.21</f>
        <v>0</v>
      </c>
      <c r="V80"/>
      <c r="W80"/>
      <c r="X80"/>
      <c r="Z80" s="3">
        <v>1578.28</v>
      </c>
      <c r="AA80" s="21">
        <f>Tabla3568132129397172747576777877[[#This Row],[COMISIONES]]*0.21</f>
        <v>331.43879999999996</v>
      </c>
      <c r="AB80" s="21"/>
      <c r="AC80" s="21">
        <v>15468.22</v>
      </c>
      <c r="AD80"/>
      <c r="AF80"/>
      <c r="AG80"/>
      <c r="AH80"/>
      <c r="AI80"/>
      <c r="AJ80"/>
      <c r="AK80"/>
      <c r="AL80"/>
      <c r="AM80"/>
      <c r="AN80"/>
      <c r="AO80"/>
    </row>
    <row r="81" spans="1:41" s="6" customFormat="1" x14ac:dyDescent="0.25">
      <c r="A81"/>
      <c r="B81"/>
      <c r="C81"/>
      <c r="D81"/>
      <c r="E81"/>
      <c r="F81"/>
      <c r="H81" s="18"/>
      <c r="I81" s="18">
        <f>Tabla39152331419192949596979899[[#This Row],[COMISIONES]]*0.21</f>
        <v>0</v>
      </c>
      <c r="J81" s="18"/>
      <c r="K81" s="18"/>
      <c r="L81" s="18"/>
      <c r="N81" s="18"/>
      <c r="O81" s="11">
        <f>Tabla35101826364142444546474844[[#This Row],[COMISIONES]]*0.21</f>
        <v>0</v>
      </c>
      <c r="P81" s="18"/>
      <c r="Q81" s="18"/>
      <c r="R81" s="18"/>
      <c r="T81"/>
      <c r="U81" s="19">
        <f>Tabla61220283342102030506070809010[[#This Row],[COMISIONES]]*0.21</f>
        <v>0</v>
      </c>
      <c r="V81"/>
      <c r="W81"/>
      <c r="X81"/>
      <c r="Z81" s="3">
        <v>4797.55</v>
      </c>
      <c r="AA81" s="21">
        <f>Tabla3568132129397172747576777877[[#This Row],[COMISIONES]]*0.21</f>
        <v>1007.4855</v>
      </c>
      <c r="AB81" s="21"/>
      <c r="AC81" s="21">
        <v>171.87</v>
      </c>
      <c r="AD81"/>
      <c r="AF81"/>
      <c r="AG81"/>
      <c r="AH81"/>
      <c r="AI81"/>
      <c r="AJ81"/>
      <c r="AK81"/>
      <c r="AL81"/>
      <c r="AM81"/>
      <c r="AN81"/>
      <c r="AO81"/>
    </row>
    <row r="82" spans="1:41" s="6" customFormat="1" x14ac:dyDescent="0.25">
      <c r="A82"/>
      <c r="B82"/>
      <c r="C82"/>
      <c r="D82"/>
      <c r="E82"/>
      <c r="F82"/>
      <c r="H82" s="18"/>
      <c r="I82" s="18">
        <f>Tabla39152331419192949596979899[[#This Row],[COMISIONES]]*0.21</f>
        <v>0</v>
      </c>
      <c r="J82" s="18"/>
      <c r="K82" s="18"/>
      <c r="L82" s="18"/>
      <c r="N82" s="18"/>
      <c r="O82" s="11">
        <f>Tabla35101826364142444546474844[[#This Row],[COMISIONES]]*0.21</f>
        <v>0</v>
      </c>
      <c r="P82" s="18"/>
      <c r="Q82" s="18"/>
      <c r="R82" s="18"/>
      <c r="T82"/>
      <c r="U82" s="19">
        <f>Tabla61220283342102030506070809010[[#This Row],[COMISIONES]]*0.21</f>
        <v>0</v>
      </c>
      <c r="V82"/>
      <c r="W82"/>
      <c r="X82"/>
      <c r="Z82" s="3">
        <v>7597.09</v>
      </c>
      <c r="AA82" s="21">
        <f>Tabla3568132129397172747576777877[[#This Row],[COMISIONES]]*0.21</f>
        <v>1595.3888999999999</v>
      </c>
      <c r="AB82" s="1"/>
      <c r="AC82" s="1">
        <v>99.64</v>
      </c>
      <c r="AD82"/>
      <c r="AF82"/>
      <c r="AG82"/>
      <c r="AH82"/>
      <c r="AI82"/>
      <c r="AJ82"/>
      <c r="AK82"/>
      <c r="AL82"/>
      <c r="AM82"/>
      <c r="AN82"/>
      <c r="AO82"/>
    </row>
    <row r="83" spans="1:41" s="6" customFormat="1" x14ac:dyDescent="0.25">
      <c r="A83"/>
      <c r="B83"/>
      <c r="C83"/>
      <c r="D83"/>
      <c r="E83"/>
      <c r="F83"/>
      <c r="H83" s="18"/>
      <c r="I83" s="18">
        <f>Tabla39152331419192949596979899[[#This Row],[COMISIONES]]*0.21</f>
        <v>0</v>
      </c>
      <c r="J83" s="18"/>
      <c r="K83" s="18"/>
      <c r="L83" s="18"/>
      <c r="N83" s="18"/>
      <c r="O83" s="11">
        <f>Tabla35101826364142444546474844[[#This Row],[COMISIONES]]*0.21</f>
        <v>0</v>
      </c>
      <c r="P83" s="18"/>
      <c r="Q83" s="18"/>
      <c r="R83" s="18"/>
      <c r="T83"/>
      <c r="U83" s="19">
        <f>Tabla61220283342102030506070809010[[#This Row],[COMISIONES]]*0.21</f>
        <v>0</v>
      </c>
      <c r="V83"/>
      <c r="W83"/>
      <c r="X83"/>
      <c r="Z83" s="3">
        <v>3509.47</v>
      </c>
      <c r="AA83" s="21"/>
      <c r="AB83" s="21">
        <f>Tabla3568132129397172747576777877[[#This Row],[COMISIONES]]*0.105</f>
        <v>368.49434999999994</v>
      </c>
      <c r="AC83" s="21">
        <v>8967.7000000000007</v>
      </c>
      <c r="AD83"/>
      <c r="AF83"/>
      <c r="AG83"/>
      <c r="AH83"/>
      <c r="AI83"/>
      <c r="AJ83"/>
      <c r="AK83"/>
      <c r="AL83"/>
      <c r="AM83"/>
      <c r="AN83"/>
      <c r="AO83"/>
    </row>
    <row r="84" spans="1:41" s="6" customFormat="1" x14ac:dyDescent="0.25">
      <c r="A84"/>
      <c r="B84"/>
      <c r="C84"/>
      <c r="D84"/>
      <c r="E84"/>
      <c r="F84"/>
      <c r="H84" s="18"/>
      <c r="I84" s="18">
        <f>Tabla39152331419192949596979899[[#This Row],[COMISIONES]]*0.21</f>
        <v>0</v>
      </c>
      <c r="J84" s="18"/>
      <c r="K84" s="18"/>
      <c r="L84" s="18"/>
      <c r="N84" s="18"/>
      <c r="O84" s="11">
        <f>Tabla35101826364142444546474844[[#This Row],[COMISIONES]]*0.21</f>
        <v>0</v>
      </c>
      <c r="P84" s="18"/>
      <c r="Q84" s="18"/>
      <c r="R84" s="18"/>
      <c r="T84"/>
      <c r="U84" s="19">
        <f>Tabla61220283342102030506070809010[[#This Row],[COMISIONES]]*0.21</f>
        <v>0</v>
      </c>
      <c r="V84"/>
      <c r="W84"/>
      <c r="X84"/>
      <c r="Z84" s="3">
        <v>805.24</v>
      </c>
      <c r="AA84" s="21">
        <f>Tabla3568132129397172747576777877[[#This Row],[COMISIONES]]*0.21</f>
        <v>169.10040000000001</v>
      </c>
      <c r="AB84" s="21"/>
      <c r="AC84" s="1">
        <v>593.08000000000004</v>
      </c>
      <c r="AD84"/>
      <c r="AF84"/>
      <c r="AG84"/>
      <c r="AH84"/>
      <c r="AI84"/>
      <c r="AJ84"/>
      <c r="AK84"/>
      <c r="AL84"/>
      <c r="AM84"/>
      <c r="AN84"/>
      <c r="AO84"/>
    </row>
    <row r="85" spans="1:41" s="6" customFormat="1" x14ac:dyDescent="0.25">
      <c r="A85"/>
      <c r="B85"/>
      <c r="C85"/>
      <c r="D85"/>
      <c r="E85"/>
      <c r="F85"/>
      <c r="H85" s="18"/>
      <c r="I85" s="18">
        <f>Tabla39152331419192949596979899[[#This Row],[COMISIONES]]*0.21</f>
        <v>0</v>
      </c>
      <c r="J85" s="18"/>
      <c r="K85" s="18"/>
      <c r="L85" s="18"/>
      <c r="N85" s="18"/>
      <c r="O85" s="11">
        <f>Tabla35101826364142444546474844[[#This Row],[COMISIONES]]*0.21</f>
        <v>0</v>
      </c>
      <c r="P85" s="18"/>
      <c r="Q85" s="18"/>
      <c r="R85" s="18"/>
      <c r="T85"/>
      <c r="U85" s="19">
        <f>Tabla61220283342102030506070809010[[#This Row],[COMISIONES]]*0.21</f>
        <v>0</v>
      </c>
      <c r="V85"/>
      <c r="W85"/>
      <c r="X85"/>
      <c r="Z85" s="3">
        <v>3133.27</v>
      </c>
      <c r="AA85" s="21">
        <f>Tabla3568132129397172747576777877[[#This Row],[COMISIONES]]*0.21</f>
        <v>657.98669999999993</v>
      </c>
      <c r="AB85" s="1"/>
      <c r="AC85" s="1">
        <v>53377.36</v>
      </c>
      <c r="AD85"/>
      <c r="AF85"/>
      <c r="AG85"/>
      <c r="AH85"/>
      <c r="AI85"/>
      <c r="AJ85"/>
      <c r="AK85"/>
      <c r="AL85"/>
      <c r="AM85"/>
      <c r="AN85"/>
      <c r="AO85"/>
    </row>
    <row r="86" spans="1:41" s="6" customFormat="1" x14ac:dyDescent="0.25">
      <c r="A86"/>
      <c r="B86"/>
      <c r="C86"/>
      <c r="D86"/>
      <c r="E86"/>
      <c r="F86"/>
      <c r="H86" s="18"/>
      <c r="I86" s="18">
        <f>Tabla39152331419192949596979899[[#This Row],[COMISIONES]]*0.21</f>
        <v>0</v>
      </c>
      <c r="J86" s="18"/>
      <c r="K86" s="18"/>
      <c r="L86" s="18"/>
      <c r="N86" s="18"/>
      <c r="O86" s="11">
        <f>Tabla35101826364142444546474844[[#This Row],[COMISIONES]]*0.21</f>
        <v>0</v>
      </c>
      <c r="P86" s="18"/>
      <c r="Q86" s="18"/>
      <c r="R86" s="18"/>
      <c r="T86"/>
      <c r="U86" s="19">
        <f>Tabla61220283342102030506070809010[[#This Row],[COMISIONES]]*0.21</f>
        <v>0</v>
      </c>
      <c r="V86"/>
      <c r="W86"/>
      <c r="X86"/>
      <c r="Z86" s="3">
        <v>13902.5</v>
      </c>
      <c r="AA86" s="21">
        <f>Tabla3568132129397172747576777877[[#This Row],[COMISIONES]]*0.21</f>
        <v>2919.5250000000001</v>
      </c>
      <c r="AB86" s="21"/>
      <c r="AC86" s="1">
        <v>29710.37</v>
      </c>
      <c r="AD86"/>
      <c r="AF86"/>
      <c r="AG86"/>
      <c r="AH86"/>
      <c r="AI86"/>
      <c r="AJ86"/>
      <c r="AK86"/>
      <c r="AL86"/>
      <c r="AM86"/>
      <c r="AN86"/>
      <c r="AO86"/>
    </row>
    <row r="87" spans="1:41" s="6" customFormat="1" x14ac:dyDescent="0.25">
      <c r="A87"/>
      <c r="B87"/>
      <c r="C87"/>
      <c r="D87"/>
      <c r="E87"/>
      <c r="F87"/>
      <c r="H87" s="18"/>
      <c r="I87" s="18">
        <f>Tabla39152331419192949596979899[[#This Row],[COMISIONES]]*0.21</f>
        <v>0</v>
      </c>
      <c r="J87" s="18"/>
      <c r="K87" s="18"/>
      <c r="L87" s="18"/>
      <c r="N87" s="18"/>
      <c r="O87" s="11">
        <f>Tabla35101826364142444546474844[[#This Row],[COMISIONES]]*0.21</f>
        <v>0</v>
      </c>
      <c r="P87" s="18"/>
      <c r="Q87" s="18"/>
      <c r="R87" s="18"/>
      <c r="T87"/>
      <c r="U87" s="19">
        <f>Tabla61220283342102030506070809010[[#This Row],[COMISIONES]]*0.21</f>
        <v>0</v>
      </c>
      <c r="V87"/>
      <c r="W87"/>
      <c r="X87"/>
      <c r="Z87" s="3">
        <v>314.24</v>
      </c>
      <c r="AA87" s="21">
        <f>Tabla3568132129397172747576777877[[#This Row],[COMISIONES]]*0.21</f>
        <v>65.990399999999994</v>
      </c>
      <c r="AB87" s="1"/>
      <c r="AC87" s="1">
        <v>330.12</v>
      </c>
      <c r="AD87" s="21"/>
      <c r="AF87"/>
      <c r="AG87"/>
      <c r="AH87"/>
      <c r="AI87"/>
      <c r="AJ87"/>
      <c r="AK87"/>
      <c r="AL87"/>
      <c r="AM87"/>
      <c r="AN87"/>
      <c r="AO87"/>
    </row>
    <row r="88" spans="1:41" s="6" customFormat="1" x14ac:dyDescent="0.25">
      <c r="A88"/>
      <c r="B88"/>
      <c r="C88"/>
      <c r="D88"/>
      <c r="E88"/>
      <c r="F88"/>
      <c r="H88" s="18"/>
      <c r="I88" s="18">
        <f>Tabla39152331419192949596979899[[#This Row],[COMISIONES]]*0.21</f>
        <v>0</v>
      </c>
      <c r="J88" s="18"/>
      <c r="K88" s="18"/>
      <c r="L88" s="18"/>
      <c r="N88" s="18"/>
      <c r="O88" s="11">
        <f>Tabla35101826364142444546474844[[#This Row],[COMISIONES]]*0.21</f>
        <v>0</v>
      </c>
      <c r="P88" s="18"/>
      <c r="Q88" s="18"/>
      <c r="R88" s="18"/>
      <c r="T88"/>
      <c r="U88" s="19">
        <f>Tabla61220283342102030506070809010[[#This Row],[COMISIONES]]*0.21</f>
        <v>0</v>
      </c>
      <c r="V88"/>
      <c r="W88"/>
      <c r="X88"/>
      <c r="Z88" s="3">
        <v>2773.8</v>
      </c>
      <c r="AA88" s="21">
        <f>Tabla3568132129397172747576777877[[#This Row],[COMISIONES]]*0.21</f>
        <v>582.49800000000005</v>
      </c>
      <c r="AB88" s="21"/>
      <c r="AC88" s="21">
        <v>77.739999999999995</v>
      </c>
      <c r="AD88"/>
      <c r="AF88"/>
      <c r="AG88"/>
      <c r="AH88"/>
      <c r="AI88"/>
      <c r="AJ88"/>
      <c r="AK88"/>
      <c r="AL88"/>
      <c r="AM88"/>
      <c r="AN88"/>
      <c r="AO88"/>
    </row>
    <row r="89" spans="1:41" s="6" customFormat="1" x14ac:dyDescent="0.25">
      <c r="A89"/>
      <c r="B89"/>
      <c r="C89"/>
      <c r="D89"/>
      <c r="E89"/>
      <c r="F89"/>
      <c r="H89" s="18"/>
      <c r="I89" s="18">
        <f>Tabla39152331419192949596979899[[#This Row],[COMISIONES]]*0.21</f>
        <v>0</v>
      </c>
      <c r="J89" s="18"/>
      <c r="K89" s="18"/>
      <c r="L89" s="18"/>
      <c r="N89" s="18"/>
      <c r="O89" s="11">
        <f>Tabla35101826364142444546474844[[#This Row],[COMISIONES]]*0.21</f>
        <v>0</v>
      </c>
      <c r="P89" s="18"/>
      <c r="Q89" s="18"/>
      <c r="R89" s="18"/>
      <c r="T89"/>
      <c r="U89" s="19">
        <f>Tabla61220283342102030506070809010[[#This Row],[COMISIONES]]*0.21</f>
        <v>0</v>
      </c>
      <c r="V89"/>
      <c r="W89"/>
      <c r="X89"/>
      <c r="Z89" s="3">
        <v>8356.7900000000009</v>
      </c>
      <c r="AA89" s="21">
        <f>Tabla3568132129397172747576777877[[#This Row],[COMISIONES]]*0.21</f>
        <v>1754.9259000000002</v>
      </c>
      <c r="AB89" s="19"/>
      <c r="AC89">
        <v>6996.62</v>
      </c>
      <c r="AD89"/>
      <c r="AF89"/>
      <c r="AG89"/>
      <c r="AH89"/>
      <c r="AI89"/>
      <c r="AJ89"/>
      <c r="AK89"/>
      <c r="AL89"/>
      <c r="AM89"/>
      <c r="AN89"/>
      <c r="AO89"/>
    </row>
    <row r="90" spans="1:41" s="6" customFormat="1" x14ac:dyDescent="0.25">
      <c r="A90"/>
      <c r="B90"/>
      <c r="C90"/>
      <c r="D90"/>
      <c r="E90"/>
      <c r="F90"/>
      <c r="H90" s="18"/>
      <c r="I90" s="18">
        <f>Tabla39152331419192949596979899[[#This Row],[COMISIONES]]*0.21</f>
        <v>0</v>
      </c>
      <c r="J90" s="18"/>
      <c r="K90" s="18"/>
      <c r="L90" s="18"/>
      <c r="N90" s="18"/>
      <c r="O90" s="11">
        <f>Tabla35101826364142444546474844[[#This Row],[COMISIONES]]*0.21</f>
        <v>0</v>
      </c>
      <c r="P90" s="18"/>
      <c r="Q90" s="18"/>
      <c r="R90" s="18"/>
      <c r="T90"/>
      <c r="U90" s="19">
        <f>Tabla61220283342102030506070809010[[#This Row],[COMISIONES]]*0.21</f>
        <v>0</v>
      </c>
      <c r="V90"/>
      <c r="W90"/>
      <c r="X90"/>
      <c r="Z90" s="3"/>
      <c r="AA90" s="21">
        <f>Tabla3568132129397172747576777877[[#This Row],[COMISIONES]]*0.21</f>
        <v>0</v>
      </c>
      <c r="AB90" s="21"/>
      <c r="AC90" s="21">
        <v>225.68</v>
      </c>
      <c r="AD90"/>
      <c r="AF90"/>
      <c r="AG90"/>
      <c r="AH90"/>
      <c r="AI90"/>
      <c r="AJ90"/>
      <c r="AK90"/>
      <c r="AL90"/>
      <c r="AM90"/>
      <c r="AN90"/>
      <c r="AO90"/>
    </row>
    <row r="91" spans="1:41" s="6" customFormat="1" x14ac:dyDescent="0.25">
      <c r="A91"/>
      <c r="B91"/>
      <c r="C91"/>
      <c r="D91"/>
      <c r="E91"/>
      <c r="F91"/>
      <c r="H91" s="18"/>
      <c r="I91" s="18">
        <f>Tabla39152331419192949596979899[[#This Row],[COMISIONES]]*0.21</f>
        <v>0</v>
      </c>
      <c r="J91" s="18"/>
      <c r="K91" s="18"/>
      <c r="L91" s="18"/>
      <c r="N91" s="18"/>
      <c r="O91" s="11">
        <f>Tabla35101826364142444546474844[[#This Row],[COMISIONES]]*0.21</f>
        <v>0</v>
      </c>
      <c r="P91" s="18"/>
      <c r="Q91" s="18"/>
      <c r="R91" s="18"/>
      <c r="T91"/>
      <c r="U91" s="19">
        <f>Tabla61220283342102030506070809010[[#This Row],[COMISIONES]]*0.21</f>
        <v>0</v>
      </c>
      <c r="V91"/>
      <c r="W91"/>
      <c r="X91"/>
      <c r="Z91" s="3"/>
      <c r="AA91" s="21"/>
      <c r="AB91" s="21">
        <f>Tabla3568132129397172747576777877[[#This Row],[COMISIONES]]*0.105</f>
        <v>0</v>
      </c>
      <c r="AC91" s="1">
        <v>20310.919999999998</v>
      </c>
      <c r="AD91"/>
      <c r="AF91"/>
      <c r="AG91"/>
      <c r="AH91"/>
      <c r="AI91"/>
      <c r="AJ91"/>
      <c r="AK91"/>
      <c r="AL91"/>
      <c r="AM91"/>
      <c r="AN91"/>
      <c r="AO91"/>
    </row>
    <row r="92" spans="1:41" s="6" customFormat="1" x14ac:dyDescent="0.25">
      <c r="A92"/>
      <c r="B92"/>
      <c r="C92"/>
      <c r="D92"/>
      <c r="E92"/>
      <c r="F92"/>
      <c r="H92" s="18"/>
      <c r="I92" s="18">
        <f>Tabla39152331419192949596979899[[#This Row],[COMISIONES]]*0.21</f>
        <v>0</v>
      </c>
      <c r="J92" s="18"/>
      <c r="K92" s="18"/>
      <c r="L92" s="18"/>
      <c r="N92" s="18"/>
      <c r="O92" s="11">
        <f>Tabla35101826364142444546474844[[#This Row],[COMISIONES]]*0.21</f>
        <v>0</v>
      </c>
      <c r="P92" s="18"/>
      <c r="Q92" s="18"/>
      <c r="R92" s="18"/>
      <c r="T92"/>
      <c r="U92" s="19">
        <f>Tabla61220283342102030506070809010[[#This Row],[COMISIONES]]*0.21</f>
        <v>0</v>
      </c>
      <c r="V92"/>
      <c r="W92"/>
      <c r="X92"/>
      <c r="Z92" s="3"/>
      <c r="AA92" s="21">
        <f>Tabla3568132129397172747576777877[[#This Row],[COMISIONES]]*0.21</f>
        <v>0</v>
      </c>
      <c r="AB92" s="1"/>
      <c r="AC92" s="21">
        <v>637.24</v>
      </c>
      <c r="AD92" s="21"/>
      <c r="AF92"/>
      <c r="AG92"/>
      <c r="AH92"/>
      <c r="AI92"/>
      <c r="AJ92"/>
      <c r="AK92"/>
      <c r="AL92"/>
      <c r="AM92"/>
      <c r="AN92"/>
      <c r="AO92"/>
    </row>
    <row r="93" spans="1:41" s="6" customFormat="1" x14ac:dyDescent="0.25">
      <c r="A93"/>
      <c r="B93"/>
      <c r="C93"/>
      <c r="D93"/>
      <c r="E93"/>
      <c r="F93"/>
      <c r="H93" s="21"/>
      <c r="I93" s="21">
        <f>Tabla39152331419192949596979899[[#This Row],[COMISIONES]]*0.21</f>
        <v>0</v>
      </c>
      <c r="J93" s="21"/>
      <c r="K93" s="21"/>
      <c r="L93" s="21"/>
      <c r="N93" s="18"/>
      <c r="O93" s="11">
        <f>Tabla35101826364142444546474844[[#This Row],[COMISIONES]]*0.21</f>
        <v>0</v>
      </c>
      <c r="P93" s="18"/>
      <c r="Q93" s="18"/>
      <c r="R93" s="18"/>
      <c r="T93"/>
      <c r="U93" s="19">
        <f>Tabla61220283342102030506070809010[[#This Row],[COMISIONES]]*0.21</f>
        <v>0</v>
      </c>
      <c r="V93"/>
      <c r="W93"/>
      <c r="X93"/>
      <c r="Z93" s="3"/>
      <c r="AA93" s="21">
        <f>Tabla3568132129397172747576777877[[#This Row],[COMISIONES]]*0.21</f>
        <v>0</v>
      </c>
      <c r="AB93" s="21"/>
      <c r="AC93" s="21">
        <v>57351.21</v>
      </c>
      <c r="AD93" s="21"/>
      <c r="AF93"/>
      <c r="AG93"/>
      <c r="AH93"/>
      <c r="AI93"/>
      <c r="AJ93"/>
      <c r="AK93"/>
      <c r="AL93"/>
      <c r="AM93"/>
      <c r="AN93"/>
      <c r="AO93"/>
    </row>
    <row r="94" spans="1:41" s="6" customFormat="1" x14ac:dyDescent="0.25">
      <c r="A94"/>
      <c r="B94"/>
      <c r="C94"/>
      <c r="D94"/>
      <c r="E94"/>
      <c r="F94"/>
      <c r="H94" s="21"/>
      <c r="I94" s="21">
        <f>Tabla39152331419192949596979899[[#This Row],[COMISIONES]]*0.21</f>
        <v>0</v>
      </c>
      <c r="J94" s="21"/>
      <c r="K94" s="21"/>
      <c r="L94" s="21"/>
      <c r="N94" s="18"/>
      <c r="O94" s="11">
        <f>Tabla35101826364142444546474844[[#This Row],[COMISIONES]]*0.21</f>
        <v>0</v>
      </c>
      <c r="P94" s="18"/>
      <c r="Q94" s="18"/>
      <c r="R94" s="18"/>
      <c r="T94" s="17">
        <f>SUBTOTAL(109,Tabla61220283342102030506070809010[COMISIONES])</f>
        <v>0</v>
      </c>
      <c r="U94" s="17">
        <f>SUBTOTAL(109,Tabla61220283342102030506070809010[IVA 21])</f>
        <v>0</v>
      </c>
      <c r="V94" s="17">
        <f>SUBTOTAL(109,Tabla61220283342102030506070809010[IVA 10,5])</f>
        <v>0</v>
      </c>
      <c r="W94" s="17">
        <f>SUBTOTAL(109,Tabla61220283342102030506070809010[Ret IIBB Caba])</f>
        <v>0</v>
      </c>
      <c r="X94" s="17">
        <f>SUBTOTAL(109,Tabla61220283342102030506070809010[PERC IVA])</f>
        <v>0</v>
      </c>
      <c r="Z94" s="3"/>
      <c r="AA94" s="21">
        <f>Tabla3568132129397172747576777877[[#This Row],[COMISIONES]]*0.21</f>
        <v>0</v>
      </c>
      <c r="AB94" s="21"/>
      <c r="AC94" s="21">
        <v>7.67</v>
      </c>
      <c r="AD94" s="21"/>
      <c r="AF94"/>
      <c r="AG94"/>
      <c r="AH94"/>
      <c r="AI94"/>
      <c r="AJ94"/>
      <c r="AK94"/>
      <c r="AL94"/>
      <c r="AM94"/>
      <c r="AN94"/>
      <c r="AO94"/>
    </row>
    <row r="95" spans="1:41" s="6" customFormat="1" x14ac:dyDescent="0.25">
      <c r="A95"/>
      <c r="B95"/>
      <c r="C95"/>
      <c r="D95"/>
      <c r="E95"/>
      <c r="F95"/>
      <c r="H95" s="21"/>
      <c r="I95" s="21">
        <f>Tabla39152331419192949596979899[[#This Row],[COMISIONES]]*0.21</f>
        <v>0</v>
      </c>
      <c r="J95" s="21"/>
      <c r="K95" s="21"/>
      <c r="L95" s="21"/>
      <c r="N95" s="18"/>
      <c r="O95" s="11">
        <f>Tabla35101826364142444546474844[[#This Row],[COMISIONES]]*0.21</f>
        <v>0</v>
      </c>
      <c r="P95" s="18"/>
      <c r="Q95" s="18"/>
      <c r="R95" s="18"/>
      <c r="T95"/>
      <c r="U95"/>
      <c r="V95"/>
      <c r="W95"/>
      <c r="X95"/>
      <c r="Z95" s="3"/>
      <c r="AA95" s="21"/>
      <c r="AB95" s="21">
        <f>Tabla3568132129397172747576777877[[#This Row],[COMISIONES]]*0.105</f>
        <v>0</v>
      </c>
      <c r="AC95" s="21">
        <v>690.75</v>
      </c>
      <c r="AD95" s="21"/>
      <c r="AF95"/>
      <c r="AG95"/>
      <c r="AH95"/>
      <c r="AI95"/>
      <c r="AJ95"/>
      <c r="AK95"/>
      <c r="AL95"/>
      <c r="AM95"/>
      <c r="AN95"/>
      <c r="AO95"/>
    </row>
    <row r="96" spans="1:41" s="6" customFormat="1" x14ac:dyDescent="0.25">
      <c r="A96"/>
      <c r="B96"/>
      <c r="C96"/>
      <c r="D96"/>
      <c r="E96"/>
      <c r="F96"/>
      <c r="H96" s="21"/>
      <c r="I96" s="21">
        <f>Tabla39152331419192949596979899[[#This Row],[COMISIONES]]*0.21</f>
        <v>0</v>
      </c>
      <c r="J96" s="21"/>
      <c r="K96" s="21"/>
      <c r="L96" s="21"/>
      <c r="N96" s="18"/>
      <c r="O96" s="11">
        <f>Tabla35101826364142444546474844[[#This Row],[COMISIONES]]*0.21</f>
        <v>0</v>
      </c>
      <c r="P96" s="18"/>
      <c r="Q96" s="18"/>
      <c r="R96" s="18"/>
      <c r="T96"/>
      <c r="U96"/>
      <c r="V96"/>
      <c r="W96"/>
      <c r="X96"/>
      <c r="Z96" s="3"/>
      <c r="AA96" s="21">
        <f>Tabla3568132129397172747576777877[[#This Row],[COMISIONES]]*0.21</f>
        <v>0</v>
      </c>
      <c r="AB96" s="1">
        <f>Tabla3568132129397172747576777877[[#This Row],[COMISIONES]]*0.105</f>
        <v>0</v>
      </c>
      <c r="AC96" s="1">
        <v>166.63</v>
      </c>
      <c r="AD96"/>
      <c r="AF96"/>
      <c r="AG96"/>
      <c r="AH96"/>
      <c r="AI96"/>
      <c r="AJ96"/>
      <c r="AK96"/>
      <c r="AL96"/>
      <c r="AM96"/>
      <c r="AN96"/>
      <c r="AO96"/>
    </row>
    <row r="97" spans="1:41" s="6" customFormat="1" x14ac:dyDescent="0.25">
      <c r="A97"/>
      <c r="B97"/>
      <c r="C97"/>
      <c r="D97"/>
      <c r="E97"/>
      <c r="F97"/>
      <c r="H97" s="21"/>
      <c r="I97" s="21">
        <f>Tabla39152331419192949596979899[[#This Row],[COMISIONES]]*0.21</f>
        <v>0</v>
      </c>
      <c r="J97" s="21"/>
      <c r="K97" s="21"/>
      <c r="L97" s="21"/>
      <c r="N97" s="18"/>
      <c r="O97" s="11">
        <f>Tabla35101826364142444546474844[[#This Row],[COMISIONES]]*0.21</f>
        <v>0</v>
      </c>
      <c r="P97" s="18"/>
      <c r="Q97" s="18"/>
      <c r="R97" s="18"/>
      <c r="T97"/>
      <c r="U97"/>
      <c r="V97"/>
      <c r="W97"/>
      <c r="X97"/>
      <c r="Z97" s="3"/>
      <c r="AA97" s="21">
        <f>Tabla3568132129397172747576777877[[#This Row],[COMISIONES]]*0.21</f>
        <v>0</v>
      </c>
      <c r="AB97" s="1">
        <f>Tabla3568132129397172747576777877[[#This Row],[COMISIONES]]*0.105</f>
        <v>0</v>
      </c>
      <c r="AC97" s="1">
        <v>41359.11</v>
      </c>
      <c r="AD97"/>
      <c r="AF97"/>
      <c r="AG97"/>
      <c r="AH97"/>
      <c r="AI97"/>
      <c r="AJ97"/>
      <c r="AK97"/>
      <c r="AL97"/>
      <c r="AM97"/>
      <c r="AN97"/>
      <c r="AO97"/>
    </row>
    <row r="98" spans="1:41" s="6" customFormat="1" x14ac:dyDescent="0.25">
      <c r="A98"/>
      <c r="B98"/>
      <c r="C98"/>
      <c r="D98"/>
      <c r="E98"/>
      <c r="F98"/>
      <c r="H98" s="21"/>
      <c r="I98" s="21">
        <f>Tabla39152331419192949596979899[[#This Row],[COMISIONES]]*0.21</f>
        <v>0</v>
      </c>
      <c r="J98" s="21"/>
      <c r="K98" s="21"/>
      <c r="L98" s="21"/>
      <c r="N98" s="18"/>
      <c r="O98" s="11">
        <f>Tabla35101826364142444546474844[[#This Row],[COMISIONES]]*0.21</f>
        <v>0</v>
      </c>
      <c r="P98" s="18"/>
      <c r="Q98" s="18"/>
      <c r="R98" s="18"/>
      <c r="T98"/>
      <c r="U98"/>
      <c r="V98"/>
      <c r="W98"/>
      <c r="X98"/>
      <c r="Z98" s="3"/>
      <c r="AA98" s="21">
        <f>Tabla3568132129397172747576777877[[#This Row],[COMISIONES]]*0.21</f>
        <v>0</v>
      </c>
      <c r="AB98" s="21">
        <f>Tabla3568132129397172747576777877[[#This Row],[COMISIONES]]*0.105</f>
        <v>0</v>
      </c>
      <c r="AC98" s="21">
        <v>459.55</v>
      </c>
      <c r="AD98"/>
      <c r="AF98"/>
      <c r="AG98"/>
      <c r="AH98"/>
      <c r="AI98"/>
      <c r="AJ98"/>
      <c r="AK98"/>
      <c r="AL98"/>
      <c r="AM98"/>
      <c r="AN98"/>
      <c r="AO98"/>
    </row>
    <row r="99" spans="1:41" s="6" customFormat="1" x14ac:dyDescent="0.25">
      <c r="A99"/>
      <c r="B99"/>
      <c r="C99"/>
      <c r="D99"/>
      <c r="E99"/>
      <c r="F99"/>
      <c r="H99" s="21"/>
      <c r="I99" s="21">
        <f>Tabla39152331419192949596979899[[#This Row],[COMISIONES]]*0.21</f>
        <v>0</v>
      </c>
      <c r="J99" s="21"/>
      <c r="K99" s="21"/>
      <c r="L99" s="21"/>
      <c r="N99" s="18"/>
      <c r="O99" s="11">
        <f>Tabla35101826364142444546474844[[#This Row],[COMISIONES]]*0.21</f>
        <v>0</v>
      </c>
      <c r="P99" s="18"/>
      <c r="Q99" s="18"/>
      <c r="R99" s="18"/>
      <c r="T99"/>
      <c r="U99"/>
      <c r="V99"/>
      <c r="W99"/>
      <c r="X99"/>
      <c r="Z99" s="3"/>
      <c r="AA99" s="21">
        <f>Tabla3568132129397172747576777877[[#This Row],[COMISIONES]]*0.21</f>
        <v>0</v>
      </c>
      <c r="AB99" s="21">
        <f>Tabla3568132129397172747576777877[[#This Row],[COMISIONES]]*0.105</f>
        <v>0</v>
      </c>
      <c r="AC99" s="21">
        <v>97.82</v>
      </c>
      <c r="AD99"/>
      <c r="AF99"/>
      <c r="AG99"/>
      <c r="AH99"/>
      <c r="AI99"/>
      <c r="AJ99"/>
      <c r="AK99"/>
      <c r="AL99"/>
      <c r="AM99"/>
      <c r="AN99"/>
      <c r="AO99"/>
    </row>
    <row r="100" spans="1:41" s="6" customFormat="1" x14ac:dyDescent="0.25">
      <c r="A100"/>
      <c r="B100"/>
      <c r="C100"/>
      <c r="D100"/>
      <c r="E100"/>
      <c r="F100"/>
      <c r="H100" s="21"/>
      <c r="I100" s="21">
        <f>Tabla39152331419192949596979899[[#This Row],[COMISIONES]]*0.21</f>
        <v>0</v>
      </c>
      <c r="J100" s="21"/>
      <c r="K100" s="21"/>
      <c r="L100" s="21"/>
      <c r="N100" s="18"/>
      <c r="O100" s="11">
        <f>Tabla35101826364142444546474844[[#This Row],[COMISIONES]]*0.21</f>
        <v>0</v>
      </c>
      <c r="P100" s="18"/>
      <c r="Q100" s="18"/>
      <c r="R100" s="18"/>
      <c r="T100"/>
      <c r="U100"/>
      <c r="V100"/>
      <c r="W100"/>
      <c r="X100"/>
      <c r="Z100" s="3"/>
      <c r="AA100" s="21">
        <f>Tabla3568132129397172747576777877[[#This Row],[COMISIONES]]*0.21</f>
        <v>0</v>
      </c>
      <c r="AB100" s="21">
        <f>Tabla3568132129397172747576777877[[#This Row],[COMISIONES]]*0.105</f>
        <v>0</v>
      </c>
      <c r="AC100" s="21">
        <v>8803.83</v>
      </c>
      <c r="AD100"/>
      <c r="AF100"/>
      <c r="AG100"/>
      <c r="AH100"/>
      <c r="AI100"/>
      <c r="AJ100"/>
      <c r="AK100"/>
      <c r="AL100"/>
      <c r="AM100"/>
      <c r="AN100"/>
      <c r="AO100"/>
    </row>
    <row r="101" spans="1:41" s="6" customFormat="1" x14ac:dyDescent="0.25">
      <c r="A101"/>
      <c r="B101"/>
      <c r="C101"/>
      <c r="D101"/>
      <c r="E101"/>
      <c r="F101"/>
      <c r="H101" s="21"/>
      <c r="I101" s="21">
        <f>Tabla39152331419192949596979899[[#This Row],[COMISIONES]]*0.21</f>
        <v>0</v>
      </c>
      <c r="J101" s="21"/>
      <c r="K101" s="21"/>
      <c r="L101" s="21"/>
      <c r="N101" s="18"/>
      <c r="O101" s="11">
        <f>Tabla35101826364142444546474844[[#This Row],[COMISIONES]]*0.21</f>
        <v>0</v>
      </c>
      <c r="P101" s="18"/>
      <c r="Q101" s="18"/>
      <c r="R101" s="18"/>
      <c r="T101"/>
      <c r="U101"/>
      <c r="V101"/>
      <c r="W101"/>
      <c r="X101"/>
      <c r="Z101" s="3"/>
      <c r="AA101" s="21">
        <f>Tabla3568132129397172747576777877[[#This Row],[COMISIONES]]*0.21</f>
        <v>0</v>
      </c>
      <c r="AB101" s="21">
        <f>Tabla3568132129397172747576777877[[#This Row],[COMISIONES]]*0.105</f>
        <v>0</v>
      </c>
      <c r="AC101" s="21">
        <v>169.82</v>
      </c>
      <c r="AD101" s="21"/>
      <c r="AF101"/>
      <c r="AG101"/>
      <c r="AH101"/>
      <c r="AI101"/>
      <c r="AJ101"/>
      <c r="AK101"/>
      <c r="AL101"/>
      <c r="AM101"/>
      <c r="AN101"/>
      <c r="AO101"/>
    </row>
    <row r="102" spans="1:41" s="6" customFormat="1" x14ac:dyDescent="0.25">
      <c r="A102"/>
      <c r="B102"/>
      <c r="C102"/>
      <c r="D102"/>
      <c r="E102"/>
      <c r="F102"/>
      <c r="H102" s="20">
        <f>SUBTOTAL(109,Tabla39152331419192949596979899[COMISIONES])</f>
        <v>0</v>
      </c>
      <c r="I102" s="20">
        <f>SUBTOTAL(109,Tabla39152331419192949596979899[IVA 21])</f>
        <v>0</v>
      </c>
      <c r="J102" s="20">
        <f>SUBTOTAL(109,Tabla39152331419192949596979899[IVA 10,5])</f>
        <v>0</v>
      </c>
      <c r="K102" s="20">
        <f>SUBTOTAL(109,Tabla39152331419192949596979899[Ret IIBB Caba])</f>
        <v>0</v>
      </c>
      <c r="L102" s="20">
        <f>SUBTOTAL(109,Tabla39152331419192949596979899[PERC IVA])</f>
        <v>0</v>
      </c>
      <c r="N102" s="18"/>
      <c r="O102" s="11">
        <f>Tabla35101826364142444546474844[[#This Row],[COMISIONES]]*0.21</f>
        <v>0</v>
      </c>
      <c r="P102" s="18"/>
      <c r="Q102" s="18"/>
      <c r="R102" s="18"/>
      <c r="T102"/>
      <c r="U102"/>
      <c r="V102"/>
      <c r="W102"/>
      <c r="X102"/>
      <c r="Z102" s="3"/>
      <c r="AA102" s="21">
        <f>Tabla3568132129397172747576777877[[#This Row],[COMISIONES]]*0.21</f>
        <v>0</v>
      </c>
      <c r="AB102" s="21">
        <f>Tabla3568132129397172747576777877[[#This Row],[COMISIONES]]*0.105</f>
        <v>0</v>
      </c>
      <c r="AC102" s="11">
        <v>15283.58</v>
      </c>
      <c r="AD102" s="21"/>
      <c r="AF102"/>
      <c r="AG102"/>
      <c r="AH102"/>
      <c r="AI102"/>
      <c r="AJ102"/>
      <c r="AK102"/>
      <c r="AL102"/>
      <c r="AM102"/>
      <c r="AN102"/>
      <c r="AO102"/>
    </row>
    <row r="103" spans="1:41" s="6" customFormat="1" x14ac:dyDescent="0.25">
      <c r="A103"/>
      <c r="B103"/>
      <c r="C103"/>
      <c r="D103"/>
      <c r="E103"/>
      <c r="F103"/>
      <c r="H103"/>
      <c r="I103"/>
      <c r="J103"/>
      <c r="K103"/>
      <c r="L103"/>
      <c r="N103" s="18"/>
      <c r="O103" s="11">
        <f>Tabla35101826364142444546474844[[#This Row],[COMISIONES]]*0.21</f>
        <v>0</v>
      </c>
      <c r="P103" s="18"/>
      <c r="Q103" s="18"/>
      <c r="R103" s="18"/>
      <c r="T103"/>
      <c r="U103"/>
      <c r="V103"/>
      <c r="W103"/>
      <c r="X103"/>
      <c r="Z103" s="3"/>
      <c r="AA103" s="21">
        <f>Tabla3568132129397172747576777877[[#This Row],[COMISIONES]]*0.21</f>
        <v>0</v>
      </c>
      <c r="AB103" s="21">
        <f>Tabla3568132129397172747576777877[[#This Row],[COMISIONES]]*0.105</f>
        <v>0</v>
      </c>
      <c r="AC103" s="21">
        <v>13495.83</v>
      </c>
      <c r="AD103" s="21"/>
      <c r="AF103"/>
      <c r="AG103"/>
      <c r="AH103"/>
      <c r="AI103"/>
      <c r="AJ103"/>
      <c r="AK103"/>
      <c r="AL103"/>
      <c r="AM103"/>
      <c r="AN103"/>
      <c r="AO103"/>
    </row>
    <row r="104" spans="1:41" s="6" customFormat="1" x14ac:dyDescent="0.25">
      <c r="A104"/>
      <c r="B104"/>
      <c r="C104"/>
      <c r="D104"/>
      <c r="E104"/>
      <c r="F104"/>
      <c r="H104"/>
      <c r="I104"/>
      <c r="J104"/>
      <c r="K104"/>
      <c r="L104"/>
      <c r="N104" s="18"/>
      <c r="O104" s="11">
        <f>Tabla35101826364142444546474844[[#This Row],[COMISIONES]]*0.21</f>
        <v>0</v>
      </c>
      <c r="P104" s="18"/>
      <c r="Q104" s="18"/>
      <c r="R104" s="18"/>
      <c r="T104"/>
      <c r="U104"/>
      <c r="V104"/>
      <c r="W104"/>
      <c r="X104"/>
      <c r="Z104" s="3"/>
      <c r="AA104" s="21">
        <f>Tabla3568132129397172747576777877[[#This Row],[COMISIONES]]*0.21</f>
        <v>0</v>
      </c>
      <c r="AB104" s="21">
        <f>Tabla3568132129397172747576777877[[#This Row],[COMISIONES]]*0.105</f>
        <v>0</v>
      </c>
      <c r="AC104" s="1">
        <v>149.94999999999999</v>
      </c>
      <c r="AD104" s="21"/>
      <c r="AF104"/>
      <c r="AG104"/>
      <c r="AH104"/>
      <c r="AI104"/>
      <c r="AJ104"/>
      <c r="AK104"/>
      <c r="AL104"/>
      <c r="AM104"/>
      <c r="AN104"/>
      <c r="AO104"/>
    </row>
    <row r="105" spans="1:41" s="6" customFormat="1" x14ac:dyDescent="0.25">
      <c r="A105"/>
      <c r="B105"/>
      <c r="C105"/>
      <c r="D105"/>
      <c r="E105"/>
      <c r="F105"/>
      <c r="H105"/>
      <c r="I105"/>
      <c r="J105"/>
      <c r="K105"/>
      <c r="L105"/>
      <c r="N105" s="18"/>
      <c r="O105" s="11">
        <f>Tabla35101826364142444546474844[[#This Row],[COMISIONES]]*0.21</f>
        <v>0</v>
      </c>
      <c r="P105" s="18"/>
      <c r="Q105" s="18"/>
      <c r="R105" s="18"/>
      <c r="T105"/>
      <c r="U105"/>
      <c r="V105"/>
      <c r="W105"/>
      <c r="X105"/>
      <c r="Z105" s="3"/>
      <c r="AA105" s="21">
        <f>Tabla3568132129397172747576777877[[#This Row],[COMISIONES]]*0.21</f>
        <v>0</v>
      </c>
      <c r="AB105" s="21">
        <f>Tabla3568132129397172747576777877[[#This Row],[COMISIONES]]*0.105</f>
        <v>0</v>
      </c>
      <c r="AC105" s="1">
        <v>44.34</v>
      </c>
      <c r="AD105"/>
      <c r="AF105"/>
      <c r="AG105"/>
      <c r="AH105"/>
      <c r="AI105"/>
      <c r="AJ105"/>
      <c r="AK105"/>
      <c r="AL105"/>
      <c r="AM105"/>
      <c r="AN105"/>
      <c r="AO105"/>
    </row>
    <row r="106" spans="1:41" s="6" customFormat="1" x14ac:dyDescent="0.25">
      <c r="A106"/>
      <c r="B106"/>
      <c r="C106"/>
      <c r="D106"/>
      <c r="E106"/>
      <c r="F106"/>
      <c r="H106"/>
      <c r="I106"/>
      <c r="J106"/>
      <c r="K106"/>
      <c r="L106"/>
      <c r="N106" s="18"/>
      <c r="O106" s="11">
        <f>Tabla35101826364142444546474844[[#This Row],[COMISIONES]]*0.21</f>
        <v>0</v>
      </c>
      <c r="P106" s="18"/>
      <c r="Q106" s="18"/>
      <c r="R106" s="18"/>
      <c r="T106"/>
      <c r="U106"/>
      <c r="V106"/>
      <c r="W106"/>
      <c r="X106"/>
      <c r="Z106" s="3"/>
      <c r="AA106" s="21">
        <f>Tabla3568132129397172747576777877[[#This Row],[COMISIONES]]*0.21</f>
        <v>0</v>
      </c>
      <c r="AB106" s="21">
        <f>Tabla3568132129397172747576777877[[#This Row],[COMISIONES]]*0.105</f>
        <v>0</v>
      </c>
      <c r="AC106" s="1">
        <v>3990.3</v>
      </c>
      <c r="AD106" s="21"/>
      <c r="AF106"/>
      <c r="AG106"/>
      <c r="AH106"/>
      <c r="AI106"/>
      <c r="AJ106"/>
      <c r="AK106"/>
      <c r="AL106"/>
      <c r="AM106"/>
      <c r="AN106"/>
      <c r="AO106"/>
    </row>
    <row r="107" spans="1:41" s="6" customFormat="1" x14ac:dyDescent="0.25">
      <c r="A107"/>
      <c r="B107"/>
      <c r="C107"/>
      <c r="D107"/>
      <c r="E107"/>
      <c r="F107"/>
      <c r="H107"/>
      <c r="I107"/>
      <c r="J107"/>
      <c r="K107"/>
      <c r="L107"/>
      <c r="N107" s="18"/>
      <c r="O107" s="11">
        <f>Tabla35101826364142444546474844[[#This Row],[COMISIONES]]*0.21</f>
        <v>0</v>
      </c>
      <c r="P107" s="18"/>
      <c r="Q107" s="18"/>
      <c r="R107" s="18"/>
      <c r="T107"/>
      <c r="U107"/>
      <c r="V107"/>
      <c r="W107"/>
      <c r="X107"/>
      <c r="Z107" s="3"/>
      <c r="AA107" s="21">
        <f>Tabla3568132129397172747576777877[[#This Row],[COMISIONES]]*0.21</f>
        <v>0</v>
      </c>
      <c r="AB107" s="21">
        <f>Tabla3568132129397172747576777877[[#This Row],[COMISIONES]]*0.105</f>
        <v>0</v>
      </c>
      <c r="AC107" s="1">
        <v>128.6</v>
      </c>
      <c r="AD107"/>
      <c r="AF107"/>
      <c r="AG107"/>
      <c r="AH107"/>
      <c r="AI107"/>
      <c r="AJ107"/>
      <c r="AK107"/>
      <c r="AL107"/>
      <c r="AM107"/>
      <c r="AN107"/>
      <c r="AO107"/>
    </row>
    <row r="108" spans="1:41" s="6" customFormat="1" x14ac:dyDescent="0.25">
      <c r="A108"/>
      <c r="B108"/>
      <c r="C108"/>
      <c r="D108"/>
      <c r="E108"/>
      <c r="F108"/>
      <c r="H108"/>
      <c r="I108"/>
      <c r="J108"/>
      <c r="K108"/>
      <c r="L108"/>
      <c r="N108" s="18"/>
      <c r="O108" s="11">
        <f>Tabla35101826364142444546474844[[#This Row],[COMISIONES]]*0.21</f>
        <v>0</v>
      </c>
      <c r="P108" s="18"/>
      <c r="Q108" s="18"/>
      <c r="R108" s="18"/>
      <c r="T108"/>
      <c r="U108"/>
      <c r="V108"/>
      <c r="W108"/>
      <c r="X108"/>
      <c r="Z108" s="3"/>
      <c r="AA108" s="21">
        <f>Tabla3568132129397172747576777877[[#This Row],[COMISIONES]]*0.21</f>
        <v>0</v>
      </c>
      <c r="AB108" s="21">
        <f>Tabla3568132129397172747576777877[[#This Row],[COMISIONES]]*0.105</f>
        <v>0</v>
      </c>
      <c r="AC108" s="1">
        <v>11573.81</v>
      </c>
      <c r="AD108"/>
      <c r="AF108"/>
      <c r="AG108"/>
      <c r="AH108"/>
      <c r="AI108"/>
      <c r="AJ108"/>
      <c r="AK108"/>
      <c r="AL108"/>
      <c r="AM108"/>
      <c r="AN108"/>
      <c r="AO108"/>
    </row>
    <row r="109" spans="1:41" s="6" customFormat="1" x14ac:dyDescent="0.25">
      <c r="A109"/>
      <c r="B109"/>
      <c r="C109"/>
      <c r="D109"/>
      <c r="E109"/>
      <c r="F109"/>
      <c r="H109"/>
      <c r="I109"/>
      <c r="J109"/>
      <c r="K109"/>
      <c r="L109"/>
      <c r="N109" s="18"/>
      <c r="O109" s="11">
        <f>Tabla35101826364142444546474844[[#This Row],[COMISIONES]]*0.21</f>
        <v>0</v>
      </c>
      <c r="P109" s="18"/>
      <c r="Q109" s="18"/>
      <c r="R109" s="18"/>
      <c r="T109"/>
      <c r="U109"/>
      <c r="V109"/>
      <c r="W109"/>
      <c r="X109"/>
      <c r="Z109" s="3"/>
      <c r="AA109" s="21">
        <f>Tabla3568132129397172747576777877[[#This Row],[COMISIONES]]*0.21</f>
        <v>0</v>
      </c>
      <c r="AB109" s="21">
        <f>Tabla3568132129397172747576777877[[#This Row],[COMISIONES]]*0.105</f>
        <v>0</v>
      </c>
      <c r="AC109" s="1">
        <v>17541.7</v>
      </c>
      <c r="AD109"/>
      <c r="AF109"/>
      <c r="AG109"/>
      <c r="AH109"/>
      <c r="AI109"/>
      <c r="AJ109"/>
      <c r="AK109"/>
      <c r="AL109"/>
      <c r="AM109"/>
      <c r="AN109"/>
      <c r="AO109"/>
    </row>
    <row r="110" spans="1:41" s="6" customFormat="1" x14ac:dyDescent="0.25">
      <c r="A110"/>
      <c r="B110"/>
      <c r="C110"/>
      <c r="D110"/>
      <c r="E110"/>
      <c r="F110"/>
      <c r="H110"/>
      <c r="I110"/>
      <c r="J110"/>
      <c r="K110"/>
      <c r="L110"/>
      <c r="N110" s="18"/>
      <c r="O110" s="11">
        <f>Tabla35101826364142444546474844[[#This Row],[COMISIONES]]*0.21</f>
        <v>0</v>
      </c>
      <c r="P110" s="18"/>
      <c r="Q110" s="18"/>
      <c r="R110" s="18"/>
      <c r="T110"/>
      <c r="U110"/>
      <c r="V110"/>
      <c r="W110"/>
      <c r="X110"/>
      <c r="Z110" s="3"/>
      <c r="AA110" s="21">
        <f>Tabla3568132129397172747576777877[[#This Row],[COMISIONES]]*0.21</f>
        <v>0</v>
      </c>
      <c r="AB110" s="21">
        <f>Tabla3568132129397172747576777877[[#This Row],[COMISIONES]]*0.105</f>
        <v>0</v>
      </c>
      <c r="AC110" s="1">
        <v>194.91</v>
      </c>
      <c r="AD110" s="21"/>
      <c r="AF110"/>
      <c r="AG110"/>
      <c r="AH110"/>
      <c r="AI110"/>
      <c r="AJ110"/>
      <c r="AK110"/>
      <c r="AL110"/>
      <c r="AM110"/>
      <c r="AN110"/>
      <c r="AO110"/>
    </row>
    <row r="111" spans="1:41" s="6" customFormat="1" x14ac:dyDescent="0.25">
      <c r="A111"/>
      <c r="B111"/>
      <c r="C111"/>
      <c r="D111"/>
      <c r="E111"/>
      <c r="F111"/>
      <c r="H111"/>
      <c r="I111"/>
      <c r="J111"/>
      <c r="K111"/>
      <c r="L111"/>
      <c r="N111" s="18"/>
      <c r="O111" s="11">
        <f>Tabla35101826364142444546474844[[#This Row],[COMISIONES]]*0.21</f>
        <v>0</v>
      </c>
      <c r="P111" s="18"/>
      <c r="Q111" s="18"/>
      <c r="R111" s="18"/>
      <c r="T111"/>
      <c r="U111"/>
      <c r="V111"/>
      <c r="W111"/>
      <c r="X111"/>
      <c r="Z111" s="3"/>
      <c r="AA111" s="21">
        <f>Tabla3568132129397172747576777877[[#This Row],[COMISIONES]]*0.21</f>
        <v>0</v>
      </c>
      <c r="AB111" s="21">
        <f>Tabla3568132129397172747576777877[[#This Row],[COMISIONES]]*0.105</f>
        <v>0</v>
      </c>
      <c r="AC111" s="1">
        <v>593.61</v>
      </c>
      <c r="AD111" s="21"/>
      <c r="AF111"/>
      <c r="AG111"/>
      <c r="AH111"/>
      <c r="AI111"/>
      <c r="AJ111"/>
      <c r="AK111"/>
      <c r="AL111"/>
      <c r="AM111"/>
      <c r="AN111"/>
      <c r="AO111"/>
    </row>
    <row r="112" spans="1:41" s="6" customFormat="1" x14ac:dyDescent="0.25">
      <c r="A112"/>
      <c r="B112"/>
      <c r="C112"/>
      <c r="D112"/>
      <c r="E112"/>
      <c r="F112"/>
      <c r="H112"/>
      <c r="I112"/>
      <c r="J112"/>
      <c r="K112"/>
      <c r="L112"/>
      <c r="N112" s="18"/>
      <c r="O112" s="11">
        <f>Tabla35101826364142444546474844[[#This Row],[COMISIONES]]*0.21</f>
        <v>0</v>
      </c>
      <c r="P112" s="18"/>
      <c r="Q112" s="18"/>
      <c r="R112" s="18"/>
      <c r="T112"/>
      <c r="U112"/>
      <c r="V112"/>
      <c r="W112"/>
      <c r="X112"/>
      <c r="Z112" s="3"/>
      <c r="AA112" s="21">
        <f>Tabla3568132129397172747576777877[[#This Row],[COMISIONES]]*0.21</f>
        <v>0</v>
      </c>
      <c r="AB112" s="21">
        <f>Tabla3568132129397172747576777877[[#This Row],[COMISIONES]]*0.105</f>
        <v>0</v>
      </c>
      <c r="AC112" s="21">
        <v>53425.22</v>
      </c>
      <c r="AD112" s="21"/>
      <c r="AF112"/>
      <c r="AG112"/>
      <c r="AH112"/>
      <c r="AI112"/>
      <c r="AJ112"/>
      <c r="AK112"/>
      <c r="AL112"/>
      <c r="AM112"/>
      <c r="AN112"/>
      <c r="AO112"/>
    </row>
    <row r="113" spans="1:41" s="6" customFormat="1" x14ac:dyDescent="0.25">
      <c r="A113"/>
      <c r="B113"/>
      <c r="C113"/>
      <c r="D113"/>
      <c r="E113"/>
      <c r="F113"/>
      <c r="H113"/>
      <c r="I113"/>
      <c r="J113"/>
      <c r="K113"/>
      <c r="L113"/>
      <c r="N113" s="18"/>
      <c r="O113" s="11">
        <f>Tabla35101826364142444546474844[[#This Row],[COMISIONES]]*0.21</f>
        <v>0</v>
      </c>
      <c r="P113" s="18"/>
      <c r="Q113" s="18"/>
      <c r="R113" s="18"/>
      <c r="T113"/>
      <c r="U113"/>
      <c r="V113"/>
      <c r="W113"/>
      <c r="X113"/>
      <c r="Z113" s="3"/>
      <c r="AA113" s="21">
        <f>Tabla3568132129397172747576777877[[#This Row],[COMISIONES]]*0.21</f>
        <v>0</v>
      </c>
      <c r="AB113" s="21">
        <f>Tabla3568132129397172747576777877[[#This Row],[COMISIONES]]*0.105</f>
        <v>0</v>
      </c>
      <c r="AC113" s="21">
        <v>104.62</v>
      </c>
      <c r="AD113" s="21"/>
      <c r="AF113"/>
      <c r="AG113"/>
      <c r="AH113"/>
      <c r="AI113"/>
      <c r="AJ113"/>
      <c r="AK113"/>
      <c r="AL113"/>
      <c r="AM113"/>
      <c r="AN113"/>
      <c r="AO113"/>
    </row>
    <row r="114" spans="1:41" s="6" customFormat="1" x14ac:dyDescent="0.25">
      <c r="A114"/>
      <c r="B114"/>
      <c r="C114"/>
      <c r="D114"/>
      <c r="E114"/>
      <c r="F114"/>
      <c r="H114"/>
      <c r="I114"/>
      <c r="J114"/>
      <c r="K114"/>
      <c r="L114"/>
      <c r="N114" s="18"/>
      <c r="O114" s="11">
        <f>Tabla35101826364142444546474844[[#This Row],[COMISIONES]]*0.21</f>
        <v>0</v>
      </c>
      <c r="P114" s="18"/>
      <c r="Q114" s="18"/>
      <c r="R114" s="18"/>
      <c r="T114"/>
      <c r="U114"/>
      <c r="V114"/>
      <c r="W114"/>
      <c r="X114"/>
      <c r="Z114" s="3"/>
      <c r="AA114" s="21">
        <f>Tabla3568132129397172747576777877[[#This Row],[COMISIONES]]*0.21</f>
        <v>0</v>
      </c>
      <c r="AB114" s="21">
        <f>Tabla3568132129397172747576777877[[#This Row],[COMISIONES]]*0.105</f>
        <v>0</v>
      </c>
      <c r="AC114" s="1">
        <v>9416.67</v>
      </c>
      <c r="AD114" s="21"/>
      <c r="AF114"/>
      <c r="AG114"/>
      <c r="AH114"/>
      <c r="AI114"/>
      <c r="AJ114"/>
      <c r="AK114"/>
      <c r="AL114"/>
      <c r="AM114"/>
      <c r="AN114"/>
      <c r="AO114"/>
    </row>
    <row r="115" spans="1:41" s="6" customFormat="1" x14ac:dyDescent="0.25">
      <c r="A115"/>
      <c r="B115"/>
      <c r="C115"/>
      <c r="D115"/>
      <c r="E115"/>
      <c r="F115"/>
      <c r="H115"/>
      <c r="I115"/>
      <c r="J115"/>
      <c r="K115"/>
      <c r="L115"/>
      <c r="N115" s="18"/>
      <c r="O115" s="11">
        <f>Tabla35101826364142444546474844[[#This Row],[COMISIONES]]*0.21</f>
        <v>0</v>
      </c>
      <c r="P115" s="18"/>
      <c r="Q115" s="18"/>
      <c r="R115" s="18"/>
      <c r="T115"/>
      <c r="U115"/>
      <c r="V115"/>
      <c r="W115"/>
      <c r="X115"/>
      <c r="Z115" s="21"/>
      <c r="AA115" s="21">
        <f>Tabla3568132129397172747576777877[[#This Row],[COMISIONES]]*0.21</f>
        <v>0</v>
      </c>
      <c r="AB115" s="21">
        <f>Tabla3568132129397172747576777877[[#This Row],[COMISIONES]]*0.105</f>
        <v>0</v>
      </c>
      <c r="AC115" s="1">
        <v>134.12</v>
      </c>
      <c r="AD115" s="21"/>
      <c r="AF115"/>
      <c r="AG115"/>
      <c r="AH115"/>
      <c r="AI115"/>
      <c r="AJ115"/>
      <c r="AK115"/>
      <c r="AL115"/>
      <c r="AM115"/>
      <c r="AN115"/>
      <c r="AO115"/>
    </row>
    <row r="116" spans="1:41" s="6" customFormat="1" x14ac:dyDescent="0.25">
      <c r="A116"/>
      <c r="B116"/>
      <c r="C116"/>
      <c r="D116"/>
      <c r="E116"/>
      <c r="F116"/>
      <c r="H116"/>
      <c r="I116"/>
      <c r="J116"/>
      <c r="K116"/>
      <c r="L116"/>
      <c r="N116" s="18"/>
      <c r="O116" s="11">
        <f>Tabla35101826364142444546474844[[#This Row],[COMISIONES]]*0.21</f>
        <v>0</v>
      </c>
      <c r="P116" s="18"/>
      <c r="Q116" s="18"/>
      <c r="R116" s="18"/>
      <c r="T116"/>
      <c r="U116"/>
      <c r="V116"/>
      <c r="W116"/>
      <c r="X116"/>
      <c r="Z116" s="3"/>
      <c r="AA116" s="21">
        <f>Tabla3568132129397172747576777877[[#This Row],[COMISIONES]]*0.21</f>
        <v>0</v>
      </c>
      <c r="AB116" s="21">
        <f>Tabla3568132129397172747576777877[[#This Row],[COMISIONES]]*0.105</f>
        <v>0</v>
      </c>
      <c r="AC116" s="1">
        <v>12071.14</v>
      </c>
      <c r="AD116" s="21"/>
      <c r="AF116"/>
      <c r="AG116"/>
      <c r="AH116"/>
      <c r="AI116"/>
      <c r="AJ116"/>
      <c r="AK116"/>
      <c r="AL116"/>
      <c r="AM116"/>
      <c r="AN116"/>
      <c r="AO116"/>
    </row>
    <row r="117" spans="1:41" s="6" customFormat="1" x14ac:dyDescent="0.25">
      <c r="A117"/>
      <c r="B117"/>
      <c r="C117"/>
      <c r="D117"/>
      <c r="E117"/>
      <c r="F117"/>
      <c r="H117"/>
      <c r="I117"/>
      <c r="J117"/>
      <c r="K117"/>
      <c r="L117"/>
      <c r="N117" s="18"/>
      <c r="O117" s="11">
        <f>Tabla35101826364142444546474844[[#This Row],[COMISIONES]]*0.21</f>
        <v>0</v>
      </c>
      <c r="P117" s="18"/>
      <c r="Q117" s="18"/>
      <c r="R117" s="18"/>
      <c r="T117"/>
      <c r="U117"/>
      <c r="V117"/>
      <c r="W117"/>
      <c r="X117"/>
      <c r="Z117" s="3"/>
      <c r="AA117" s="21">
        <f>Tabla3568132129397172747576777877[[#This Row],[COMISIONES]]*0.21</f>
        <v>0</v>
      </c>
      <c r="AB117" s="21">
        <f>Tabla3568132129397172747576777877[[#This Row],[COMISIONES]]*0.105</f>
        <v>0</v>
      </c>
      <c r="AC117" s="1">
        <v>397.29</v>
      </c>
      <c r="AD117"/>
      <c r="AF117"/>
      <c r="AG117"/>
      <c r="AH117"/>
      <c r="AI117"/>
      <c r="AJ117"/>
      <c r="AK117"/>
      <c r="AL117"/>
      <c r="AM117"/>
      <c r="AN117"/>
      <c r="AO117"/>
    </row>
    <row r="118" spans="1:41" s="6" customFormat="1" x14ac:dyDescent="0.25">
      <c r="A118"/>
      <c r="B118"/>
      <c r="C118"/>
      <c r="D118"/>
      <c r="E118"/>
      <c r="F118"/>
      <c r="H118"/>
      <c r="I118"/>
      <c r="J118"/>
      <c r="K118"/>
      <c r="L118"/>
      <c r="N118" s="18"/>
      <c r="O118" s="11">
        <f>Tabla35101826364142444546474844[[#This Row],[COMISIONES]]*0.21</f>
        <v>0</v>
      </c>
      <c r="P118" s="18"/>
      <c r="Q118" s="18"/>
      <c r="R118" s="18"/>
      <c r="T118"/>
      <c r="U118"/>
      <c r="V118"/>
      <c r="W118"/>
      <c r="X118"/>
      <c r="Z118" s="3"/>
      <c r="AA118" s="21">
        <f>Tabla3568132129397172747576777877[[#This Row],[COMISIONES]]*0.21</f>
        <v>0</v>
      </c>
      <c r="AB118" s="21">
        <f>Tabla3568132129397172747576777877[[#This Row],[COMISIONES]]*0.105</f>
        <v>0</v>
      </c>
      <c r="AC118" s="1">
        <v>35755.870000000003</v>
      </c>
      <c r="AD118"/>
      <c r="AF118"/>
      <c r="AG118"/>
      <c r="AH118"/>
      <c r="AI118"/>
      <c r="AJ118"/>
      <c r="AK118"/>
      <c r="AL118"/>
      <c r="AM118"/>
      <c r="AN118"/>
      <c r="AO118"/>
    </row>
    <row r="119" spans="1:41" s="6" customFormat="1" x14ac:dyDescent="0.25">
      <c r="A119"/>
      <c r="B119"/>
      <c r="C119"/>
      <c r="D119"/>
      <c r="E119"/>
      <c r="F119"/>
      <c r="H119"/>
      <c r="I119"/>
      <c r="J119"/>
      <c r="K119"/>
      <c r="L119"/>
      <c r="N119" s="18"/>
      <c r="O119" s="11">
        <f>Tabla35101826364142444546474844[[#This Row],[COMISIONES]]*0.21</f>
        <v>0</v>
      </c>
      <c r="P119" s="18"/>
      <c r="Q119" s="18"/>
      <c r="R119" s="18"/>
      <c r="T119"/>
      <c r="U119"/>
      <c r="V119"/>
      <c r="W119"/>
      <c r="X119"/>
      <c r="Z119" s="3"/>
      <c r="AA119" s="21">
        <f>Tabla3568132129397172747576777877[[#This Row],[COMISIONES]]*0.21</f>
        <v>0</v>
      </c>
      <c r="AB119" s="21">
        <f>Tabla3568132129397172747576777877[[#This Row],[COMISIONES]]*0.105</f>
        <v>0</v>
      </c>
      <c r="AC119" s="21">
        <v>97.69</v>
      </c>
      <c r="AD119" s="21"/>
      <c r="AF119"/>
      <c r="AG119"/>
      <c r="AH119"/>
      <c r="AI119"/>
      <c r="AJ119"/>
      <c r="AK119"/>
      <c r="AL119"/>
      <c r="AM119"/>
      <c r="AN119"/>
      <c r="AO119"/>
    </row>
    <row r="120" spans="1:41" s="6" customFormat="1" x14ac:dyDescent="0.25">
      <c r="A120"/>
      <c r="B120"/>
      <c r="C120"/>
      <c r="D120"/>
      <c r="E120"/>
      <c r="F120"/>
      <c r="H120"/>
      <c r="I120"/>
      <c r="J120"/>
      <c r="K120"/>
      <c r="L120"/>
      <c r="N120" s="18"/>
      <c r="O120" s="11">
        <f>Tabla35101826364142444546474844[[#This Row],[COMISIONES]]*0.21</f>
        <v>0</v>
      </c>
      <c r="P120" s="18"/>
      <c r="Q120" s="18"/>
      <c r="R120" s="18"/>
      <c r="T120"/>
      <c r="U120"/>
      <c r="V120"/>
      <c r="W120"/>
      <c r="X120"/>
      <c r="Z120" s="3"/>
      <c r="AA120" s="21">
        <f>Tabla3568132129397172747576777877[[#This Row],[COMISIONES]]*0.21</f>
        <v>0</v>
      </c>
      <c r="AB120" s="21">
        <f>Tabla3568132129397172747576777877[[#This Row],[COMISIONES]]*0.105</f>
        <v>0</v>
      </c>
      <c r="AC120" s="21">
        <v>8791.89</v>
      </c>
      <c r="AD120" s="21"/>
      <c r="AF120"/>
      <c r="AG120"/>
      <c r="AH120"/>
      <c r="AI120"/>
      <c r="AJ120"/>
      <c r="AK120"/>
      <c r="AL120"/>
      <c r="AM120"/>
      <c r="AN120"/>
      <c r="AO120"/>
    </row>
    <row r="121" spans="1:41" s="6" customFormat="1" x14ac:dyDescent="0.25">
      <c r="A121"/>
      <c r="B121"/>
      <c r="C121"/>
      <c r="D121"/>
      <c r="E121"/>
      <c r="F121"/>
      <c r="H121"/>
      <c r="I121"/>
      <c r="J121"/>
      <c r="K121"/>
      <c r="L121"/>
      <c r="N121" s="18"/>
      <c r="O121" s="11">
        <f>Tabla35101826364142444546474844[[#This Row],[COMISIONES]]*0.21</f>
        <v>0</v>
      </c>
      <c r="P121" s="18"/>
      <c r="Q121" s="18"/>
      <c r="R121" s="18"/>
      <c r="T121"/>
      <c r="U121"/>
      <c r="V121"/>
      <c r="W121"/>
      <c r="X121"/>
      <c r="Z121" s="3"/>
      <c r="AA121" s="21">
        <f>Tabla3568132129397172747576777877[[#This Row],[COMISIONES]]*0.21</f>
        <v>0</v>
      </c>
      <c r="AB121" s="21">
        <f>Tabla3568132129397172747576777877[[#This Row],[COMISIONES]]*0.105</f>
        <v>0</v>
      </c>
      <c r="AC121" s="21">
        <v>21327.75</v>
      </c>
      <c r="AD121" s="21"/>
      <c r="AF121"/>
      <c r="AG121"/>
      <c r="AH121"/>
      <c r="AI121"/>
      <c r="AJ121"/>
      <c r="AK121"/>
      <c r="AL121"/>
      <c r="AM121"/>
      <c r="AN121"/>
      <c r="AO121"/>
    </row>
    <row r="122" spans="1:41" s="6" customFormat="1" x14ac:dyDescent="0.25">
      <c r="A122"/>
      <c r="B122"/>
      <c r="C122"/>
      <c r="D122"/>
      <c r="E122"/>
      <c r="F122"/>
      <c r="H122"/>
      <c r="I122"/>
      <c r="J122"/>
      <c r="K122"/>
      <c r="L122"/>
      <c r="N122" s="18"/>
      <c r="O122" s="11">
        <f>Tabla35101826364142444546474844[[#This Row],[COMISIONES]]*0.21</f>
        <v>0</v>
      </c>
      <c r="P122" s="18"/>
      <c r="Q122" s="18"/>
      <c r="R122" s="18"/>
      <c r="T122"/>
      <c r="U122"/>
      <c r="V122"/>
      <c r="W122"/>
      <c r="X122"/>
      <c r="Z122" s="3"/>
      <c r="AA122" s="21">
        <f>Tabla3568132129397172747576777877[[#This Row],[COMISIONES]]*0.21</f>
        <v>0</v>
      </c>
      <c r="AB122" s="21">
        <f>Tabla3568132129397172747576777877[[#This Row],[COMISIONES]]*0.105</f>
        <v>0</v>
      </c>
      <c r="AC122" s="21">
        <v>236.97</v>
      </c>
      <c r="AD122" s="21"/>
      <c r="AF122"/>
      <c r="AG122"/>
      <c r="AH122"/>
      <c r="AI122"/>
      <c r="AJ122"/>
      <c r="AK122"/>
      <c r="AL122"/>
      <c r="AM122"/>
      <c r="AN122"/>
      <c r="AO122"/>
    </row>
    <row r="123" spans="1:41" s="6" customFormat="1" x14ac:dyDescent="0.25">
      <c r="A123"/>
      <c r="B123"/>
      <c r="C123"/>
      <c r="D123"/>
      <c r="E123"/>
      <c r="F123"/>
      <c r="H123"/>
      <c r="I123"/>
      <c r="J123"/>
      <c r="K123"/>
      <c r="L123"/>
      <c r="N123" s="18"/>
      <c r="O123" s="18"/>
      <c r="P123" s="18"/>
      <c r="Q123" s="18"/>
      <c r="R123" s="18"/>
      <c r="T123"/>
      <c r="U123"/>
      <c r="V123"/>
      <c r="W123"/>
      <c r="X123"/>
      <c r="Z123" s="3"/>
      <c r="AA123" s="21">
        <f>Tabla3568132129397172747576777877[[#This Row],[COMISIONES]]*0.21</f>
        <v>0</v>
      </c>
      <c r="AB123" s="21">
        <f>Tabla3568132129397172747576777877[[#This Row],[COMISIONES]]*0.105</f>
        <v>0</v>
      </c>
      <c r="AC123" s="21">
        <v>183.39</v>
      </c>
      <c r="AD123" s="21"/>
      <c r="AF123"/>
      <c r="AG123"/>
      <c r="AH123"/>
      <c r="AI123"/>
      <c r="AJ123"/>
      <c r="AK123"/>
      <c r="AL123"/>
      <c r="AM123"/>
      <c r="AN123"/>
      <c r="AO123"/>
    </row>
    <row r="124" spans="1:41" s="6" customFormat="1" x14ac:dyDescent="0.25">
      <c r="A124"/>
      <c r="B124"/>
      <c r="C124"/>
      <c r="D124"/>
      <c r="E124"/>
      <c r="F124"/>
      <c r="H124"/>
      <c r="I124"/>
      <c r="J124"/>
      <c r="K124"/>
      <c r="L124"/>
      <c r="N124" s="18"/>
      <c r="O124" s="18"/>
      <c r="P124" s="18"/>
      <c r="Q124" s="18"/>
      <c r="R124" s="18"/>
      <c r="T124"/>
      <c r="U124"/>
      <c r="V124"/>
      <c r="W124"/>
      <c r="X124"/>
      <c r="Z124" s="3"/>
      <c r="AA124" s="21">
        <f>Tabla3568132129397172747576777877[[#This Row],[COMISIONES]]*0.21</f>
        <v>0</v>
      </c>
      <c r="AB124" s="21">
        <f>Tabla3568132129397172747576777877[[#This Row],[COMISIONES]]*0.105</f>
        <v>0</v>
      </c>
      <c r="AC124" s="21">
        <v>16505.27</v>
      </c>
      <c r="AD124" s="21"/>
      <c r="AF124"/>
      <c r="AG124"/>
      <c r="AH124"/>
      <c r="AI124"/>
      <c r="AJ124"/>
      <c r="AK124"/>
      <c r="AL124"/>
      <c r="AM124"/>
      <c r="AN124"/>
      <c r="AO124"/>
    </row>
    <row r="125" spans="1:41" s="6" customFormat="1" x14ac:dyDescent="0.25">
      <c r="A125"/>
      <c r="B125"/>
      <c r="C125"/>
      <c r="D125"/>
      <c r="E125"/>
      <c r="F125"/>
      <c r="H125"/>
      <c r="I125"/>
      <c r="J125"/>
      <c r="K125"/>
      <c r="L125"/>
      <c r="N125" s="18"/>
      <c r="O125" s="18"/>
      <c r="P125" s="18"/>
      <c r="Q125" s="18"/>
      <c r="R125" s="18"/>
      <c r="T125"/>
      <c r="U125"/>
      <c r="V125"/>
      <c r="W125"/>
      <c r="X125"/>
      <c r="Z125" s="3"/>
      <c r="AA125" s="21">
        <f>Tabla3568132129397172747576777877[[#This Row],[COMISIONES]]*0.21</f>
        <v>0</v>
      </c>
      <c r="AB125" s="21">
        <f>Tabla3568132129397172747576777877[[#This Row],[COMISIONES]]*0.105</f>
        <v>0</v>
      </c>
      <c r="AC125" s="21">
        <v>49.84</v>
      </c>
      <c r="AD125" s="21"/>
      <c r="AF125"/>
      <c r="AG125"/>
      <c r="AH125"/>
      <c r="AI125"/>
      <c r="AJ125"/>
      <c r="AK125"/>
      <c r="AL125"/>
      <c r="AM125"/>
      <c r="AN125"/>
      <c r="AO125"/>
    </row>
    <row r="126" spans="1:41" s="6" customFormat="1" x14ac:dyDescent="0.25">
      <c r="A126"/>
      <c r="B126"/>
      <c r="C126"/>
      <c r="D126"/>
      <c r="E126"/>
      <c r="F126"/>
      <c r="H126"/>
      <c r="I126"/>
      <c r="J126"/>
      <c r="K126"/>
      <c r="L126"/>
      <c r="N126" s="18"/>
      <c r="O126" s="18"/>
      <c r="P126" s="18"/>
      <c r="Q126" s="18"/>
      <c r="R126" s="18"/>
      <c r="T126"/>
      <c r="U126"/>
      <c r="V126"/>
      <c r="W126"/>
      <c r="X126"/>
      <c r="Z126" s="3"/>
      <c r="AA126" s="21">
        <f>Tabla3568132129397172747576777877[[#This Row],[COMISIONES]]*0.21</f>
        <v>0</v>
      </c>
      <c r="AB126" s="21">
        <f>Tabla3568132129397172747576777877[[#This Row],[COMISIONES]]*0.105</f>
        <v>0</v>
      </c>
      <c r="AC126" s="21">
        <v>4485.63</v>
      </c>
      <c r="AD126" s="21"/>
      <c r="AF126"/>
      <c r="AG126"/>
      <c r="AH126"/>
      <c r="AI126"/>
      <c r="AJ126"/>
      <c r="AK126"/>
      <c r="AL126"/>
      <c r="AM126"/>
      <c r="AN126"/>
      <c r="AO126"/>
    </row>
    <row r="127" spans="1:41" s="6" customFormat="1" x14ac:dyDescent="0.25">
      <c r="A127"/>
      <c r="B127"/>
      <c r="C127"/>
      <c r="D127"/>
      <c r="E127"/>
      <c r="F127"/>
      <c r="H127"/>
      <c r="I127"/>
      <c r="J127"/>
      <c r="K127"/>
      <c r="L127"/>
      <c r="N127" s="18"/>
      <c r="O127" s="18"/>
      <c r="P127" s="18"/>
      <c r="Q127" s="18"/>
      <c r="R127" s="18"/>
      <c r="T127"/>
      <c r="U127"/>
      <c r="V127"/>
      <c r="W127"/>
      <c r="X127"/>
      <c r="Z127" s="3"/>
      <c r="AA127" s="21">
        <f>Tabla3568132129397172747576777877[[#This Row],[COMISIONES]]*0.21</f>
        <v>0</v>
      </c>
      <c r="AB127" s="21">
        <f>Tabla3568132129397172747576777877[[#This Row],[COMISIONES]]*0.105</f>
        <v>0</v>
      </c>
      <c r="AC127" s="21">
        <v>13929.11</v>
      </c>
      <c r="AD127" s="21"/>
      <c r="AF127"/>
      <c r="AG127"/>
      <c r="AH127"/>
      <c r="AI127"/>
      <c r="AJ127"/>
      <c r="AK127"/>
      <c r="AL127"/>
      <c r="AM127"/>
      <c r="AN127"/>
      <c r="AO127"/>
    </row>
    <row r="128" spans="1:41" s="6" customFormat="1" x14ac:dyDescent="0.25">
      <c r="A128"/>
      <c r="B128"/>
      <c r="C128"/>
      <c r="D128"/>
      <c r="E128"/>
      <c r="F128"/>
      <c r="H128"/>
      <c r="I128"/>
      <c r="J128"/>
      <c r="K128"/>
      <c r="L128"/>
      <c r="N128" s="18"/>
      <c r="O128" s="18"/>
      <c r="P128" s="18"/>
      <c r="Q128" s="18"/>
      <c r="R128" s="18"/>
      <c r="T128"/>
      <c r="U128"/>
      <c r="V128"/>
      <c r="W128"/>
      <c r="X128"/>
      <c r="Z128" s="3"/>
      <c r="AA128" s="21">
        <f>Tabla3568132129397172747576777877[[#This Row],[COMISIONES]]*0.21</f>
        <v>0</v>
      </c>
      <c r="AB128" s="21">
        <f>Tabla3568132129397172747576777877[[#This Row],[COMISIONES]]*0.105</f>
        <v>0</v>
      </c>
      <c r="AC128" s="21">
        <v>154.77000000000001</v>
      </c>
      <c r="AD128" s="21"/>
      <c r="AF128"/>
      <c r="AG128"/>
      <c r="AH128"/>
      <c r="AI128"/>
      <c r="AJ128"/>
      <c r="AK128"/>
      <c r="AL128"/>
      <c r="AM128"/>
      <c r="AN128"/>
      <c r="AO128"/>
    </row>
    <row r="129" spans="1:41" s="6" customFormat="1" x14ac:dyDescent="0.25">
      <c r="A129"/>
      <c r="B129"/>
      <c r="C129"/>
      <c r="D129"/>
      <c r="E129"/>
      <c r="F129"/>
      <c r="H129"/>
      <c r="I129"/>
      <c r="J129"/>
      <c r="K129"/>
      <c r="L129"/>
      <c r="N129" s="18"/>
      <c r="O129" s="18"/>
      <c r="P129" s="18"/>
      <c r="Q129" s="18"/>
      <c r="R129" s="18"/>
      <c r="T129"/>
      <c r="U129"/>
      <c r="V129"/>
      <c r="W129"/>
      <c r="X129"/>
      <c r="Z129" s="21"/>
      <c r="AA129" s="21">
        <f>Tabla3568132129397172747576777877[[#This Row],[COMISIONES]]*0.21</f>
        <v>0</v>
      </c>
      <c r="AB129" s="21">
        <f>Tabla3568132129397172747576777877[[#This Row],[COMISIONES]]*0.105</f>
        <v>0</v>
      </c>
      <c r="AC129" s="21">
        <v>339.15</v>
      </c>
      <c r="AD129" s="21"/>
      <c r="AF129"/>
      <c r="AG129"/>
      <c r="AH129"/>
      <c r="AI129"/>
      <c r="AJ129"/>
      <c r="AK129"/>
      <c r="AL129"/>
      <c r="AM129"/>
      <c r="AN129"/>
      <c r="AO129"/>
    </row>
    <row r="130" spans="1:41" s="6" customFormat="1" x14ac:dyDescent="0.25">
      <c r="A130"/>
      <c r="B130"/>
      <c r="C130"/>
      <c r="D130"/>
      <c r="E130"/>
      <c r="F130"/>
      <c r="H130"/>
      <c r="I130"/>
      <c r="J130"/>
      <c r="K130"/>
      <c r="L130"/>
      <c r="N130" s="18"/>
      <c r="O130" s="18"/>
      <c r="P130" s="18"/>
      <c r="Q130" s="18"/>
      <c r="R130" s="18"/>
      <c r="T130"/>
      <c r="U130"/>
      <c r="V130"/>
      <c r="W130"/>
      <c r="X130"/>
      <c r="Z130" s="21"/>
      <c r="AA130" s="21">
        <f>Tabla3568132129397172747576777877[[#This Row],[COMISIONES]]*0.21</f>
        <v>0</v>
      </c>
      <c r="AB130" s="21">
        <f>Tabla3568132129397172747576777877[[#This Row],[COMISIONES]]*0.105</f>
        <v>0</v>
      </c>
      <c r="AC130" s="21">
        <v>30523.63</v>
      </c>
      <c r="AD130" s="21"/>
      <c r="AF130"/>
      <c r="AG130"/>
      <c r="AH130"/>
      <c r="AI130"/>
      <c r="AJ130"/>
      <c r="AK130"/>
      <c r="AL130"/>
      <c r="AM130"/>
      <c r="AN130"/>
      <c r="AO130"/>
    </row>
    <row r="131" spans="1:41" s="6" customFormat="1" x14ac:dyDescent="0.25">
      <c r="A131"/>
      <c r="B131"/>
      <c r="C131"/>
      <c r="D131"/>
      <c r="E131"/>
      <c r="F131"/>
      <c r="H131"/>
      <c r="I131"/>
      <c r="J131"/>
      <c r="K131"/>
      <c r="L131"/>
      <c r="N131" s="18"/>
      <c r="O131" s="18"/>
      <c r="P131" s="18"/>
      <c r="Q131" s="18"/>
      <c r="R131" s="18"/>
      <c r="T131"/>
      <c r="U131"/>
      <c r="V131"/>
      <c r="W131"/>
      <c r="X131"/>
      <c r="Z131" s="21"/>
      <c r="AA131" s="21">
        <f>Tabla3568132129397172747576777877[[#This Row],[COMISIONES]]*0.21</f>
        <v>0</v>
      </c>
      <c r="AB131" s="21">
        <f>Tabla3568132129397172747576777877[[#This Row],[COMISIONES]]*0.105</f>
        <v>0</v>
      </c>
      <c r="AC131" s="21">
        <v>19.45</v>
      </c>
      <c r="AD131" s="21"/>
      <c r="AF131"/>
      <c r="AG131"/>
      <c r="AH131"/>
      <c r="AI131"/>
      <c r="AJ131"/>
      <c r="AK131"/>
      <c r="AL131"/>
      <c r="AM131"/>
      <c r="AN131"/>
      <c r="AO131"/>
    </row>
    <row r="132" spans="1:41" s="6" customFormat="1" x14ac:dyDescent="0.25">
      <c r="A132"/>
      <c r="B132"/>
      <c r="C132"/>
      <c r="D132"/>
      <c r="E132"/>
      <c r="F132"/>
      <c r="H132"/>
      <c r="I132"/>
      <c r="J132"/>
      <c r="K132"/>
      <c r="L132"/>
      <c r="N132" s="18"/>
      <c r="O132" s="18"/>
      <c r="P132" s="18"/>
      <c r="Q132" s="18"/>
      <c r="R132" s="18"/>
      <c r="T132"/>
      <c r="U132"/>
      <c r="V132"/>
      <c r="W132"/>
      <c r="X132"/>
      <c r="Z132" s="21"/>
      <c r="AA132" s="21">
        <f>Tabla3568132129397172747576777877[[#This Row],[COMISIONES]]*0.21</f>
        <v>0</v>
      </c>
      <c r="AB132" s="21">
        <f>Tabla3568132129397172747576777877[[#This Row],[COMISIONES]]*0.105</f>
        <v>0</v>
      </c>
      <c r="AC132" s="21">
        <v>1750.49</v>
      </c>
      <c r="AD132" s="21"/>
      <c r="AF132"/>
      <c r="AG132"/>
      <c r="AH132"/>
      <c r="AI132"/>
      <c r="AJ132"/>
      <c r="AK132"/>
      <c r="AL132"/>
      <c r="AM132"/>
      <c r="AN132"/>
      <c r="AO132"/>
    </row>
    <row r="133" spans="1:41" s="6" customFormat="1" x14ac:dyDescent="0.25">
      <c r="A133"/>
      <c r="B133"/>
      <c r="C133"/>
      <c r="D133"/>
      <c r="E133"/>
      <c r="F133"/>
      <c r="H133"/>
      <c r="I133"/>
      <c r="J133"/>
      <c r="K133"/>
      <c r="L133"/>
      <c r="N133" s="18"/>
      <c r="O133" s="18"/>
      <c r="P133" s="18"/>
      <c r="Q133" s="18"/>
      <c r="R133" s="18"/>
      <c r="T133"/>
      <c r="U133"/>
      <c r="V133"/>
      <c r="W133"/>
      <c r="X133"/>
      <c r="Z133" s="21"/>
      <c r="AA133" s="21">
        <f>Tabla3568132129397172747576777877[[#This Row],[COMISIONES]]*0.21</f>
        <v>0</v>
      </c>
      <c r="AB133" s="21">
        <f>Tabla3568132129397172747576777877[[#This Row],[COMISIONES]]*0.105</f>
        <v>0</v>
      </c>
      <c r="AC133" s="21">
        <v>12331.07</v>
      </c>
      <c r="AD133" s="21"/>
      <c r="AF133"/>
      <c r="AG133"/>
      <c r="AH133"/>
      <c r="AI133"/>
      <c r="AJ133"/>
      <c r="AK133"/>
      <c r="AL133"/>
      <c r="AM133"/>
      <c r="AN133"/>
      <c r="AO133"/>
    </row>
    <row r="134" spans="1:41" s="6" customFormat="1" x14ac:dyDescent="0.25">
      <c r="A134"/>
      <c r="B134"/>
      <c r="C134"/>
      <c r="D134"/>
      <c r="E134"/>
      <c r="F134"/>
      <c r="H134"/>
      <c r="I134"/>
      <c r="J134"/>
      <c r="K134"/>
      <c r="L134"/>
      <c r="N134" s="18"/>
      <c r="O134" s="18">
        <f>Tabla35101826364142444546474844[[#This Row],[COMISIONES]]*0.21</f>
        <v>0</v>
      </c>
      <c r="P134" s="18"/>
      <c r="Q134" s="18"/>
      <c r="R134" s="18"/>
      <c r="T134"/>
      <c r="U134"/>
      <c r="V134"/>
      <c r="W134"/>
      <c r="X134"/>
      <c r="Z134" s="21"/>
      <c r="AA134" s="21">
        <f>Tabla3568132129397172747576777877[[#This Row],[COMISIONES]]*0.21</f>
        <v>0</v>
      </c>
      <c r="AB134" s="21">
        <f>Tabla3568132129397172747576777877[[#This Row],[COMISIONES]]*0.105</f>
        <v>0</v>
      </c>
      <c r="AC134" s="21">
        <v>137.01</v>
      </c>
      <c r="AD134" s="21"/>
      <c r="AF134"/>
      <c r="AG134"/>
      <c r="AH134"/>
      <c r="AI134"/>
      <c r="AJ134"/>
      <c r="AK134"/>
      <c r="AL134"/>
      <c r="AM134"/>
      <c r="AN134"/>
      <c r="AO134"/>
    </row>
    <row r="135" spans="1:41" s="6" customFormat="1" x14ac:dyDescent="0.25">
      <c r="A135"/>
      <c r="B135"/>
      <c r="C135"/>
      <c r="D135"/>
      <c r="E135"/>
      <c r="F135"/>
      <c r="H135"/>
      <c r="I135"/>
      <c r="J135"/>
      <c r="K135"/>
      <c r="L135"/>
      <c r="N135" s="24">
        <f>SUBTOTAL(109,Tabla35101826364142444546474844[COMISIONES])</f>
        <v>5619.83</v>
      </c>
      <c r="O135" s="24">
        <f>SUBTOTAL(109,Tabla35101826364142444546474844[IVA 21])</f>
        <v>1180.1642999999999</v>
      </c>
      <c r="P135" s="24">
        <f>SUBTOTAL(109,Tabla35101826364142444546474844[IVA 10,5])</f>
        <v>0</v>
      </c>
      <c r="Q135" s="24">
        <f>SUBTOTAL(109,Tabla35101826364142444546474844[Ret IIBB Caba])</f>
        <v>13528.37</v>
      </c>
      <c r="R135" s="24">
        <f>SUBTOTAL(109,Tabla35101826364142444546474844[PERC IVA])</f>
        <v>168.59</v>
      </c>
      <c r="T135"/>
      <c r="U135"/>
      <c r="V135"/>
      <c r="W135"/>
      <c r="X135"/>
      <c r="Z135" s="21"/>
      <c r="AA135" s="21">
        <f>Tabla3568132129397172747576777877[[#This Row],[COMISIONES]]*0.21</f>
        <v>0</v>
      </c>
      <c r="AB135" s="21">
        <f>Tabla3568132129397172747576777877[[#This Row],[COMISIONES]]*0.105</f>
        <v>0</v>
      </c>
      <c r="AC135" s="21">
        <v>199.03</v>
      </c>
      <c r="AD135" s="21"/>
      <c r="AF135"/>
      <c r="AG135"/>
      <c r="AH135"/>
      <c r="AI135"/>
      <c r="AJ135"/>
      <c r="AK135"/>
      <c r="AL135"/>
      <c r="AM135"/>
      <c r="AN135"/>
      <c r="AO135"/>
    </row>
    <row r="136" spans="1:41" s="6" customFormat="1" x14ac:dyDescent="0.25">
      <c r="A136"/>
      <c r="B136"/>
      <c r="C136"/>
      <c r="D136"/>
      <c r="E136"/>
      <c r="F136"/>
      <c r="H136"/>
      <c r="I136"/>
      <c r="J136"/>
      <c r="K136"/>
      <c r="L136"/>
      <c r="N136"/>
      <c r="O136"/>
      <c r="P136"/>
      <c r="Q136"/>
      <c r="R136"/>
      <c r="T136"/>
      <c r="U136"/>
      <c r="V136"/>
      <c r="W136"/>
      <c r="X136"/>
      <c r="Z136" s="21"/>
      <c r="AA136" s="21">
        <f>Tabla3568132129397172747576777877[[#This Row],[COMISIONES]]*0.21</f>
        <v>0</v>
      </c>
      <c r="AB136" s="21">
        <f>Tabla3568132129397172747576777877[[#This Row],[COMISIONES]]*0.105</f>
        <v>0</v>
      </c>
      <c r="AC136" s="21">
        <v>17912.400000000001</v>
      </c>
      <c r="AD136" s="21"/>
      <c r="AF136"/>
      <c r="AG136"/>
      <c r="AH136"/>
      <c r="AI136"/>
      <c r="AJ136"/>
      <c r="AK136"/>
      <c r="AL136"/>
      <c r="AM136"/>
      <c r="AN136"/>
      <c r="AO136"/>
    </row>
    <row r="137" spans="1:41" s="6" customFormat="1" x14ac:dyDescent="0.25">
      <c r="A137"/>
      <c r="B137"/>
      <c r="C137"/>
      <c r="D137"/>
      <c r="E137"/>
      <c r="F137"/>
      <c r="H137"/>
      <c r="I137"/>
      <c r="J137"/>
      <c r="K137"/>
      <c r="L137"/>
      <c r="N137"/>
      <c r="O137"/>
      <c r="P137"/>
      <c r="Q137"/>
      <c r="R137"/>
      <c r="T137"/>
      <c r="U137"/>
      <c r="V137"/>
      <c r="W137"/>
      <c r="X137"/>
      <c r="Z137" s="21"/>
      <c r="AA137" s="21">
        <f>Tabla3568132129397172747576777877[[#This Row],[COMISIONES]]*0.21</f>
        <v>0</v>
      </c>
      <c r="AB137" s="21">
        <f>Tabla3568132129397172747576777877[[#This Row],[COMISIONES]]*0.105</f>
        <v>0</v>
      </c>
      <c r="AC137" s="21"/>
      <c r="AD137" s="21"/>
      <c r="AF137"/>
      <c r="AG137"/>
      <c r="AH137"/>
      <c r="AI137"/>
      <c r="AJ137"/>
      <c r="AK137"/>
      <c r="AL137"/>
      <c r="AM137"/>
      <c r="AN137"/>
      <c r="AO137"/>
    </row>
    <row r="138" spans="1:41" s="6" customFormat="1" x14ac:dyDescent="0.25">
      <c r="A138"/>
      <c r="B138"/>
      <c r="C138"/>
      <c r="D138"/>
      <c r="E138"/>
      <c r="F138"/>
      <c r="H138"/>
      <c r="I138"/>
      <c r="J138"/>
      <c r="K138"/>
      <c r="L138"/>
      <c r="N138"/>
      <c r="O138"/>
      <c r="P138"/>
      <c r="Q138"/>
      <c r="R138"/>
      <c r="T138"/>
      <c r="U138"/>
      <c r="V138"/>
      <c r="W138"/>
      <c r="X138"/>
      <c r="Z138" s="21"/>
      <c r="AA138" s="21">
        <f>Tabla3568132129397172747576777877[[#This Row],[COMISIONES]]*0.21</f>
        <v>0</v>
      </c>
      <c r="AB138" s="21">
        <f>Tabla3568132129397172747576777877[[#This Row],[COMISIONES]]*0.105</f>
        <v>0</v>
      </c>
      <c r="AC138" s="21"/>
      <c r="AD138" s="21"/>
      <c r="AF138"/>
      <c r="AG138"/>
      <c r="AH138"/>
      <c r="AI138"/>
      <c r="AJ138"/>
      <c r="AK138"/>
      <c r="AL138"/>
      <c r="AM138"/>
      <c r="AN138"/>
      <c r="AO138"/>
    </row>
    <row r="139" spans="1:41" s="6" customFormat="1" x14ac:dyDescent="0.25">
      <c r="A139"/>
      <c r="B139"/>
      <c r="C139"/>
      <c r="D139"/>
      <c r="E139"/>
      <c r="F139"/>
      <c r="H139"/>
      <c r="I139"/>
      <c r="J139"/>
      <c r="K139"/>
      <c r="L139"/>
      <c r="N139"/>
      <c r="O139"/>
      <c r="P139"/>
      <c r="Q139"/>
      <c r="R139"/>
      <c r="T139"/>
      <c r="U139"/>
      <c r="V139"/>
      <c r="W139"/>
      <c r="X139"/>
      <c r="Z139" s="21"/>
      <c r="AA139" s="21">
        <f>Tabla3568132129397172747576777877[[#This Row],[COMISIONES]]*0.21</f>
        <v>0</v>
      </c>
      <c r="AB139" s="21">
        <f>Tabla3568132129397172747576777877[[#This Row],[COMISIONES]]*0.105</f>
        <v>0</v>
      </c>
      <c r="AC139" s="21"/>
      <c r="AD139" s="21"/>
      <c r="AF139"/>
      <c r="AG139"/>
      <c r="AH139"/>
      <c r="AI139"/>
      <c r="AJ139"/>
      <c r="AK139"/>
      <c r="AL139"/>
      <c r="AM139"/>
      <c r="AN139"/>
      <c r="AO139"/>
    </row>
    <row r="140" spans="1:41" s="6" customFormat="1" x14ac:dyDescent="0.25">
      <c r="A140"/>
      <c r="B140"/>
      <c r="C140"/>
      <c r="D140"/>
      <c r="E140"/>
      <c r="F140"/>
      <c r="H140"/>
      <c r="I140"/>
      <c r="J140"/>
      <c r="K140"/>
      <c r="L140"/>
      <c r="N140"/>
      <c r="O140"/>
      <c r="P140"/>
      <c r="Q140"/>
      <c r="R140"/>
      <c r="T140"/>
      <c r="U140"/>
      <c r="V140"/>
      <c r="W140"/>
      <c r="X140"/>
      <c r="Z140" s="21"/>
      <c r="AA140" s="21">
        <f>Tabla3568132129397172747576777877[[#This Row],[COMISIONES]]*0.21</f>
        <v>0</v>
      </c>
      <c r="AB140" s="21">
        <f>Tabla3568132129397172747576777877[[#This Row],[COMISIONES]]*0.105</f>
        <v>0</v>
      </c>
      <c r="AC140" s="21"/>
      <c r="AD140" s="21"/>
      <c r="AF140"/>
      <c r="AG140"/>
      <c r="AH140"/>
      <c r="AI140"/>
      <c r="AJ140"/>
      <c r="AK140"/>
      <c r="AL140"/>
      <c r="AM140"/>
      <c r="AN140"/>
      <c r="AO140"/>
    </row>
    <row r="141" spans="1:41" s="6" customFormat="1" x14ac:dyDescent="0.25">
      <c r="A141"/>
      <c r="B141"/>
      <c r="C141"/>
      <c r="D141"/>
      <c r="E141"/>
      <c r="F141"/>
      <c r="H141"/>
      <c r="I141"/>
      <c r="J141"/>
      <c r="K141"/>
      <c r="L141"/>
      <c r="N141"/>
      <c r="O141"/>
      <c r="P141"/>
      <c r="Q141"/>
      <c r="R141"/>
      <c r="T141"/>
      <c r="U141"/>
      <c r="V141"/>
      <c r="W141"/>
      <c r="X141"/>
      <c r="Z141" s="21"/>
      <c r="AA141" s="21">
        <f>Tabla3568132129397172747576777877[[#This Row],[COMISIONES]]*0.21</f>
        <v>0</v>
      </c>
      <c r="AB141" s="21">
        <f>Tabla3568132129397172747576777877[[#This Row],[COMISIONES]]*0.105</f>
        <v>0</v>
      </c>
      <c r="AC141" s="21"/>
      <c r="AD141" s="21"/>
      <c r="AF141"/>
      <c r="AG141"/>
      <c r="AH141"/>
      <c r="AI141"/>
      <c r="AJ141"/>
      <c r="AK141"/>
      <c r="AL141"/>
      <c r="AM141"/>
      <c r="AN141"/>
      <c r="AO141"/>
    </row>
    <row r="142" spans="1:41" s="6" customFormat="1" x14ac:dyDescent="0.25">
      <c r="A142"/>
      <c r="B142"/>
      <c r="C142"/>
      <c r="D142"/>
      <c r="E142"/>
      <c r="F142"/>
      <c r="H142"/>
      <c r="I142"/>
      <c r="J142"/>
      <c r="K142"/>
      <c r="L142"/>
      <c r="N142"/>
      <c r="O142"/>
      <c r="P142"/>
      <c r="Q142"/>
      <c r="R142"/>
      <c r="T142"/>
      <c r="U142"/>
      <c r="V142"/>
      <c r="W142"/>
      <c r="X142"/>
      <c r="Z142" s="21"/>
      <c r="AA142" s="21">
        <f>Tabla3568132129397172747576777877[[#This Row],[COMISIONES]]*0.21</f>
        <v>0</v>
      </c>
      <c r="AB142" s="21">
        <f>Tabla3568132129397172747576777877[[#This Row],[COMISIONES]]*0.105</f>
        <v>0</v>
      </c>
      <c r="AC142" s="21"/>
      <c r="AD142" s="21"/>
      <c r="AF142"/>
      <c r="AG142"/>
      <c r="AH142"/>
      <c r="AI142"/>
      <c r="AJ142"/>
      <c r="AK142"/>
      <c r="AL142"/>
      <c r="AM142"/>
      <c r="AN142"/>
      <c r="AO142"/>
    </row>
    <row r="143" spans="1:41" s="6" customFormat="1" x14ac:dyDescent="0.25">
      <c r="A143"/>
      <c r="B143"/>
      <c r="C143"/>
      <c r="D143"/>
      <c r="E143"/>
      <c r="F143"/>
      <c r="H143"/>
      <c r="I143"/>
      <c r="J143"/>
      <c r="K143"/>
      <c r="L143"/>
      <c r="N143"/>
      <c r="O143"/>
      <c r="P143"/>
      <c r="Q143"/>
      <c r="R143"/>
      <c r="T143"/>
      <c r="U143"/>
      <c r="V143"/>
      <c r="W143"/>
      <c r="X143"/>
      <c r="Z143" s="21"/>
      <c r="AA143" s="21">
        <f>Tabla3568132129397172747576777877[[#This Row],[COMISIONES]]*0.21</f>
        <v>0</v>
      </c>
      <c r="AB143" s="21">
        <f>Tabla3568132129397172747576777877[[#This Row],[COMISIONES]]*0.105</f>
        <v>0</v>
      </c>
      <c r="AC143" s="21"/>
      <c r="AD143" s="21"/>
      <c r="AF143"/>
      <c r="AG143"/>
      <c r="AH143"/>
      <c r="AI143"/>
      <c r="AJ143"/>
      <c r="AK143"/>
      <c r="AL143"/>
      <c r="AM143"/>
      <c r="AN143"/>
      <c r="AO143"/>
    </row>
    <row r="144" spans="1:41" s="6" customFormat="1" x14ac:dyDescent="0.25">
      <c r="A144"/>
      <c r="B144"/>
      <c r="C144"/>
      <c r="D144"/>
      <c r="E144"/>
      <c r="F144"/>
      <c r="H144"/>
      <c r="I144"/>
      <c r="J144"/>
      <c r="K144"/>
      <c r="L144"/>
      <c r="N144"/>
      <c r="O144"/>
      <c r="P144"/>
      <c r="Q144"/>
      <c r="R144"/>
      <c r="T144"/>
      <c r="U144"/>
      <c r="V144"/>
      <c r="W144"/>
      <c r="X144"/>
      <c r="Z144" s="21"/>
      <c r="AA144" s="21">
        <f>Tabla3568132129397172747576777877[[#This Row],[COMISIONES]]*0.21</f>
        <v>0</v>
      </c>
      <c r="AB144" s="21">
        <f>Tabla3568132129397172747576777877[[#This Row],[COMISIONES]]*0.105</f>
        <v>0</v>
      </c>
      <c r="AC144" s="21"/>
      <c r="AD144" s="21"/>
      <c r="AF144"/>
      <c r="AG144"/>
      <c r="AH144"/>
      <c r="AI144"/>
      <c r="AJ144"/>
      <c r="AK144"/>
      <c r="AL144"/>
      <c r="AM144"/>
      <c r="AN144"/>
      <c r="AO144"/>
    </row>
    <row r="145" spans="1:41" s="6" customFormat="1" x14ac:dyDescent="0.25">
      <c r="A145"/>
      <c r="B145"/>
      <c r="C145"/>
      <c r="D145"/>
      <c r="E145"/>
      <c r="F145"/>
      <c r="H145"/>
      <c r="I145"/>
      <c r="J145"/>
      <c r="K145"/>
      <c r="L145"/>
      <c r="N145"/>
      <c r="O145"/>
      <c r="P145"/>
      <c r="Q145"/>
      <c r="R145"/>
      <c r="T145"/>
      <c r="U145"/>
      <c r="V145"/>
      <c r="W145"/>
      <c r="X145"/>
      <c r="Z145" s="21"/>
      <c r="AA145" s="21">
        <f>Tabla3568132129397172747576777877[[#This Row],[COMISIONES]]*0.21</f>
        <v>0</v>
      </c>
      <c r="AB145" s="21">
        <f>Tabla3568132129397172747576777877[[#This Row],[COMISIONES]]*0.105</f>
        <v>0</v>
      </c>
      <c r="AC145" s="21"/>
      <c r="AD145" s="21"/>
      <c r="AF145"/>
      <c r="AG145"/>
      <c r="AH145"/>
      <c r="AI145"/>
      <c r="AJ145"/>
      <c r="AK145"/>
      <c r="AL145"/>
      <c r="AM145"/>
      <c r="AN145"/>
      <c r="AO145"/>
    </row>
    <row r="146" spans="1:41" s="6" customFormat="1" x14ac:dyDescent="0.25">
      <c r="A146"/>
      <c r="B146"/>
      <c r="C146"/>
      <c r="D146"/>
      <c r="E146"/>
      <c r="F146"/>
      <c r="H146"/>
      <c r="I146"/>
      <c r="J146"/>
      <c r="K146"/>
      <c r="L146"/>
      <c r="N146"/>
      <c r="O146"/>
      <c r="P146"/>
      <c r="Q146"/>
      <c r="R146"/>
      <c r="T146"/>
      <c r="U146"/>
      <c r="V146"/>
      <c r="W146"/>
      <c r="X146"/>
      <c r="Z146" s="21"/>
      <c r="AA146" s="21">
        <f>Tabla3568132129397172747576777877[[#This Row],[COMISIONES]]*0.21</f>
        <v>0</v>
      </c>
      <c r="AB146" s="21">
        <f>Tabla3568132129397172747576777877[[#This Row],[COMISIONES]]*0.105</f>
        <v>0</v>
      </c>
      <c r="AC146" s="21"/>
      <c r="AD146" s="21"/>
      <c r="AF146"/>
      <c r="AG146"/>
      <c r="AH146"/>
      <c r="AI146"/>
      <c r="AJ146"/>
      <c r="AK146"/>
      <c r="AL146"/>
      <c r="AM146"/>
      <c r="AN146"/>
      <c r="AO146"/>
    </row>
    <row r="147" spans="1:41" s="6" customFormat="1" x14ac:dyDescent="0.25">
      <c r="A147"/>
      <c r="B147"/>
      <c r="C147"/>
      <c r="D147"/>
      <c r="E147"/>
      <c r="F147"/>
      <c r="H147"/>
      <c r="I147"/>
      <c r="J147"/>
      <c r="K147"/>
      <c r="L147"/>
      <c r="N147"/>
      <c r="O147"/>
      <c r="P147"/>
      <c r="Q147"/>
      <c r="R147"/>
      <c r="T147"/>
      <c r="U147"/>
      <c r="V147"/>
      <c r="W147"/>
      <c r="X147"/>
      <c r="Z147" s="21"/>
      <c r="AA147" s="21">
        <f>Tabla3568132129397172747576777877[[#This Row],[COMISIONES]]*0.21</f>
        <v>0</v>
      </c>
      <c r="AB147" s="21">
        <f>Tabla3568132129397172747576777877[[#This Row],[COMISIONES]]*0.105</f>
        <v>0</v>
      </c>
      <c r="AC147" s="21"/>
      <c r="AD147" s="21"/>
      <c r="AF147"/>
      <c r="AG147"/>
      <c r="AH147"/>
      <c r="AI147"/>
      <c r="AJ147"/>
      <c r="AK147"/>
      <c r="AL147"/>
      <c r="AM147"/>
      <c r="AN147"/>
      <c r="AO147"/>
    </row>
    <row r="148" spans="1:41" s="6" customFormat="1" x14ac:dyDescent="0.25">
      <c r="A148"/>
      <c r="B148"/>
      <c r="C148"/>
      <c r="D148"/>
      <c r="E148"/>
      <c r="F148"/>
      <c r="H148"/>
      <c r="I148"/>
      <c r="J148"/>
      <c r="K148"/>
      <c r="L148"/>
      <c r="N148"/>
      <c r="O148"/>
      <c r="P148"/>
      <c r="Q148"/>
      <c r="R148"/>
      <c r="T148"/>
      <c r="U148"/>
      <c r="V148"/>
      <c r="W148"/>
      <c r="X148"/>
      <c r="Z148" s="21"/>
      <c r="AA148" s="21">
        <f>Tabla3568132129397172747576777877[[#This Row],[COMISIONES]]*0.21</f>
        <v>0</v>
      </c>
      <c r="AB148" s="21">
        <f>Tabla3568132129397172747576777877[[#This Row],[COMISIONES]]*0.105</f>
        <v>0</v>
      </c>
      <c r="AC148" s="21"/>
      <c r="AD148" s="21"/>
      <c r="AF148"/>
      <c r="AG148"/>
      <c r="AH148"/>
      <c r="AI148"/>
      <c r="AJ148"/>
      <c r="AK148"/>
      <c r="AL148"/>
      <c r="AM148"/>
      <c r="AN148"/>
      <c r="AO148"/>
    </row>
    <row r="149" spans="1:41" s="6" customFormat="1" x14ac:dyDescent="0.25">
      <c r="A149"/>
      <c r="B149"/>
      <c r="C149"/>
      <c r="D149"/>
      <c r="E149"/>
      <c r="F149"/>
      <c r="H149"/>
      <c r="I149"/>
      <c r="J149"/>
      <c r="K149"/>
      <c r="L149"/>
      <c r="N149"/>
      <c r="O149"/>
      <c r="P149"/>
      <c r="Q149"/>
      <c r="R149"/>
      <c r="T149"/>
      <c r="U149"/>
      <c r="V149"/>
      <c r="W149"/>
      <c r="X149"/>
      <c r="Z149" s="21"/>
      <c r="AA149" s="21">
        <f>Tabla3568132129397172747576777877[[#This Row],[COMISIONES]]*0.21</f>
        <v>0</v>
      </c>
      <c r="AB149" s="21">
        <f>Tabla3568132129397172747576777877[[#This Row],[COMISIONES]]*0.105</f>
        <v>0</v>
      </c>
      <c r="AC149" s="21"/>
      <c r="AD149" s="21"/>
      <c r="AF149"/>
      <c r="AG149"/>
      <c r="AH149"/>
      <c r="AI149"/>
      <c r="AJ149"/>
      <c r="AK149"/>
      <c r="AL149"/>
      <c r="AM149"/>
      <c r="AN149"/>
      <c r="AO149"/>
    </row>
    <row r="150" spans="1:41" s="6" customFormat="1" x14ac:dyDescent="0.25">
      <c r="A150"/>
      <c r="B150"/>
      <c r="C150"/>
      <c r="D150"/>
      <c r="E150"/>
      <c r="F150"/>
      <c r="H150"/>
      <c r="I150"/>
      <c r="J150"/>
      <c r="K150"/>
      <c r="L150"/>
      <c r="N150"/>
      <c r="O150"/>
      <c r="P150"/>
      <c r="Q150"/>
      <c r="R150"/>
      <c r="T150"/>
      <c r="U150"/>
      <c r="V150"/>
      <c r="W150"/>
      <c r="X150"/>
      <c r="Z150" s="21"/>
      <c r="AA150" s="21">
        <f>Tabla3568132129397172747576777877[[#This Row],[COMISIONES]]*0.21</f>
        <v>0</v>
      </c>
      <c r="AB150" s="21">
        <f>Tabla3568132129397172747576777877[[#This Row],[COMISIONES]]*0.105</f>
        <v>0</v>
      </c>
      <c r="AC150" s="21"/>
      <c r="AD150" s="21"/>
      <c r="AF150"/>
      <c r="AG150"/>
      <c r="AH150"/>
      <c r="AI150"/>
      <c r="AJ150"/>
      <c r="AK150"/>
      <c r="AL150"/>
      <c r="AM150"/>
      <c r="AN150"/>
      <c r="AO150"/>
    </row>
    <row r="151" spans="1:41" s="6" customFormat="1" x14ac:dyDescent="0.25">
      <c r="A151"/>
      <c r="B151"/>
      <c r="C151"/>
      <c r="D151"/>
      <c r="E151"/>
      <c r="F151"/>
      <c r="H151"/>
      <c r="I151"/>
      <c r="J151"/>
      <c r="K151"/>
      <c r="L151"/>
      <c r="N151"/>
      <c r="O151"/>
      <c r="P151"/>
      <c r="Q151"/>
      <c r="R151"/>
      <c r="T151"/>
      <c r="U151"/>
      <c r="V151"/>
      <c r="W151"/>
      <c r="X151"/>
      <c r="Z151" s="21"/>
      <c r="AA151" s="21">
        <f>Tabla3568132129397172747576777877[[#This Row],[COMISIONES]]*0.21</f>
        <v>0</v>
      </c>
      <c r="AB151" s="21">
        <f>Tabla3568132129397172747576777877[[#This Row],[COMISIONES]]*0.105</f>
        <v>0</v>
      </c>
      <c r="AC151" s="21"/>
      <c r="AD151" s="21"/>
      <c r="AF151"/>
      <c r="AG151"/>
      <c r="AH151"/>
      <c r="AI151"/>
      <c r="AJ151"/>
      <c r="AK151"/>
      <c r="AL151"/>
      <c r="AM151"/>
      <c r="AN151"/>
      <c r="AO151"/>
    </row>
    <row r="152" spans="1:41" s="6" customFormat="1" x14ac:dyDescent="0.25">
      <c r="A152"/>
      <c r="B152"/>
      <c r="C152"/>
      <c r="D152"/>
      <c r="E152"/>
      <c r="F152"/>
      <c r="H152"/>
      <c r="I152"/>
      <c r="J152"/>
      <c r="K152"/>
      <c r="L152"/>
      <c r="N152"/>
      <c r="O152"/>
      <c r="P152"/>
      <c r="Q152"/>
      <c r="R152"/>
      <c r="T152"/>
      <c r="U152"/>
      <c r="V152"/>
      <c r="W152"/>
      <c r="X152"/>
      <c r="Z152" s="21"/>
      <c r="AA152" s="21">
        <f>Tabla3568132129397172747576777877[[#This Row],[COMISIONES]]*0.21</f>
        <v>0</v>
      </c>
      <c r="AB152" s="21">
        <f>Tabla3568132129397172747576777877[[#This Row],[COMISIONES]]*0.105</f>
        <v>0</v>
      </c>
      <c r="AC152" s="21"/>
      <c r="AD152" s="21"/>
      <c r="AF152"/>
      <c r="AG152"/>
      <c r="AH152"/>
      <c r="AI152"/>
      <c r="AJ152"/>
      <c r="AK152"/>
      <c r="AL152"/>
      <c r="AM152"/>
      <c r="AN152"/>
      <c r="AO152"/>
    </row>
    <row r="153" spans="1:41" s="6" customFormat="1" x14ac:dyDescent="0.25">
      <c r="A153"/>
      <c r="B153"/>
      <c r="C153"/>
      <c r="D153"/>
      <c r="E153"/>
      <c r="F153"/>
      <c r="H153"/>
      <c r="I153"/>
      <c r="J153"/>
      <c r="K153"/>
      <c r="L153"/>
      <c r="N153"/>
      <c r="O153"/>
      <c r="P153"/>
      <c r="Q153"/>
      <c r="R153"/>
      <c r="T153"/>
      <c r="U153"/>
      <c r="V153"/>
      <c r="W153"/>
      <c r="X153"/>
      <c r="Z153" s="21"/>
      <c r="AA153" s="21">
        <f>Tabla3568132129397172747576777877[[#This Row],[COMISIONES]]*0.21</f>
        <v>0</v>
      </c>
      <c r="AB153" s="21">
        <f>Tabla3568132129397172747576777877[[#This Row],[COMISIONES]]*0.105</f>
        <v>0</v>
      </c>
      <c r="AC153" s="21"/>
      <c r="AD153" s="21"/>
      <c r="AF153"/>
      <c r="AG153"/>
      <c r="AH153"/>
      <c r="AI153"/>
      <c r="AJ153"/>
      <c r="AK153"/>
      <c r="AL153"/>
      <c r="AM153"/>
      <c r="AN153"/>
      <c r="AO153"/>
    </row>
    <row r="154" spans="1:41" s="6" customFormat="1" x14ac:dyDescent="0.25">
      <c r="A154"/>
      <c r="B154"/>
      <c r="C154"/>
      <c r="D154"/>
      <c r="E154"/>
      <c r="F154"/>
      <c r="H154"/>
      <c r="I154"/>
      <c r="J154"/>
      <c r="K154"/>
      <c r="L154"/>
      <c r="N154"/>
      <c r="O154"/>
      <c r="P154"/>
      <c r="Q154"/>
      <c r="R154"/>
      <c r="T154"/>
      <c r="U154"/>
      <c r="V154"/>
      <c r="W154"/>
      <c r="X154"/>
      <c r="Z154" s="21"/>
      <c r="AA154" s="21">
        <f>Tabla3568132129397172747576777877[[#This Row],[COMISIONES]]*0.21</f>
        <v>0</v>
      </c>
      <c r="AB154" s="21">
        <f>Tabla3568132129397172747576777877[[#This Row],[COMISIONES]]*0.105</f>
        <v>0</v>
      </c>
      <c r="AC154" s="21"/>
      <c r="AD154" s="21"/>
      <c r="AF154"/>
      <c r="AG154"/>
      <c r="AH154"/>
      <c r="AI154"/>
      <c r="AJ154"/>
      <c r="AK154"/>
      <c r="AL154"/>
      <c r="AM154"/>
      <c r="AN154"/>
      <c r="AO154"/>
    </row>
    <row r="155" spans="1:41" s="6" customFormat="1" x14ac:dyDescent="0.25">
      <c r="A155"/>
      <c r="B155"/>
      <c r="C155"/>
      <c r="D155"/>
      <c r="E155"/>
      <c r="F155"/>
      <c r="H155"/>
      <c r="I155"/>
      <c r="J155"/>
      <c r="K155"/>
      <c r="L155"/>
      <c r="N155"/>
      <c r="O155"/>
      <c r="P155"/>
      <c r="Q155"/>
      <c r="R155"/>
      <c r="T155"/>
      <c r="U155"/>
      <c r="V155"/>
      <c r="W155"/>
      <c r="X155"/>
      <c r="Z155" s="21"/>
      <c r="AA155" s="21">
        <f>Tabla3568132129397172747576777877[[#This Row],[COMISIONES]]*0.21</f>
        <v>0</v>
      </c>
      <c r="AB155" s="21">
        <f>Tabla3568132129397172747576777877[[#This Row],[COMISIONES]]*0.105</f>
        <v>0</v>
      </c>
      <c r="AC155" s="21"/>
      <c r="AD155" s="21"/>
      <c r="AF155"/>
      <c r="AG155"/>
      <c r="AH155"/>
      <c r="AI155"/>
      <c r="AJ155"/>
      <c r="AK155"/>
      <c r="AL155"/>
      <c r="AM155"/>
      <c r="AN155"/>
      <c r="AO155"/>
    </row>
    <row r="156" spans="1:41" s="6" customFormat="1" x14ac:dyDescent="0.25">
      <c r="A156"/>
      <c r="B156"/>
      <c r="C156"/>
      <c r="D156"/>
      <c r="E156"/>
      <c r="F156"/>
      <c r="H156"/>
      <c r="I156"/>
      <c r="J156"/>
      <c r="K156"/>
      <c r="L156"/>
      <c r="N156"/>
      <c r="O156"/>
      <c r="P156"/>
      <c r="Q156"/>
      <c r="R156"/>
      <c r="T156"/>
      <c r="U156"/>
      <c r="V156"/>
      <c r="W156"/>
      <c r="X156"/>
      <c r="Z156" s="21"/>
      <c r="AA156" s="21">
        <f>Tabla3568132129397172747576777877[[#This Row],[COMISIONES]]*0.21</f>
        <v>0</v>
      </c>
      <c r="AB156" s="21">
        <f>Tabla3568132129397172747576777877[[#This Row],[COMISIONES]]*0.105</f>
        <v>0</v>
      </c>
      <c r="AC156" s="21"/>
      <c r="AD156" s="21"/>
      <c r="AF156"/>
      <c r="AG156"/>
      <c r="AH156"/>
      <c r="AI156"/>
      <c r="AJ156"/>
      <c r="AK156"/>
      <c r="AL156"/>
      <c r="AM156"/>
      <c r="AN156"/>
      <c r="AO156"/>
    </row>
    <row r="157" spans="1:41" s="6" customFormat="1" x14ac:dyDescent="0.25">
      <c r="A157"/>
      <c r="B157"/>
      <c r="C157"/>
      <c r="D157"/>
      <c r="E157"/>
      <c r="F157"/>
      <c r="H157"/>
      <c r="I157"/>
      <c r="J157"/>
      <c r="K157"/>
      <c r="L157"/>
      <c r="N157"/>
      <c r="O157"/>
      <c r="P157"/>
      <c r="Q157"/>
      <c r="R157"/>
      <c r="T157"/>
      <c r="U157"/>
      <c r="V157"/>
      <c r="W157"/>
      <c r="X157"/>
      <c r="Z157" s="21"/>
      <c r="AA157" s="21">
        <f>Tabla3568132129397172747576777877[[#This Row],[COMISIONES]]*0.21</f>
        <v>0</v>
      </c>
      <c r="AB157" s="21">
        <f>Tabla3568132129397172747576777877[[#This Row],[COMISIONES]]*0.105</f>
        <v>0</v>
      </c>
      <c r="AC157" s="21"/>
      <c r="AD157" s="21"/>
      <c r="AF157"/>
      <c r="AG157"/>
      <c r="AH157"/>
      <c r="AI157"/>
      <c r="AJ157"/>
      <c r="AK157"/>
      <c r="AL157"/>
      <c r="AM157"/>
      <c r="AN157"/>
      <c r="AO157"/>
    </row>
    <row r="158" spans="1:41" s="6" customFormat="1" x14ac:dyDescent="0.25">
      <c r="A158"/>
      <c r="B158"/>
      <c r="C158"/>
      <c r="D158"/>
      <c r="E158"/>
      <c r="F158"/>
      <c r="H158"/>
      <c r="I158"/>
      <c r="J158"/>
      <c r="K158"/>
      <c r="L158"/>
      <c r="N158"/>
      <c r="O158"/>
      <c r="P158"/>
      <c r="Q158"/>
      <c r="R158"/>
      <c r="T158"/>
      <c r="U158"/>
      <c r="V158"/>
      <c r="W158"/>
      <c r="X158"/>
      <c r="Z158" s="21"/>
      <c r="AA158" s="21">
        <f>Tabla3568132129397172747576777877[[#This Row],[COMISIONES]]*0.21</f>
        <v>0</v>
      </c>
      <c r="AB158" s="21">
        <f>Tabla3568132129397172747576777877[[#This Row],[COMISIONES]]*0.105</f>
        <v>0</v>
      </c>
      <c r="AC158" s="21"/>
      <c r="AD158" s="21"/>
      <c r="AF158"/>
      <c r="AG158"/>
      <c r="AH158"/>
      <c r="AI158"/>
      <c r="AJ158"/>
      <c r="AK158"/>
      <c r="AL158"/>
      <c r="AM158"/>
      <c r="AN158"/>
      <c r="AO158"/>
    </row>
    <row r="159" spans="1:41" s="6" customFormat="1" x14ac:dyDescent="0.25">
      <c r="A159"/>
      <c r="B159"/>
      <c r="C159"/>
      <c r="D159"/>
      <c r="E159"/>
      <c r="F159"/>
      <c r="H159"/>
      <c r="I159"/>
      <c r="J159"/>
      <c r="K159"/>
      <c r="L159"/>
      <c r="N159"/>
      <c r="O159"/>
      <c r="P159"/>
      <c r="Q159"/>
      <c r="R159"/>
      <c r="T159"/>
      <c r="U159"/>
      <c r="V159"/>
      <c r="W159"/>
      <c r="X159"/>
      <c r="Z159" s="21"/>
      <c r="AA159" s="21">
        <f>Tabla3568132129397172747576777877[[#This Row],[COMISIONES]]*0.21</f>
        <v>0</v>
      </c>
      <c r="AB159" s="21">
        <f>Tabla3568132129397172747576777877[[#This Row],[COMISIONES]]*0.105</f>
        <v>0</v>
      </c>
      <c r="AC159" s="21"/>
      <c r="AD159" s="21"/>
      <c r="AF159"/>
      <c r="AG159"/>
      <c r="AH159"/>
      <c r="AI159"/>
      <c r="AJ159"/>
      <c r="AK159"/>
      <c r="AL159"/>
      <c r="AM159"/>
      <c r="AN159"/>
      <c r="AO159"/>
    </row>
    <row r="160" spans="1:41" s="6" customFormat="1" x14ac:dyDescent="0.25">
      <c r="A160"/>
      <c r="B160"/>
      <c r="C160"/>
      <c r="D160"/>
      <c r="E160"/>
      <c r="F160"/>
      <c r="H160"/>
      <c r="I160"/>
      <c r="J160"/>
      <c r="K160"/>
      <c r="L160"/>
      <c r="N160"/>
      <c r="O160"/>
      <c r="P160"/>
      <c r="Q160"/>
      <c r="R160"/>
      <c r="T160"/>
      <c r="U160"/>
      <c r="V160"/>
      <c r="W160"/>
      <c r="X160"/>
      <c r="Z160" s="21"/>
      <c r="AA160" s="21">
        <f>Tabla3568132129397172747576777877[[#This Row],[COMISIONES]]*0.21</f>
        <v>0</v>
      </c>
      <c r="AB160" s="21">
        <f>Tabla3568132129397172747576777877[[#This Row],[COMISIONES]]*0.105</f>
        <v>0</v>
      </c>
      <c r="AC160" s="21"/>
      <c r="AD160" s="21"/>
      <c r="AF160"/>
      <c r="AG160"/>
      <c r="AH160"/>
      <c r="AI160"/>
      <c r="AJ160"/>
      <c r="AK160"/>
      <c r="AL160"/>
      <c r="AM160"/>
      <c r="AN160"/>
      <c r="AO160"/>
    </row>
    <row r="161" spans="1:41" s="6" customFormat="1" x14ac:dyDescent="0.25">
      <c r="A161"/>
      <c r="B161"/>
      <c r="C161"/>
      <c r="D161"/>
      <c r="E161"/>
      <c r="F161"/>
      <c r="H161"/>
      <c r="I161"/>
      <c r="J161"/>
      <c r="K161"/>
      <c r="L161"/>
      <c r="N161"/>
      <c r="O161"/>
      <c r="P161"/>
      <c r="Q161"/>
      <c r="R161"/>
      <c r="T161"/>
      <c r="U161"/>
      <c r="V161"/>
      <c r="W161"/>
      <c r="X161"/>
      <c r="Z161" s="21"/>
      <c r="AA161" s="21">
        <f>Tabla3568132129397172747576777877[[#This Row],[COMISIONES]]*0.21</f>
        <v>0</v>
      </c>
      <c r="AB161" s="21">
        <f>Tabla3568132129397172747576777877[[#This Row],[COMISIONES]]*0.105</f>
        <v>0</v>
      </c>
      <c r="AC161" s="21"/>
      <c r="AD161" s="21"/>
      <c r="AF161"/>
      <c r="AG161"/>
      <c r="AH161"/>
      <c r="AI161"/>
      <c r="AJ161"/>
      <c r="AK161"/>
      <c r="AL161"/>
      <c r="AM161"/>
      <c r="AN161"/>
      <c r="AO161"/>
    </row>
    <row r="162" spans="1:41" s="6" customFormat="1" x14ac:dyDescent="0.25">
      <c r="A162"/>
      <c r="B162"/>
      <c r="C162"/>
      <c r="D162"/>
      <c r="E162"/>
      <c r="F162"/>
      <c r="H162"/>
      <c r="I162"/>
      <c r="J162"/>
      <c r="K162"/>
      <c r="L162"/>
      <c r="N162"/>
      <c r="O162"/>
      <c r="P162"/>
      <c r="Q162"/>
      <c r="R162"/>
      <c r="T162"/>
      <c r="U162"/>
      <c r="V162"/>
      <c r="W162"/>
      <c r="X162"/>
      <c r="Z162" s="21"/>
      <c r="AA162" s="21">
        <f>Tabla3568132129397172747576777877[[#This Row],[COMISIONES]]*0.21</f>
        <v>0</v>
      </c>
      <c r="AB162" s="21">
        <f>Tabla3568132129397172747576777877[[#This Row],[COMISIONES]]*0.105</f>
        <v>0</v>
      </c>
      <c r="AC162" s="21"/>
      <c r="AD162" s="21"/>
      <c r="AF162"/>
      <c r="AG162"/>
      <c r="AH162"/>
      <c r="AI162"/>
      <c r="AJ162"/>
      <c r="AK162"/>
      <c r="AL162"/>
      <c r="AM162"/>
      <c r="AN162"/>
      <c r="AO162"/>
    </row>
    <row r="163" spans="1:41" s="6" customFormat="1" x14ac:dyDescent="0.25">
      <c r="A163"/>
      <c r="B163"/>
      <c r="C163"/>
      <c r="D163"/>
      <c r="E163"/>
      <c r="F163"/>
      <c r="H163"/>
      <c r="I163"/>
      <c r="J163"/>
      <c r="K163"/>
      <c r="L163"/>
      <c r="N163"/>
      <c r="O163"/>
      <c r="P163"/>
      <c r="Q163"/>
      <c r="R163"/>
      <c r="T163"/>
      <c r="U163"/>
      <c r="V163"/>
      <c r="W163"/>
      <c r="X163"/>
      <c r="Z163" s="21"/>
      <c r="AA163" s="21">
        <f>Tabla3568132129397172747576777877[[#This Row],[COMISIONES]]*0.21</f>
        <v>0</v>
      </c>
      <c r="AB163" s="21">
        <f>Tabla3568132129397172747576777877[[#This Row],[COMISIONES]]*0.105</f>
        <v>0</v>
      </c>
      <c r="AC163" s="21"/>
      <c r="AD163" s="21"/>
      <c r="AF163"/>
      <c r="AG163"/>
      <c r="AH163"/>
      <c r="AI163"/>
      <c r="AJ163"/>
      <c r="AK163"/>
      <c r="AL163"/>
      <c r="AM163"/>
      <c r="AN163"/>
      <c r="AO163"/>
    </row>
    <row r="164" spans="1:41" s="6" customFormat="1" x14ac:dyDescent="0.25">
      <c r="A164"/>
      <c r="B164"/>
      <c r="C164"/>
      <c r="D164"/>
      <c r="E164"/>
      <c r="F164"/>
      <c r="H164"/>
      <c r="I164"/>
      <c r="J164"/>
      <c r="K164"/>
      <c r="L164"/>
      <c r="N164"/>
      <c r="O164"/>
      <c r="P164"/>
      <c r="Q164"/>
      <c r="R164"/>
      <c r="T164"/>
      <c r="U164"/>
      <c r="V164"/>
      <c r="W164"/>
      <c r="X164"/>
      <c r="Z164" s="21"/>
      <c r="AA164" s="21">
        <f>Tabla3568132129397172747576777877[[#This Row],[COMISIONES]]*0.21</f>
        <v>0</v>
      </c>
      <c r="AB164" s="21">
        <f>Tabla3568132129397172747576777877[[#This Row],[COMISIONES]]*0.105</f>
        <v>0</v>
      </c>
      <c r="AC164" s="21"/>
      <c r="AD164" s="21"/>
      <c r="AF164"/>
      <c r="AG164"/>
      <c r="AH164"/>
      <c r="AI164"/>
      <c r="AJ164"/>
      <c r="AK164"/>
      <c r="AL164"/>
      <c r="AM164"/>
      <c r="AN164"/>
      <c r="AO164"/>
    </row>
    <row r="165" spans="1:41" s="6" customFormat="1" x14ac:dyDescent="0.25">
      <c r="A165"/>
      <c r="B165"/>
      <c r="C165"/>
      <c r="D165"/>
      <c r="E165"/>
      <c r="F165"/>
      <c r="H165"/>
      <c r="I165"/>
      <c r="J165"/>
      <c r="K165"/>
      <c r="L165"/>
      <c r="N165"/>
      <c r="O165"/>
      <c r="P165"/>
      <c r="Q165"/>
      <c r="R165"/>
      <c r="T165"/>
      <c r="U165"/>
      <c r="V165"/>
      <c r="W165"/>
      <c r="X165"/>
      <c r="Z165" s="21"/>
      <c r="AA165" s="21">
        <f>Tabla3568132129397172747576777877[[#This Row],[COMISIONES]]*0.21</f>
        <v>0</v>
      </c>
      <c r="AB165" s="21">
        <f>Tabla3568132129397172747576777877[[#This Row],[COMISIONES]]*0.105</f>
        <v>0</v>
      </c>
      <c r="AC165" s="21"/>
      <c r="AD165" s="21"/>
      <c r="AF165"/>
      <c r="AG165"/>
      <c r="AH165"/>
      <c r="AI165"/>
      <c r="AJ165"/>
      <c r="AK165"/>
      <c r="AL165"/>
      <c r="AM165"/>
      <c r="AN165"/>
      <c r="AO165"/>
    </row>
    <row r="166" spans="1:41" s="6" customFormat="1" x14ac:dyDescent="0.25">
      <c r="A166"/>
      <c r="B166"/>
      <c r="C166"/>
      <c r="D166"/>
      <c r="E166"/>
      <c r="F166"/>
      <c r="H166"/>
      <c r="I166"/>
      <c r="J166"/>
      <c r="K166"/>
      <c r="L166"/>
      <c r="N166"/>
      <c r="O166"/>
      <c r="P166"/>
      <c r="Q166"/>
      <c r="R166"/>
      <c r="T166"/>
      <c r="U166"/>
      <c r="V166"/>
      <c r="W166"/>
      <c r="X166"/>
      <c r="Z166" s="21"/>
      <c r="AA166" s="21">
        <f>Tabla3568132129397172747576777877[[#This Row],[COMISIONES]]*0.21</f>
        <v>0</v>
      </c>
      <c r="AB166" s="21">
        <f>Tabla3568132129397172747576777877[[#This Row],[COMISIONES]]*0.105</f>
        <v>0</v>
      </c>
      <c r="AC166" s="21"/>
      <c r="AD166" s="21"/>
      <c r="AF166"/>
      <c r="AG166"/>
      <c r="AH166"/>
      <c r="AI166"/>
      <c r="AJ166"/>
      <c r="AK166"/>
      <c r="AL166"/>
      <c r="AM166"/>
      <c r="AN166"/>
      <c r="AO166"/>
    </row>
    <row r="167" spans="1:41" s="6" customFormat="1" x14ac:dyDescent="0.25">
      <c r="A167"/>
      <c r="B167"/>
      <c r="C167"/>
      <c r="D167"/>
      <c r="E167"/>
      <c r="F167"/>
      <c r="H167"/>
      <c r="I167"/>
      <c r="J167"/>
      <c r="K167"/>
      <c r="L167"/>
      <c r="N167"/>
      <c r="O167"/>
      <c r="P167"/>
      <c r="Q167"/>
      <c r="R167"/>
      <c r="T167"/>
      <c r="U167"/>
      <c r="V167"/>
      <c r="W167"/>
      <c r="X167"/>
      <c r="Z167" s="21"/>
      <c r="AA167" s="21">
        <f>Tabla3568132129397172747576777877[[#This Row],[COMISIONES]]*0.21</f>
        <v>0</v>
      </c>
      <c r="AB167" s="21">
        <f>Tabla3568132129397172747576777877[[#This Row],[COMISIONES]]*0.105</f>
        <v>0</v>
      </c>
      <c r="AC167" s="21"/>
      <c r="AD167" s="21"/>
      <c r="AF167"/>
      <c r="AG167"/>
      <c r="AH167"/>
      <c r="AI167"/>
      <c r="AJ167"/>
      <c r="AK167"/>
      <c r="AL167"/>
      <c r="AM167"/>
      <c r="AN167"/>
      <c r="AO167"/>
    </row>
    <row r="168" spans="1:41" s="6" customFormat="1" x14ac:dyDescent="0.25">
      <c r="A168"/>
      <c r="B168"/>
      <c r="C168"/>
      <c r="D168"/>
      <c r="E168"/>
      <c r="F168"/>
      <c r="H168"/>
      <c r="I168"/>
      <c r="J168"/>
      <c r="K168"/>
      <c r="L168"/>
      <c r="N168"/>
      <c r="O168"/>
      <c r="P168"/>
      <c r="Q168"/>
      <c r="R168"/>
      <c r="T168"/>
      <c r="U168"/>
      <c r="V168"/>
      <c r="W168"/>
      <c r="X168"/>
      <c r="Z168" s="21"/>
      <c r="AA168" s="21">
        <f>Tabla3568132129397172747576777877[[#This Row],[COMISIONES]]*0.21</f>
        <v>0</v>
      </c>
      <c r="AB168" s="21">
        <f>Tabla3568132129397172747576777877[[#This Row],[COMISIONES]]*0.105</f>
        <v>0</v>
      </c>
      <c r="AC168" s="21"/>
      <c r="AD168" s="21"/>
      <c r="AF168"/>
      <c r="AG168"/>
      <c r="AH168"/>
      <c r="AI168"/>
      <c r="AJ168"/>
      <c r="AK168"/>
      <c r="AL168"/>
      <c r="AM168"/>
      <c r="AN168"/>
      <c r="AO168"/>
    </row>
    <row r="169" spans="1:41" s="6" customFormat="1" x14ac:dyDescent="0.25">
      <c r="A169"/>
      <c r="B169"/>
      <c r="C169"/>
      <c r="D169"/>
      <c r="E169"/>
      <c r="F169"/>
      <c r="H169"/>
      <c r="I169"/>
      <c r="J169"/>
      <c r="K169"/>
      <c r="L169"/>
      <c r="N169"/>
      <c r="O169"/>
      <c r="P169"/>
      <c r="Q169"/>
      <c r="R169"/>
      <c r="T169"/>
      <c r="U169"/>
      <c r="V169"/>
      <c r="W169"/>
      <c r="X169"/>
      <c r="Z169" s="4">
        <f>SUBTOTAL(109,Tabla3568132129397172747576777877[COMISIONES])</f>
        <v>676904.55000000016</v>
      </c>
      <c r="AA169" s="4">
        <f>SUBTOTAL(109,Tabla3568132129397172747576777877[IVA 21])</f>
        <v>86647.760499999989</v>
      </c>
      <c r="AB169" s="4">
        <f>SUBTOTAL(109,Tabla3568132129397172747576777877[IVA 10,5])</f>
        <v>26568.743299999998</v>
      </c>
      <c r="AC169" s="4">
        <f>SUBTOTAL(109,Tabla3568132129397172747576777877[Ret IIBB Caba])</f>
        <v>1080831.8599999999</v>
      </c>
      <c r="AD169" s="4">
        <f>SUBTOTAL(109,Tabla3568132129397172747576777877[PERC IVA])</f>
        <v>0</v>
      </c>
      <c r="AF169"/>
      <c r="AG169"/>
      <c r="AH169"/>
      <c r="AI169"/>
      <c r="AJ169"/>
      <c r="AK169"/>
      <c r="AL169"/>
      <c r="AM169"/>
      <c r="AN169"/>
      <c r="AO169"/>
    </row>
  </sheetData>
  <mergeCells count="13">
    <mergeCell ref="N14:R14"/>
    <mergeCell ref="H54:L54"/>
    <mergeCell ref="T64:X64"/>
    <mergeCell ref="T14:X14"/>
    <mergeCell ref="AK14:AO14"/>
    <mergeCell ref="T32:X32"/>
    <mergeCell ref="Z14:AD14"/>
    <mergeCell ref="AF14:AJ14"/>
    <mergeCell ref="G2:H2"/>
    <mergeCell ref="J2:K2"/>
    <mergeCell ref="G12:H12"/>
    <mergeCell ref="B14:F14"/>
    <mergeCell ref="H14:L14"/>
  </mergeCells>
  <phoneticPr fontId="14" type="noConversion"/>
  <pageMargins left="0.7" right="0.7" top="0.75" bottom="0.75" header="0.3" footer="0.3"/>
  <pageSetup paperSize="9" orientation="portrait" horizontalDpi="300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AA8D-FBB2-406C-AE5D-D1B5D6E6E21E}">
  <dimension ref="A1:AO169"/>
  <sheetViews>
    <sheetView showGridLines="0" topLeftCell="A3" zoomScale="115" zoomScaleNormal="115" workbookViewId="0">
      <selection activeCell="H11" sqref="H11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4" bestFit="1" customWidth="1"/>
    <col min="4" max="4" width="12.140625" bestFit="1" customWidth="1"/>
    <col min="5" max="5" width="11.5703125" customWidth="1"/>
    <col min="6" max="6" width="13" bestFit="1" customWidth="1"/>
    <col min="7" max="7" width="2.42578125" style="6" customWidth="1"/>
    <col min="8" max="8" width="12.7109375" customWidth="1"/>
    <col min="9" max="9" width="13.5703125" customWidth="1"/>
    <col min="10" max="10" width="12.28515625" bestFit="1" customWidth="1"/>
    <col min="11" max="11" width="12.85546875" customWidth="1"/>
    <col min="13" max="13" width="2.5703125" style="6" customWidth="1"/>
    <col min="14" max="14" width="12.7109375" customWidth="1"/>
    <col min="17" max="17" width="12.85546875" customWidth="1"/>
    <col min="19" max="19" width="2.5703125" style="6" customWidth="1"/>
    <col min="20" max="20" width="12.7109375" customWidth="1"/>
    <col min="23" max="23" width="12.85546875" customWidth="1"/>
    <col min="24" max="24" width="13.5703125" customWidth="1"/>
    <col min="25" max="25" width="2.5703125" style="6" customWidth="1"/>
    <col min="26" max="26" width="15.42578125" bestFit="1" customWidth="1"/>
    <col min="27" max="27" width="13.28515625" customWidth="1"/>
    <col min="29" max="29" width="15.7109375" bestFit="1" customWidth="1"/>
    <col min="31" max="31" width="2.5703125" style="6" customWidth="1"/>
    <col min="32" max="32" width="15.42578125" bestFit="1" customWidth="1"/>
    <col min="33" max="33" width="12.28515625" bestFit="1" customWidth="1"/>
    <col min="35" max="35" width="15.7109375" bestFit="1" customWidth="1"/>
  </cols>
  <sheetData>
    <row r="1" spans="1:41" x14ac:dyDescent="0.25">
      <c r="G1"/>
      <c r="M1"/>
      <c r="S1"/>
      <c r="Y1"/>
      <c r="AE1"/>
    </row>
    <row r="2" spans="1:41" ht="18.75" x14ac:dyDescent="0.25">
      <c r="C2" s="15" t="s">
        <v>2</v>
      </c>
      <c r="D2" s="16" t="s">
        <v>0</v>
      </c>
      <c r="E2" s="16" t="s">
        <v>1</v>
      </c>
      <c r="F2" s="16" t="s">
        <v>3</v>
      </c>
      <c r="G2" s="53" t="s">
        <v>4</v>
      </c>
      <c r="H2" s="54"/>
      <c r="J2" s="55">
        <v>45536</v>
      </c>
      <c r="K2" s="55"/>
      <c r="M2"/>
      <c r="S2"/>
      <c r="Y2"/>
      <c r="AE2"/>
    </row>
    <row r="3" spans="1:41" x14ac:dyDescent="0.25">
      <c r="B3" s="25" t="str">
        <f>+B14</f>
        <v>Extracto Santander</v>
      </c>
      <c r="C3" s="14"/>
      <c r="D3" s="14"/>
      <c r="E3" s="14"/>
      <c r="F3" s="14"/>
      <c r="G3" s="32"/>
      <c r="H3" s="33"/>
      <c r="J3" s="2"/>
      <c r="K3" s="3"/>
      <c r="M3"/>
      <c r="N3" t="s">
        <v>5</v>
      </c>
      <c r="S3"/>
      <c r="Y3"/>
      <c r="AE3"/>
    </row>
    <row r="4" spans="1:41" x14ac:dyDescent="0.25">
      <c r="B4" s="25" t="str">
        <f>+H14</f>
        <v>CABAL 22/3</v>
      </c>
      <c r="C4" s="14"/>
      <c r="D4" s="14"/>
      <c r="E4" s="14"/>
      <c r="F4" s="14"/>
      <c r="G4" s="32"/>
      <c r="H4" s="33"/>
      <c r="J4" s="2"/>
      <c r="K4" s="3"/>
      <c r="M4"/>
      <c r="S4"/>
      <c r="Y4"/>
      <c r="AE4"/>
    </row>
    <row r="5" spans="1:41" x14ac:dyDescent="0.25">
      <c r="B5" s="25" t="str">
        <f>+N14</f>
        <v>BBVA VISA</v>
      </c>
      <c r="C5" s="14">
        <v>5619.83</v>
      </c>
      <c r="D5" s="14">
        <v>1379.13</v>
      </c>
      <c r="E5" s="14">
        <v>483.49</v>
      </c>
      <c r="F5" s="14">
        <v>18270.27</v>
      </c>
      <c r="G5" s="32"/>
      <c r="H5" s="33">
        <v>266.09000000000003</v>
      </c>
      <c r="M5"/>
      <c r="S5"/>
      <c r="Y5"/>
      <c r="AE5"/>
    </row>
    <row r="6" spans="1:41" x14ac:dyDescent="0.25">
      <c r="B6" s="25" t="str">
        <f>+T14</f>
        <v>GALICIA EXTRACTO (31/03)</v>
      </c>
      <c r="C6" s="14">
        <v>38023.769999999997</v>
      </c>
      <c r="D6" s="14">
        <v>7980</v>
      </c>
      <c r="E6" s="14">
        <v>2.4958499999999999</v>
      </c>
      <c r="F6" s="14"/>
      <c r="G6" s="32"/>
      <c r="H6" s="34">
        <v>1140</v>
      </c>
      <c r="M6"/>
      <c r="S6"/>
      <c r="Y6"/>
      <c r="AE6"/>
    </row>
    <row r="7" spans="1:41" x14ac:dyDescent="0.25">
      <c r="B7" s="25" t="str">
        <f>+Z14</f>
        <v>SANTANDER - GETNET</v>
      </c>
      <c r="C7" s="31">
        <v>696054.94095238089</v>
      </c>
      <c r="D7" s="14">
        <v>98736.680799999987</v>
      </c>
      <c r="E7" s="14">
        <v>23717.429699999997</v>
      </c>
      <c r="F7" s="14">
        <v>1295910.6699999997</v>
      </c>
      <c r="G7" s="32"/>
      <c r="H7" s="33"/>
      <c r="M7"/>
      <c r="S7"/>
      <c r="Y7"/>
      <c r="AE7"/>
    </row>
    <row r="8" spans="1:41" x14ac:dyDescent="0.25">
      <c r="B8" s="25" t="s">
        <v>14</v>
      </c>
      <c r="C8" s="14">
        <v>210448.87</v>
      </c>
      <c r="D8" s="14">
        <v>41941.724999999999</v>
      </c>
      <c r="E8" s="14">
        <v>1126.2688499999999</v>
      </c>
      <c r="F8" s="14">
        <v>5263.58</v>
      </c>
      <c r="G8"/>
      <c r="H8" s="35">
        <v>5999.26</v>
      </c>
      <c r="I8" s="36"/>
      <c r="M8"/>
      <c r="S8"/>
      <c r="Y8"/>
      <c r="AE8"/>
    </row>
    <row r="9" spans="1:41" x14ac:dyDescent="0.25">
      <c r="B9" s="28" t="s">
        <v>17</v>
      </c>
      <c r="C9" s="14">
        <v>559857.81999999995</v>
      </c>
      <c r="D9" s="14">
        <v>117570.14219999999</v>
      </c>
      <c r="E9" s="14"/>
      <c r="F9" s="14">
        <v>676385.06</v>
      </c>
      <c r="G9" s="32"/>
      <c r="H9" s="33"/>
      <c r="M9"/>
      <c r="S9"/>
      <c r="Y9"/>
      <c r="AE9"/>
    </row>
    <row r="10" spans="1:41" x14ac:dyDescent="0.25">
      <c r="B10" s="28" t="s">
        <v>15</v>
      </c>
      <c r="C10" s="14"/>
      <c r="D10" s="14"/>
      <c r="E10" s="14"/>
      <c r="F10" s="14"/>
      <c r="G10" s="32"/>
      <c r="H10" s="33"/>
      <c r="J10" s="3">
        <f>E7*100/10.5</f>
        <v>225880.28285714283</v>
      </c>
      <c r="M10"/>
      <c r="S10"/>
      <c r="Y10"/>
      <c r="AE10"/>
    </row>
    <row r="11" spans="1:41" x14ac:dyDescent="0.25">
      <c r="B11" s="28" t="s">
        <v>13</v>
      </c>
      <c r="C11" s="14">
        <v>3966.94</v>
      </c>
      <c r="D11" s="14">
        <v>833.05740000000003</v>
      </c>
      <c r="E11" s="14"/>
      <c r="F11" s="14">
        <v>214.13</v>
      </c>
      <c r="G11" s="32"/>
      <c r="H11" s="33">
        <v>119.01</v>
      </c>
      <c r="M11"/>
      <c r="S11"/>
      <c r="Y11"/>
      <c r="AE11"/>
    </row>
    <row r="12" spans="1:41" x14ac:dyDescent="0.25">
      <c r="A12" s="26"/>
      <c r="B12" s="26"/>
      <c r="C12" s="27">
        <f>SUM(C3:C11)</f>
        <v>1513972.1709523806</v>
      </c>
      <c r="D12" s="27">
        <f t="shared" ref="D12:F12" si="0">SUM(D3:D11)</f>
        <v>268440.73539999995</v>
      </c>
      <c r="E12" s="27">
        <f t="shared" si="0"/>
        <v>25329.684399999998</v>
      </c>
      <c r="F12" s="27">
        <f t="shared" si="0"/>
        <v>1996043.7099999997</v>
      </c>
      <c r="G12" s="56">
        <f>SUM(G3:H11)</f>
        <v>7524.3600000000006</v>
      </c>
      <c r="H12" s="56"/>
      <c r="M12"/>
      <c r="S12"/>
      <c r="Y12"/>
      <c r="AE12"/>
    </row>
    <row r="13" spans="1:41" x14ac:dyDescent="0.25">
      <c r="A13" s="26"/>
      <c r="B13" s="26"/>
      <c r="G13"/>
      <c r="M13"/>
      <c r="S13"/>
      <c r="V13" t="s">
        <v>7</v>
      </c>
      <c r="Y13"/>
      <c r="AE13"/>
    </row>
    <row r="14" spans="1:41" ht="16.5" customHeight="1" x14ac:dyDescent="0.3">
      <c r="B14" s="52" t="s">
        <v>10</v>
      </c>
      <c r="C14" s="52"/>
      <c r="D14" s="52"/>
      <c r="E14" s="52"/>
      <c r="F14" s="52"/>
      <c r="H14" s="52" t="s">
        <v>8</v>
      </c>
      <c r="I14" s="52"/>
      <c r="J14" s="52"/>
      <c r="K14" s="52"/>
      <c r="L14" s="52"/>
      <c r="N14" s="52" t="s">
        <v>11</v>
      </c>
      <c r="O14" s="52"/>
      <c r="P14" s="52"/>
      <c r="Q14" s="52"/>
      <c r="R14" s="52"/>
      <c r="T14" s="52" t="s">
        <v>6</v>
      </c>
      <c r="U14" s="52"/>
      <c r="V14" s="52"/>
      <c r="W14" s="52"/>
      <c r="X14" s="52"/>
      <c r="Z14" s="52" t="s">
        <v>16</v>
      </c>
      <c r="AA14" s="52"/>
      <c r="AB14" s="52"/>
      <c r="AC14" s="52"/>
      <c r="AD14" s="52"/>
      <c r="AF14" s="52" t="s">
        <v>17</v>
      </c>
      <c r="AG14" s="52"/>
      <c r="AH14" s="52"/>
      <c r="AI14" s="52"/>
      <c r="AJ14" s="52"/>
      <c r="AK14" s="52" t="s">
        <v>13</v>
      </c>
      <c r="AL14" s="52"/>
      <c r="AM14" s="52"/>
      <c r="AN14" s="52"/>
      <c r="AO14" s="52"/>
    </row>
    <row r="15" spans="1:41" s="5" customFormat="1" x14ac:dyDescent="0.25">
      <c r="B15" s="10" t="s">
        <v>2</v>
      </c>
      <c r="C15" s="9" t="s">
        <v>0</v>
      </c>
      <c r="D15" s="9" t="s">
        <v>1</v>
      </c>
      <c r="E15" s="9" t="s">
        <v>3</v>
      </c>
      <c r="F15" s="9" t="s">
        <v>4</v>
      </c>
      <c r="G15" s="7"/>
      <c r="H15" s="12" t="s">
        <v>2</v>
      </c>
      <c r="I15" s="13" t="s">
        <v>0</v>
      </c>
      <c r="J15" s="13" t="s">
        <v>1</v>
      </c>
      <c r="K15" s="13" t="s">
        <v>3</v>
      </c>
      <c r="L15" s="13" t="s">
        <v>4</v>
      </c>
      <c r="M15" s="7"/>
      <c r="N15" s="12" t="s">
        <v>2</v>
      </c>
      <c r="O15" s="13" t="s">
        <v>0</v>
      </c>
      <c r="P15" s="13" t="s">
        <v>1</v>
      </c>
      <c r="Q15" s="13" t="s">
        <v>3</v>
      </c>
      <c r="R15" s="13" t="s">
        <v>4</v>
      </c>
      <c r="S15" s="7"/>
      <c r="T15" s="12" t="s">
        <v>2</v>
      </c>
      <c r="U15" s="13" t="s">
        <v>0</v>
      </c>
      <c r="V15" s="13" t="s">
        <v>1</v>
      </c>
      <c r="W15" s="13" t="s">
        <v>3</v>
      </c>
      <c r="X15" s="13" t="s">
        <v>4</v>
      </c>
      <c r="Y15" s="7"/>
      <c r="Z15" s="12" t="s">
        <v>2</v>
      </c>
      <c r="AA15" s="13" t="s">
        <v>0</v>
      </c>
      <c r="AB15" s="13" t="s">
        <v>1</v>
      </c>
      <c r="AC15" s="13" t="s">
        <v>3</v>
      </c>
      <c r="AD15" s="13" t="s">
        <v>4</v>
      </c>
      <c r="AE15" s="7"/>
      <c r="AF15" s="12" t="s">
        <v>2</v>
      </c>
      <c r="AG15" s="13" t="s">
        <v>0</v>
      </c>
      <c r="AH15" s="13" t="s">
        <v>1</v>
      </c>
      <c r="AI15" s="13" t="s">
        <v>3</v>
      </c>
      <c r="AJ15" s="13" t="s">
        <v>4</v>
      </c>
      <c r="AK15" s="12" t="s">
        <v>2</v>
      </c>
      <c r="AL15" s="13" t="s">
        <v>0</v>
      </c>
      <c r="AM15" s="13" t="s">
        <v>1</v>
      </c>
      <c r="AN15" s="13" t="s">
        <v>3</v>
      </c>
      <c r="AO15" s="13" t="s">
        <v>4</v>
      </c>
    </row>
    <row r="16" spans="1:41" x14ac:dyDescent="0.25">
      <c r="B16" s="2"/>
      <c r="C16" s="2"/>
      <c r="D16" s="3">
        <f>Tabla13162432212223352627282212[[#This Row],[COMISIONES]]*0.105</f>
        <v>0</v>
      </c>
      <c r="E16" s="3"/>
      <c r="F16" s="1"/>
      <c r="G16" s="8"/>
      <c r="H16" s="3"/>
      <c r="I16" s="11">
        <f>Tabla39172535313233453637383313[[#This Row],[COMISIONES]]*0.21</f>
        <v>0</v>
      </c>
      <c r="J16" s="11"/>
      <c r="K16" s="11"/>
      <c r="L16" s="3"/>
      <c r="M16" s="8"/>
      <c r="N16" s="3">
        <v>5619.83</v>
      </c>
      <c r="O16" s="11">
        <v>1379.13</v>
      </c>
      <c r="P16" s="11">
        <v>483.49</v>
      </c>
      <c r="Q16" s="1">
        <v>15297.86</v>
      </c>
      <c r="R16">
        <v>197.02</v>
      </c>
      <c r="S16" s="8"/>
      <c r="T16" s="11">
        <v>38000</v>
      </c>
      <c r="U16" s="11">
        <f>Tabla35611192737515254555657585515[[#This Row],[COMISIONES]]*0.21</f>
        <v>7980</v>
      </c>
      <c r="V16" s="11"/>
      <c r="W16" s="11"/>
      <c r="X16" s="11">
        <v>1140</v>
      </c>
      <c r="Y16" s="8"/>
      <c r="Z16" s="3">
        <v>632.4</v>
      </c>
      <c r="AA16" s="11">
        <f>Tabla356813212939717274757677787717[[#This Row],[COMISIONES]]*0.21</f>
        <v>132.804</v>
      </c>
      <c r="AB16" s="3"/>
      <c r="AC16" s="1">
        <v>39.14</v>
      </c>
      <c r="AE16" s="8"/>
      <c r="AF16" s="3">
        <v>559857.81999999995</v>
      </c>
      <c r="AG16" s="11">
        <f>Tabla35681314223040818284858687888818[[#This Row],[COMISIONES]]*0.21</f>
        <v>117570.14219999999</v>
      </c>
      <c r="AH16" s="11"/>
      <c r="AI16" s="1">
        <v>676385.06</v>
      </c>
      <c r="AJ16" s="11"/>
      <c r="AK16" s="11">
        <v>3966.94</v>
      </c>
      <c r="AL16" s="11">
        <f>Tabla356111927344311213151617181911121[[#This Row],[COMISIONES]]*0.21</f>
        <v>833.05740000000003</v>
      </c>
      <c r="AM16" s="11"/>
      <c r="AN16" s="11">
        <v>214.13</v>
      </c>
      <c r="AO16" s="11">
        <v>119.01</v>
      </c>
    </row>
    <row r="17" spans="2:41" x14ac:dyDescent="0.25">
      <c r="B17" s="3"/>
      <c r="C17" s="2">
        <f>Tabla13162432212223352627282212[[#This Row],[COMISIONES]]*0.21</f>
        <v>0</v>
      </c>
      <c r="D17" s="3">
        <f>Tabla13162432212223352627282212[[#This Row],[COMISIONES]]*0.105</f>
        <v>0</v>
      </c>
      <c r="E17" s="3"/>
      <c r="F17" s="3"/>
      <c r="G17" s="8"/>
      <c r="H17" s="11"/>
      <c r="I17" s="11">
        <f>Tabla39172535313233453637383313[[#This Row],[COMISIONES]]*0.21</f>
        <v>0</v>
      </c>
      <c r="J17" s="11"/>
      <c r="K17" s="11"/>
      <c r="L17" s="11"/>
      <c r="M17" s="8"/>
      <c r="N17" s="11"/>
      <c r="O17" s="11"/>
      <c r="P17" s="11">
        <f>Tabla3510182636414244454647484414[[#This Row],[COMISIONES]]*0.105</f>
        <v>0</v>
      </c>
      <c r="Q17" s="1">
        <v>2972.41</v>
      </c>
      <c r="R17">
        <v>69.069999999999993</v>
      </c>
      <c r="S17" s="8"/>
      <c r="T17" s="11">
        <v>23.77</v>
      </c>
      <c r="U17" s="11"/>
      <c r="V17" s="11">
        <f>Tabla35611192737515254555657585515[[#This Row],[COMISIONES]]*0.105</f>
        <v>2.4958499999999999</v>
      </c>
      <c r="W17" s="11"/>
      <c r="X17" s="11"/>
      <c r="Y17" s="8"/>
      <c r="Z17" s="3">
        <v>8868.5</v>
      </c>
      <c r="AA17" s="11">
        <f>Tabla356813212939717274757677787717[[#This Row],[COMISIONES]]*0.21</f>
        <v>1862.385</v>
      </c>
      <c r="AB17" s="3"/>
      <c r="AC17" s="1">
        <v>3522.82</v>
      </c>
      <c r="AE17" s="8"/>
      <c r="AF17" s="11"/>
      <c r="AG17" s="11">
        <f>Tabla35681314223040818284858687888818[[#This Row],[COMISIONES]]*0.21</f>
        <v>0</v>
      </c>
      <c r="AH17" s="11"/>
      <c r="AI17" s="11"/>
      <c r="AJ17" s="11"/>
      <c r="AK17" s="11"/>
      <c r="AL17" s="11">
        <f>Tabla356111927344311213151617181911121[[#This Row],[COMISIONES]]*0.21</f>
        <v>0</v>
      </c>
      <c r="AM17" s="11"/>
      <c r="AN17" s="11"/>
      <c r="AO17" s="11"/>
    </row>
    <row r="18" spans="2:41" x14ac:dyDescent="0.25">
      <c r="B18" s="3"/>
      <c r="C18" s="2">
        <f>Tabla13162432212223352627282212[[#This Row],[COMISIONES]]*0.21</f>
        <v>0</v>
      </c>
      <c r="D18" s="3">
        <f>Tabla13162432212223352627282212[[#This Row],[COMISIONES]]*0.105</f>
        <v>0</v>
      </c>
      <c r="E18" s="3"/>
      <c r="F18" s="3"/>
      <c r="H18" s="11"/>
      <c r="I18" s="11">
        <f>Tabla39172535313233453637383313[[#This Row],[COMISIONES]]*0.21</f>
        <v>0</v>
      </c>
      <c r="J18" s="11"/>
      <c r="K18" s="11"/>
      <c r="L18" s="11"/>
      <c r="N18" s="1"/>
      <c r="O18" s="11">
        <f>Tabla3510182636414244454647484414[[#This Row],[COMISIONES]]*0.21</f>
        <v>0</v>
      </c>
      <c r="P18" s="11"/>
      <c r="Q18" s="11"/>
      <c r="R18" s="23"/>
      <c r="T18" s="11"/>
      <c r="U18" s="11">
        <f>Tabla35611192737515254555657585515[[#This Row],[COMISIONES]]*0.21</f>
        <v>0</v>
      </c>
      <c r="V18" s="11"/>
      <c r="W18" s="11"/>
      <c r="X18" s="11"/>
      <c r="Z18" s="3">
        <v>3960.88</v>
      </c>
      <c r="AA18" s="11">
        <f>Tabla356813212939717274757677787717[[#This Row],[COMISIONES]]*0.21</f>
        <v>831.78480000000002</v>
      </c>
      <c r="AB18" s="3"/>
      <c r="AC18">
        <v>17848.98</v>
      </c>
      <c r="AF18" s="11"/>
      <c r="AG18" s="11">
        <f>Tabla35681314223040818284858687888818[[#This Row],[COMISIONES]]*0.21</f>
        <v>0</v>
      </c>
      <c r="AH18" s="11"/>
      <c r="AI18" s="11"/>
      <c r="AJ18" s="11"/>
      <c r="AK18" s="11"/>
      <c r="AL18" s="11">
        <f>Tabla356111927344311213151617181911121[[#This Row],[COMISIONES]]*0.21</f>
        <v>0</v>
      </c>
      <c r="AM18" s="11"/>
      <c r="AN18" s="11"/>
      <c r="AO18" s="11"/>
    </row>
    <row r="19" spans="2:41" x14ac:dyDescent="0.25">
      <c r="B19" s="3"/>
      <c r="C19" s="2">
        <f>Tabla13162432212223352627282212[[#This Row],[COMISIONES]]*0.21</f>
        <v>0</v>
      </c>
      <c r="D19" s="3">
        <f>Tabla13162432212223352627282212[[#This Row],[COMISIONES]]*0.105</f>
        <v>0</v>
      </c>
      <c r="E19" s="3"/>
      <c r="F19" s="3"/>
      <c r="G19" s="8"/>
      <c r="H19" s="11"/>
      <c r="I19" s="11">
        <f>Tabla39172535313233453637383313[[#This Row],[COMISIONES]]*0.21</f>
        <v>0</v>
      </c>
      <c r="J19" s="11"/>
      <c r="K19" s="11"/>
      <c r="L19" s="11"/>
      <c r="M19" s="8"/>
      <c r="N19" s="1"/>
      <c r="O19" s="11">
        <f>Tabla3510182636414244454647484414[[#This Row],[COMISIONES]]*0.21</f>
        <v>0</v>
      </c>
      <c r="P19" s="11"/>
      <c r="Q19" s="11"/>
      <c r="R19" s="23"/>
      <c r="S19" s="8"/>
      <c r="T19" s="11"/>
      <c r="U19" s="11">
        <f>Tabla35611192737515254555657585515[[#This Row],[COMISIONES]]*0.21</f>
        <v>0</v>
      </c>
      <c r="V19" s="11"/>
      <c r="W19" s="11"/>
      <c r="X19" s="11"/>
      <c r="Y19" s="8"/>
      <c r="Z19" s="3">
        <v>3657.7</v>
      </c>
      <c r="AA19" s="11">
        <f>Tabla356813212939717274757677787717[[#This Row],[COMISIONES]]*0.21</f>
        <v>768.11699999999996</v>
      </c>
      <c r="AB19" s="3"/>
      <c r="AC19" s="1">
        <v>198.32</v>
      </c>
      <c r="AE19" s="8"/>
      <c r="AF19" s="11"/>
      <c r="AG19" s="11">
        <f>Tabla35681314223040818284858687888818[[#This Row],[COMISIONES]]*0.21</f>
        <v>0</v>
      </c>
      <c r="AH19" s="11"/>
      <c r="AI19" s="11"/>
      <c r="AJ19" s="11"/>
      <c r="AK19" s="11"/>
      <c r="AL19" s="11">
        <f>Tabla356111927344311213151617181911121[[#This Row],[COMISIONES]]*0.21</f>
        <v>0</v>
      </c>
      <c r="AM19" s="11"/>
      <c r="AN19" s="11"/>
      <c r="AO19" s="11"/>
    </row>
    <row r="20" spans="2:41" x14ac:dyDescent="0.25">
      <c r="B20" s="3"/>
      <c r="C20" s="2">
        <f>Tabla13162432212223352627282212[[#This Row],[COMISIONES]]*0.21</f>
        <v>0</v>
      </c>
      <c r="D20" s="3">
        <f>Tabla13162432212223352627282212[[#This Row],[COMISIONES]]*0.105</f>
        <v>0</v>
      </c>
      <c r="E20" s="3"/>
      <c r="F20" s="3"/>
      <c r="H20" s="11"/>
      <c r="I20" s="11">
        <f>Tabla39172535313233453637383313[[#This Row],[COMISIONES]]*0.21</f>
        <v>0</v>
      </c>
      <c r="J20" s="11"/>
      <c r="K20" s="11"/>
      <c r="L20" s="11"/>
      <c r="N20" s="1"/>
      <c r="O20" s="11">
        <f>Tabla3510182636414244454647484414[[#This Row],[COMISIONES]]*0.21</f>
        <v>0</v>
      </c>
      <c r="P20" s="11"/>
      <c r="Q20" s="11"/>
      <c r="R20" s="23"/>
      <c r="T20" s="11"/>
      <c r="U20" s="11">
        <f>Tabla35611192737515254555657585515[[#This Row],[COMISIONES]]*0.21</f>
        <v>0</v>
      </c>
      <c r="V20" s="11"/>
      <c r="W20" s="11"/>
      <c r="X20" s="11"/>
      <c r="Z20" s="3">
        <v>1081.72</v>
      </c>
      <c r="AA20" s="11">
        <f>Tabla356813212939717274757677787717[[#This Row],[COMISIONES]]*0.21</f>
        <v>227.16120000000001</v>
      </c>
      <c r="AB20" s="11"/>
      <c r="AC20" s="1">
        <v>245.16</v>
      </c>
      <c r="AF20" s="11"/>
      <c r="AG20" s="11">
        <f>Tabla35681314223040818284858687888818[[#This Row],[COMISIONES]]*0.21</f>
        <v>0</v>
      </c>
      <c r="AH20" s="11"/>
      <c r="AI20" s="11"/>
      <c r="AJ20" s="11"/>
      <c r="AK20" s="11"/>
      <c r="AL20" s="11">
        <f>Tabla356111927344311213151617181911121[[#This Row],[COMISIONES]]*0.21</f>
        <v>0</v>
      </c>
      <c r="AM20" s="11"/>
      <c r="AN20" s="11"/>
      <c r="AO20" s="11"/>
    </row>
    <row r="21" spans="2:41" x14ac:dyDescent="0.25">
      <c r="B21" s="3"/>
      <c r="C21" s="2">
        <f>Tabla13162432212223352627282212[[#This Row],[COMISIONES]]*0.21</f>
        <v>0</v>
      </c>
      <c r="D21" s="3">
        <f>Tabla13162432212223352627282212[[#This Row],[COMISIONES]]*0.105</f>
        <v>0</v>
      </c>
      <c r="E21" s="3"/>
      <c r="F21" s="3"/>
      <c r="H21" s="11"/>
      <c r="I21" s="11">
        <f>Tabla39172535313233453637383313[[#This Row],[COMISIONES]]*0.21</f>
        <v>0</v>
      </c>
      <c r="J21" s="11"/>
      <c r="K21" s="11"/>
      <c r="L21" s="11"/>
      <c r="N21" s="11"/>
      <c r="O21" s="11">
        <f>Tabla3510182636414244454647484414[[#This Row],[COMISIONES]]*0.21</f>
        <v>0</v>
      </c>
      <c r="P21" s="11"/>
      <c r="Q21" s="11"/>
      <c r="R21" s="11"/>
      <c r="T21" s="11"/>
      <c r="U21" s="11">
        <f>Tabla35611192737515254555657585515[[#This Row],[COMISIONES]]*0.21</f>
        <v>0</v>
      </c>
      <c r="V21" s="11"/>
      <c r="W21" s="11"/>
      <c r="X21" s="11"/>
      <c r="Z21" s="3">
        <v>9762.43</v>
      </c>
      <c r="AA21" s="11">
        <f>Tabla356813212939717274757677787717[[#This Row],[COMISIONES]]*0.21</f>
        <v>2050.1102999999998</v>
      </c>
      <c r="AB21" s="11"/>
      <c r="AC21" s="1">
        <v>22064.29</v>
      </c>
      <c r="AF21" s="11"/>
      <c r="AG21" s="11">
        <f>Tabla35681314223040818284858687888818[[#This Row],[COMISIONES]]*0.21</f>
        <v>0</v>
      </c>
      <c r="AH21" s="11"/>
      <c r="AI21" s="11"/>
      <c r="AJ21" s="11"/>
      <c r="AK21" s="11"/>
      <c r="AL21" s="11">
        <f>Tabla356111927344311213151617181911121[[#This Row],[COMISIONES]]*0.21</f>
        <v>0</v>
      </c>
      <c r="AM21" s="11"/>
      <c r="AN21" s="11"/>
      <c r="AO21" s="11"/>
    </row>
    <row r="22" spans="2:41" x14ac:dyDescent="0.25">
      <c r="B22" s="3"/>
      <c r="C22" s="2">
        <f>Tabla13162432212223352627282212[[#This Row],[COMISIONES]]*0.21</f>
        <v>0</v>
      </c>
      <c r="D22" s="3">
        <f>Tabla13162432212223352627282212[[#This Row],[COMISIONES]]*0.105</f>
        <v>0</v>
      </c>
      <c r="E22" s="3"/>
      <c r="F22" s="3"/>
      <c r="H22" s="11"/>
      <c r="I22" s="11">
        <f>Tabla39172535313233453637383313[[#This Row],[COMISIONES]]*0.21</f>
        <v>0</v>
      </c>
      <c r="J22" s="11"/>
      <c r="K22" s="11"/>
      <c r="L22" s="11"/>
      <c r="N22" s="11"/>
      <c r="O22" s="11">
        <f>Tabla3510182636414244454647484414[[#This Row],[COMISIONES]]*0.21</f>
        <v>0</v>
      </c>
      <c r="P22" s="11"/>
      <c r="Q22" s="11"/>
      <c r="R22" s="11"/>
      <c r="T22" s="11"/>
      <c r="U22" s="11">
        <f>Tabla35611192737515254555657585515[[#This Row],[COMISIONES]]*0.21</f>
        <v>0</v>
      </c>
      <c r="V22" s="11"/>
      <c r="W22" s="11"/>
      <c r="X22" s="11"/>
      <c r="Z22" s="3">
        <v>16379.29</v>
      </c>
      <c r="AA22" s="11">
        <f>Tabla356813212939717274757677787717[[#This Row],[COMISIONES]]*0.21</f>
        <v>3439.6509000000001</v>
      </c>
      <c r="AB22" s="29"/>
      <c r="AC22" s="1">
        <v>16260.49</v>
      </c>
      <c r="AD22" s="11"/>
      <c r="AF22" s="11"/>
      <c r="AG22" s="11">
        <f>Tabla35681314223040818284858687888818[[#This Row],[COMISIONES]]*0.21</f>
        <v>0</v>
      </c>
      <c r="AH22" s="11"/>
      <c r="AI22" s="11"/>
      <c r="AJ22" s="11"/>
      <c r="AK22" s="11"/>
      <c r="AL22" s="11">
        <f>Tabla356111927344311213151617181911121[[#This Row],[COMISIONES]]*0.21</f>
        <v>0</v>
      </c>
      <c r="AM22" s="11"/>
      <c r="AN22" s="11"/>
      <c r="AO22" s="11"/>
    </row>
    <row r="23" spans="2:41" x14ac:dyDescent="0.25">
      <c r="B23" s="3"/>
      <c r="C23" s="2">
        <f>Tabla13162432212223352627282212[[#This Row],[COMISIONES]]*0.21</f>
        <v>0</v>
      </c>
      <c r="D23" s="3">
        <f>Tabla13162432212223352627282212[[#This Row],[COMISIONES]]*0.105</f>
        <v>0</v>
      </c>
      <c r="E23" s="3"/>
      <c r="F23" s="3"/>
      <c r="H23" s="11"/>
      <c r="I23" s="11">
        <f>Tabla39172535313233453637383313[[#This Row],[COMISIONES]]*0.21</f>
        <v>0</v>
      </c>
      <c r="J23" s="11"/>
      <c r="K23" s="11"/>
      <c r="L23" s="11"/>
      <c r="N23" s="11"/>
      <c r="O23" s="11">
        <f>Tabla3510182636414244454647484414[[#This Row],[COMISIONES]]*0.21</f>
        <v>0</v>
      </c>
      <c r="P23" s="11"/>
      <c r="Q23" s="11"/>
      <c r="R23" s="11"/>
      <c r="T23" s="11"/>
      <c r="U23" s="11">
        <f>Tabla35611192737515254555657585515[[#This Row],[COMISIONES]]*0.21</f>
        <v>0</v>
      </c>
      <c r="V23" s="11"/>
      <c r="W23" s="11"/>
      <c r="X23" s="11"/>
      <c r="Z23" s="3">
        <v>5108.5714285714203</v>
      </c>
      <c r="AA23" s="11"/>
      <c r="AB23" s="3">
        <f>Tabla356813212939717274757677787717[[#This Row],[COMISIONES]]*0.105</f>
        <v>536.39999999999907</v>
      </c>
      <c r="AC23" s="1">
        <v>180.67</v>
      </c>
      <c r="AD23" s="11"/>
      <c r="AF23" s="11"/>
      <c r="AG23" s="11">
        <f>Tabla35681314223040818284858687888818[[#This Row],[COMISIONES]]*0.21</f>
        <v>0</v>
      </c>
      <c r="AH23" s="11"/>
      <c r="AI23" s="11"/>
      <c r="AJ23" s="11"/>
      <c r="AK23" s="11"/>
      <c r="AL23" s="11">
        <f>Tabla356111927344311213151617181911121[[#This Row],[COMISIONES]]*0.21</f>
        <v>0</v>
      </c>
      <c r="AM23" s="11"/>
      <c r="AN23" s="11"/>
      <c r="AO23" s="11"/>
    </row>
    <row r="24" spans="2:41" x14ac:dyDescent="0.25">
      <c r="B24" s="3"/>
      <c r="C24" s="2">
        <f>Tabla13162432212223352627282212[[#This Row],[COMISIONES]]*0.21</f>
        <v>0</v>
      </c>
      <c r="D24" s="3">
        <f>Tabla13162432212223352627282212[[#This Row],[COMISIONES]]*0.105</f>
        <v>0</v>
      </c>
      <c r="E24" s="3"/>
      <c r="F24" s="3"/>
      <c r="H24" s="11"/>
      <c r="I24" s="11">
        <f>Tabla39172535313233453637383313[[#This Row],[COMISIONES]]*0.21</f>
        <v>0</v>
      </c>
      <c r="J24" s="11"/>
      <c r="K24" s="11"/>
      <c r="L24" s="11"/>
      <c r="N24" s="11"/>
      <c r="O24" s="11">
        <f>Tabla3510182636414244454647484414[[#This Row],[COMISIONES]]*0.21</f>
        <v>0</v>
      </c>
      <c r="P24" s="11"/>
      <c r="Q24" s="11"/>
      <c r="R24" s="11"/>
      <c r="T24" s="11"/>
      <c r="U24" s="11">
        <f>Tabla35611192737515254555657585515[[#This Row],[COMISIONES]]*0.21</f>
        <v>0</v>
      </c>
      <c r="V24" s="11"/>
      <c r="W24" s="11"/>
      <c r="X24" s="11"/>
      <c r="Z24" s="3">
        <v>1812.68</v>
      </c>
      <c r="AA24" s="11">
        <f>Tabla356813212939717274757677787717[[#This Row],[COMISIONES]]*0.21</f>
        <v>380.6628</v>
      </c>
      <c r="AB24" s="11"/>
      <c r="AC24" s="1">
        <v>66.959999999999994</v>
      </c>
      <c r="AD24" s="11"/>
      <c r="AF24" s="11"/>
      <c r="AG24" s="11">
        <f>Tabla35681314223040818284858687888818[[#This Row],[COMISIONES]]*0.21</f>
        <v>0</v>
      </c>
      <c r="AH24" s="11"/>
      <c r="AI24" s="11"/>
      <c r="AJ24" s="11"/>
      <c r="AK24" s="11"/>
      <c r="AL24" s="11">
        <f>Tabla356111927344311213151617181911121[[#This Row],[COMISIONES]]*0.21</f>
        <v>0</v>
      </c>
      <c r="AM24" s="11"/>
      <c r="AN24" s="11"/>
      <c r="AO24" s="11"/>
    </row>
    <row r="25" spans="2:41" x14ac:dyDescent="0.25">
      <c r="B25" s="3"/>
      <c r="C25" s="2">
        <f>Tabla13162432212223352627282212[[#This Row],[COMISIONES]]*0.21</f>
        <v>0</v>
      </c>
      <c r="D25" s="3">
        <f>Tabla13162432212223352627282212[[#This Row],[COMISIONES]]*0.105</f>
        <v>0</v>
      </c>
      <c r="E25" s="3"/>
      <c r="F25" s="3"/>
      <c r="H25" s="11"/>
      <c r="I25" s="11">
        <f>Tabla39172535313233453637383313[[#This Row],[COMISIONES]]*0.21</f>
        <v>0</v>
      </c>
      <c r="J25" s="11"/>
      <c r="K25" s="11"/>
      <c r="L25" s="11"/>
      <c r="N25" s="11"/>
      <c r="O25" s="11">
        <f>Tabla3510182636414244454647484414[[#This Row],[COMISIONES]]*0.21</f>
        <v>0</v>
      </c>
      <c r="P25" s="11"/>
      <c r="Q25" s="11"/>
      <c r="R25" s="11"/>
      <c r="T25" s="11"/>
      <c r="U25" s="11">
        <f>Tabla35611192737515254555657585515[[#This Row],[COMISIONES]]*0.21</f>
        <v>0</v>
      </c>
      <c r="V25" s="11"/>
      <c r="W25" s="11"/>
      <c r="X25" s="11"/>
      <c r="Z25" s="3">
        <v>6943.9</v>
      </c>
      <c r="AA25" s="11">
        <f>Tabla356813212939717274757677787717[[#This Row],[COMISIONES]]*0.21</f>
        <v>1458.2189999999998</v>
      </c>
      <c r="AB25" s="11"/>
      <c r="AC25" s="1">
        <v>6025.77</v>
      </c>
      <c r="AD25" s="11"/>
      <c r="AF25" s="11"/>
      <c r="AG25" s="11">
        <f>Tabla35681314223040818284858687888818[[#This Row],[COMISIONES]]*0.21</f>
        <v>0</v>
      </c>
      <c r="AH25" s="11"/>
      <c r="AI25" s="11"/>
      <c r="AJ25" s="11"/>
      <c r="AK25" s="11"/>
      <c r="AL25" s="11">
        <f>Tabla356111927344311213151617181911121[[#This Row],[COMISIONES]]*0.21</f>
        <v>0</v>
      </c>
      <c r="AM25" s="11"/>
      <c r="AN25" s="11"/>
      <c r="AO25" s="11"/>
    </row>
    <row r="26" spans="2:41" x14ac:dyDescent="0.25">
      <c r="B26" s="3"/>
      <c r="C26" s="2">
        <f>Tabla13162432212223352627282212[[#This Row],[COMISIONES]]*0.21</f>
        <v>0</v>
      </c>
      <c r="D26" s="3">
        <f>Tabla13162432212223352627282212[[#This Row],[COMISIONES]]*0.105</f>
        <v>0</v>
      </c>
      <c r="E26" s="3"/>
      <c r="F26" s="3"/>
      <c r="H26" s="11"/>
      <c r="I26" s="11">
        <f>Tabla39172535313233453637383313[[#This Row],[COMISIONES]]*0.21</f>
        <v>0</v>
      </c>
      <c r="J26" s="11"/>
      <c r="K26" s="11"/>
      <c r="L26" s="11"/>
      <c r="N26" s="11"/>
      <c r="O26" s="11">
        <f>Tabla3510182636414244454647484414[[#This Row],[COMISIONES]]*0.21</f>
        <v>0</v>
      </c>
      <c r="P26" s="11"/>
      <c r="Q26" s="11"/>
      <c r="R26" s="11"/>
      <c r="T26" s="11"/>
      <c r="U26" s="11">
        <f>Tabla35611192737515254555657585515[[#This Row],[COMISIONES]]*0.21</f>
        <v>0</v>
      </c>
      <c r="V26" s="11"/>
      <c r="W26" s="11"/>
      <c r="X26" s="11"/>
      <c r="Z26" s="3">
        <v>16074.09</v>
      </c>
      <c r="AA26" s="11">
        <f>Tabla356813212939717274757677787717[[#This Row],[COMISIONES]]*0.21</f>
        <v>3375.5589</v>
      </c>
      <c r="AB26" s="11"/>
      <c r="AC26" s="1">
        <v>43399.37</v>
      </c>
      <c r="AD26" s="11"/>
      <c r="AF26" s="4">
        <f>SUBTOTAL(109,Tabla35681314223040818284858687888818[COMISIONES])</f>
        <v>559857.81999999995</v>
      </c>
      <c r="AG26" s="4">
        <f>SUBTOTAL(109,Tabla35681314223040818284858687888818[IVA 21])</f>
        <v>117570.14219999999</v>
      </c>
      <c r="AH26" s="4">
        <f>SUBTOTAL(109,Tabla35681314223040818284858687888818[IVA 10,5])</f>
        <v>0</v>
      </c>
      <c r="AI26" s="4">
        <f>SUBTOTAL(109,Tabla35681314223040818284858687888818[Ret IIBB Caba])</f>
        <v>676385.06</v>
      </c>
      <c r="AJ26" s="4">
        <f>SUBTOTAL(109,Tabla35681314223040818284858687888818[PERC IVA])</f>
        <v>0</v>
      </c>
      <c r="AK26" s="11"/>
      <c r="AL26" s="11">
        <f>Tabla356111927344311213151617181911121[[#This Row],[COMISIONES]]*0.21</f>
        <v>0</v>
      </c>
      <c r="AM26" s="11"/>
      <c r="AN26" s="11"/>
      <c r="AO26" s="11"/>
    </row>
    <row r="27" spans="2:41" x14ac:dyDescent="0.25">
      <c r="B27" s="3"/>
      <c r="C27" s="2">
        <f>Tabla13162432212223352627282212[[#This Row],[COMISIONES]]*0.21</f>
        <v>0</v>
      </c>
      <c r="D27" s="3">
        <f>Tabla13162432212223352627282212[[#This Row],[COMISIONES]]*0.105</f>
        <v>0</v>
      </c>
      <c r="E27" s="3"/>
      <c r="F27" s="3"/>
      <c r="H27" s="11"/>
      <c r="I27" s="11">
        <f>Tabla39172535313233453637383313[[#This Row],[COMISIONES]]*0.21</f>
        <v>0</v>
      </c>
      <c r="J27" s="11"/>
      <c r="K27" s="11"/>
      <c r="L27" s="11"/>
      <c r="N27" s="11"/>
      <c r="O27" s="11">
        <f>Tabla3510182636414244454647484414[[#This Row],[COMISIONES]]*0.21</f>
        <v>0</v>
      </c>
      <c r="P27" s="11"/>
      <c r="Q27" s="11"/>
      <c r="R27" s="11"/>
      <c r="T27" s="11"/>
      <c r="U27" s="11">
        <f>Tabla35611192737515254555657585515[[#This Row],[COMISIONES]]*0.21</f>
        <v>0</v>
      </c>
      <c r="V27" s="11"/>
      <c r="W27" s="11"/>
      <c r="X27" s="11"/>
      <c r="Z27" s="3">
        <v>170.24</v>
      </c>
      <c r="AA27" s="11">
        <f>Tabla356813212939717274757677787717[[#This Row],[COMISIONES]]*0.21</f>
        <v>35.750399999999999</v>
      </c>
      <c r="AB27" s="11" t="s">
        <v>18</v>
      </c>
      <c r="AC27" s="1">
        <v>482.22</v>
      </c>
      <c r="AK27" s="11"/>
      <c r="AL27" s="11">
        <f>Tabla356111927344311213151617181911121[[#This Row],[COMISIONES]]*0.21</f>
        <v>0</v>
      </c>
      <c r="AM27" s="11"/>
      <c r="AN27" s="11"/>
      <c r="AO27" s="11"/>
    </row>
    <row r="28" spans="2:41" x14ac:dyDescent="0.25">
      <c r="B28" s="3"/>
      <c r="C28" s="2">
        <f>Tabla13162432212223352627282212[[#This Row],[COMISIONES]]*0.21</f>
        <v>0</v>
      </c>
      <c r="D28" s="3">
        <f>Tabla13162432212223352627282212[[#This Row],[COMISIONES]]*0.105</f>
        <v>0</v>
      </c>
      <c r="E28" s="3"/>
      <c r="F28" s="3"/>
      <c r="H28" s="11"/>
      <c r="I28" s="11">
        <f>Tabla39172535313233453637383313[[#This Row],[COMISIONES]]*0.21</f>
        <v>0</v>
      </c>
      <c r="J28" s="11"/>
      <c r="K28" s="11"/>
      <c r="L28" s="11"/>
      <c r="N28" s="11"/>
      <c r="O28" s="11">
        <f>Tabla3510182636414244454647484414[[#This Row],[COMISIONES]]*0.21</f>
        <v>0</v>
      </c>
      <c r="P28" s="11"/>
      <c r="Q28" s="11"/>
      <c r="R28" s="11"/>
      <c r="T28" s="11"/>
      <c r="U28" s="11">
        <f>Tabla35611192737515254555657585515[[#This Row],[COMISIONES]]*0.21</f>
        <v>0</v>
      </c>
      <c r="V28" s="11"/>
      <c r="W28" s="11"/>
      <c r="X28" s="11"/>
      <c r="Z28" s="3">
        <v>1541.6</v>
      </c>
      <c r="AA28" s="11">
        <f>Tabla356813212939717274757677787717[[#This Row],[COMISIONES]]*0.21</f>
        <v>323.73599999999999</v>
      </c>
      <c r="AB28" s="1"/>
      <c r="AC28" s="1">
        <v>354.36</v>
      </c>
      <c r="AD28" s="11"/>
      <c r="AK28" s="11"/>
      <c r="AL28" s="11">
        <f>Tabla356111927344311213151617181911121[[#This Row],[COMISIONES]]*0.21</f>
        <v>0</v>
      </c>
      <c r="AM28" s="11"/>
      <c r="AN28" s="11"/>
      <c r="AO28" s="11"/>
    </row>
    <row r="29" spans="2:41" x14ac:dyDescent="0.25">
      <c r="B29" s="3"/>
      <c r="C29" s="2">
        <f>Tabla13162432212223352627282212[[#This Row],[COMISIONES]]*0.21</f>
        <v>0</v>
      </c>
      <c r="D29" s="3">
        <f>Tabla13162432212223352627282212[[#This Row],[COMISIONES]]*0.105</f>
        <v>0</v>
      </c>
      <c r="E29" s="3"/>
      <c r="F29" s="3"/>
      <c r="H29" s="11"/>
      <c r="I29" s="11">
        <f>Tabla39172535313233453637383313[[#This Row],[COMISIONES]]*0.21</f>
        <v>0</v>
      </c>
      <c r="J29" s="11"/>
      <c r="K29" s="11"/>
      <c r="L29" s="11"/>
      <c r="N29" s="11"/>
      <c r="O29" s="11">
        <f>Tabla3510182636414244454647484414[[#This Row],[COMISIONES]]*0.21</f>
        <v>0</v>
      </c>
      <c r="P29" s="11"/>
      <c r="Q29" s="11"/>
      <c r="R29" s="11"/>
      <c r="T29" s="18"/>
      <c r="U29" s="18">
        <f>Tabla35611192737515254555657585515[[#This Row],[COMISIONES]]*0.21</f>
        <v>0</v>
      </c>
      <c r="V29" s="18"/>
      <c r="W29" s="18"/>
      <c r="X29" s="18"/>
      <c r="Z29" s="3">
        <v>3694.3</v>
      </c>
      <c r="AA29" s="11">
        <f>Tabla356813212939717274757677787717[[#This Row],[COMISIONES]]*0.21</f>
        <v>775.803</v>
      </c>
      <c r="AB29" s="1"/>
      <c r="AC29">
        <v>31892.16</v>
      </c>
      <c r="AD29" s="11"/>
      <c r="AK29" s="18"/>
      <c r="AL29" s="18">
        <f>Tabla356111927344311213151617181911121[[#This Row],[COMISIONES]]*0.21</f>
        <v>0</v>
      </c>
      <c r="AM29" s="18"/>
      <c r="AN29" s="18"/>
      <c r="AO29" s="18"/>
    </row>
    <row r="30" spans="2:41" x14ac:dyDescent="0.25">
      <c r="B30" s="3"/>
      <c r="C30" s="2">
        <f>Tabla13162432212223352627282212[[#This Row],[COMISIONES]]*0.21</f>
        <v>0</v>
      </c>
      <c r="D30" s="3">
        <f>Tabla13162432212223352627282212[[#This Row],[COMISIONES]]*0.105</f>
        <v>0</v>
      </c>
      <c r="E30" s="3"/>
      <c r="F30" s="3"/>
      <c r="H30" s="11"/>
      <c r="I30" s="11">
        <f>Tabla39172535313233453637383313[[#This Row],[COMISIONES]]*0.21</f>
        <v>0</v>
      </c>
      <c r="J30" s="11"/>
      <c r="K30" s="11"/>
      <c r="L30" s="11"/>
      <c r="N30" s="11"/>
      <c r="O30" s="11">
        <f>Tabla3510182636414244454647484414[[#This Row],[COMISIONES]]*0.21</f>
        <v>0</v>
      </c>
      <c r="P30" s="11"/>
      <c r="Q30" s="11"/>
      <c r="R30" s="11"/>
      <c r="T30" s="18"/>
      <c r="U30" s="18">
        <f>Tabla35611192737515254555657585515[[#This Row],[COMISIONES]]*0.21</f>
        <v>0</v>
      </c>
      <c r="V30" s="18"/>
      <c r="W30" s="18"/>
      <c r="X30" s="18"/>
      <c r="Z30" s="3">
        <v>14624.66</v>
      </c>
      <c r="AA30" s="11">
        <f>Tabla356813212939717274757677787717[[#This Row],[COMISIONES]]*0.21</f>
        <v>3071.1785999999997</v>
      </c>
      <c r="AB30" s="11"/>
      <c r="AC30" s="11">
        <v>112.18</v>
      </c>
      <c r="AD30" s="11"/>
      <c r="AK30" s="18"/>
      <c r="AL30" s="18">
        <f>Tabla356111927344311213151617181911121[[#This Row],[COMISIONES]]*0.21</f>
        <v>0</v>
      </c>
      <c r="AM30" s="18"/>
      <c r="AN30" s="18"/>
      <c r="AO30" s="18"/>
    </row>
    <row r="31" spans="2:41" x14ac:dyDescent="0.25">
      <c r="B31" s="3"/>
      <c r="C31" s="2">
        <f>Tabla13162432212223352627282212[[#This Row],[COMISIONES]]*0.21</f>
        <v>0</v>
      </c>
      <c r="D31" s="3">
        <f>Tabla13162432212223352627282212[[#This Row],[COMISIONES]]*0.105</f>
        <v>0</v>
      </c>
      <c r="E31" s="1"/>
      <c r="F31" s="3"/>
      <c r="H31" s="11"/>
      <c r="I31" s="11">
        <f>Tabla39172535313233453637383313[[#This Row],[COMISIONES]]*0.21</f>
        <v>0</v>
      </c>
      <c r="J31" s="11"/>
      <c r="K31" s="11"/>
      <c r="L31" s="11"/>
      <c r="N31" s="11"/>
      <c r="O31" s="11">
        <f>Tabla3510182636414244454647484414[[#This Row],[COMISIONES]]*0.21</f>
        <v>0</v>
      </c>
      <c r="P31" s="11"/>
      <c r="Q31" s="11"/>
      <c r="R31" s="11"/>
      <c r="T31" s="4">
        <f>SUBTOTAL(109,Tabla35611192737515254555657585515[COMISIONES])</f>
        <v>38023.769999999997</v>
      </c>
      <c r="U31" s="4">
        <f>SUBTOTAL(109,Tabla35611192737515254555657585515[IVA 21])</f>
        <v>7980</v>
      </c>
      <c r="V31" s="4">
        <f>SUBTOTAL(109,Tabla35611192737515254555657585515[IVA 10,5])</f>
        <v>2.4958499999999999</v>
      </c>
      <c r="W31" s="4">
        <f>SUBTOTAL(109,Tabla35611192737515254555657585515[Ret IIBB Caba])</f>
        <v>0</v>
      </c>
      <c r="X31" s="4">
        <f>SUBTOTAL(109,Tabla35611192737515254555657585515[PERC IVA])</f>
        <v>1140</v>
      </c>
      <c r="Z31" s="3">
        <v>12750.7</v>
      </c>
      <c r="AA31" s="11"/>
      <c r="AB31" s="11">
        <f>Tabla356813212939717274757677787717[[#This Row],[COMISIONES]]*0.105</f>
        <v>1338.8235</v>
      </c>
      <c r="AC31" s="1">
        <v>10097.620000000001</v>
      </c>
      <c r="AK31" s="4">
        <f>SUBTOTAL(109,Tabla356111927344311213151617181911121[COMISIONES])</f>
        <v>3966.94</v>
      </c>
      <c r="AL31" s="4">
        <f>SUBTOTAL(109,Tabla356111927344311213151617181911121[IVA 21])</f>
        <v>833.05740000000003</v>
      </c>
      <c r="AM31" s="4">
        <f>SUBTOTAL(109,Tabla356111927344311213151617181911121[IVA 10,5])</f>
        <v>0</v>
      </c>
      <c r="AN31" s="4">
        <f>SUBTOTAL(109,Tabla356111927344311213151617181911121[Ret IIBB Caba])</f>
        <v>214.13</v>
      </c>
      <c r="AO31" s="4">
        <f>SUBTOTAL(109,Tabla356111927344311213151617181911121[PERC IVA])</f>
        <v>119.01</v>
      </c>
    </row>
    <row r="32" spans="2:41" ht="18.75" x14ac:dyDescent="0.3">
      <c r="B32" s="3"/>
      <c r="C32" s="2">
        <f>Tabla13162432212223352627282212[[#This Row],[COMISIONES]]*0.21</f>
        <v>0</v>
      </c>
      <c r="D32" s="3">
        <f>Tabla13162432212223352627282212[[#This Row],[COMISIONES]]*0.105</f>
        <v>0</v>
      </c>
      <c r="E32" s="3"/>
      <c r="F32" s="3"/>
      <c r="H32" s="11"/>
      <c r="I32" s="11">
        <f>Tabla39172535313233453637383313[[#This Row],[COMISIONES]]*0.21</f>
        <v>0</v>
      </c>
      <c r="J32" s="11"/>
      <c r="K32" s="11"/>
      <c r="L32" s="11"/>
      <c r="N32" s="11"/>
      <c r="O32" s="11">
        <f>Tabla3510182636414244454647484414[[#This Row],[COMISIONES]]*0.21</f>
        <v>0</v>
      </c>
      <c r="P32" s="11"/>
      <c r="Q32" s="11"/>
      <c r="R32" s="11"/>
      <c r="T32" s="52" t="s">
        <v>9</v>
      </c>
      <c r="U32" s="52"/>
      <c r="V32" s="52"/>
      <c r="W32" s="52"/>
      <c r="X32" s="52"/>
      <c r="Z32" s="3">
        <v>15088.85</v>
      </c>
      <c r="AA32" s="11">
        <f>Tabla356813212939717274757677787717[[#This Row],[COMISIONES]]*0.21</f>
        <v>3168.6585</v>
      </c>
      <c r="AB32" s="1"/>
      <c r="AC32" s="11">
        <v>342.99</v>
      </c>
      <c r="AD32" s="11"/>
    </row>
    <row r="33" spans="2:31" x14ac:dyDescent="0.25">
      <c r="B33" s="3"/>
      <c r="C33" s="2">
        <f>Tabla13162432212223352627282212[[#This Row],[COMISIONES]]*0.21</f>
        <v>0</v>
      </c>
      <c r="D33" s="3">
        <f>Tabla13162432212223352627282212[[#This Row],[COMISIONES]]*0.105</f>
        <v>0</v>
      </c>
      <c r="E33" s="3"/>
      <c r="F33" s="3"/>
      <c r="H33" s="11"/>
      <c r="I33" s="11">
        <f>Tabla39172535313233453637383313[[#This Row],[COMISIONES]]*0.21</f>
        <v>0</v>
      </c>
      <c r="J33" s="11"/>
      <c r="K33" s="11"/>
      <c r="L33" s="11"/>
      <c r="N33" s="11"/>
      <c r="O33" s="11">
        <f>Tabla3510182636414244454647484414[[#This Row],[COMISIONES]]*0.21</f>
        <v>0</v>
      </c>
      <c r="P33" s="11"/>
      <c r="Q33" s="11"/>
      <c r="R33" s="11"/>
      <c r="T33" s="12" t="s">
        <v>2</v>
      </c>
      <c r="U33" s="13" t="s">
        <v>0</v>
      </c>
      <c r="V33" s="13" t="s">
        <v>1</v>
      </c>
      <c r="W33" s="13" t="s">
        <v>3</v>
      </c>
      <c r="X33" s="13" t="s">
        <v>4</v>
      </c>
      <c r="Z33" s="3">
        <v>14075.06</v>
      </c>
      <c r="AA33" s="11">
        <f>Tabla356813212939717274757677787717[[#This Row],[COMISIONES]]*0.21</f>
        <v>2955.7625999999996</v>
      </c>
      <c r="AB33" s="29"/>
      <c r="AC33" s="11">
        <v>30869.46</v>
      </c>
      <c r="AD33" s="11"/>
    </row>
    <row r="34" spans="2:31" x14ac:dyDescent="0.25">
      <c r="B34" s="3"/>
      <c r="C34" s="2">
        <f>Tabla13162432212223352627282212[[#This Row],[COMISIONES]]*0.21</f>
        <v>0</v>
      </c>
      <c r="D34" s="3">
        <f>Tabla13162432212223352627282212[[#This Row],[COMISIONES]]*0.105</f>
        <v>0</v>
      </c>
      <c r="E34" s="3"/>
      <c r="F34" s="3"/>
      <c r="H34" s="11"/>
      <c r="I34" s="11">
        <f>Tabla39172535313233453637383313[[#This Row],[COMISIONES]]*0.21</f>
        <v>0</v>
      </c>
      <c r="J34" s="11"/>
      <c r="K34" s="11"/>
      <c r="L34" s="11"/>
      <c r="N34" s="11"/>
      <c r="O34" s="11">
        <f>Tabla3510182636414244454647484414[[#This Row],[COMISIONES]]*0.21</f>
        <v>0</v>
      </c>
      <c r="P34" s="11"/>
      <c r="Q34" s="11"/>
      <c r="R34" s="11"/>
      <c r="T34" s="11">
        <v>10</v>
      </c>
      <c r="U34" s="11">
        <f>Tabla612202838616264656667686616[[#This Row],[COMISIONES]]*0.21</f>
        <v>2.1</v>
      </c>
      <c r="V34" s="11"/>
      <c r="W34" s="11"/>
      <c r="X34" s="11">
        <v>637.35</v>
      </c>
      <c r="Z34" s="3">
        <v>21089.25</v>
      </c>
      <c r="AA34" s="11" t="s">
        <v>18</v>
      </c>
      <c r="AB34" s="11">
        <f>Tabla356813212939717274757677787717[[#This Row],[COMISIONES]]*0.105</f>
        <v>2214.3712500000001</v>
      </c>
      <c r="AC34" s="11">
        <v>369.8</v>
      </c>
      <c r="AD34" s="11"/>
    </row>
    <row r="35" spans="2:31" x14ac:dyDescent="0.25">
      <c r="B35" s="3"/>
      <c r="C35" s="2">
        <f>Tabla13162432212223352627282212[[#This Row],[COMISIONES]]*0.21</f>
        <v>0</v>
      </c>
      <c r="D35" s="3">
        <f>Tabla13162432212223352627282212[[#This Row],[COMISIONES]]*0.105</f>
        <v>0</v>
      </c>
      <c r="E35" s="3"/>
      <c r="F35" s="3"/>
      <c r="H35" s="11"/>
      <c r="I35" s="11">
        <f>Tabla39172535313233453637383313[[#This Row],[COMISIONES]]*0.21</f>
        <v>0</v>
      </c>
      <c r="J35" s="11"/>
      <c r="K35" s="11"/>
      <c r="L35" s="11"/>
      <c r="N35" s="11"/>
      <c r="O35" s="11">
        <f>Tabla3510182636414244454647484414[[#This Row],[COMISIONES]]*0.21</f>
        <v>0</v>
      </c>
      <c r="P35" s="11"/>
      <c r="Q35" s="11"/>
      <c r="R35" s="11"/>
      <c r="T35" s="11">
        <v>21245</v>
      </c>
      <c r="U35" s="11">
        <f>Tabla612202838616264656667686616[[#This Row],[COMISIONES]]*0.21</f>
        <v>4461.45</v>
      </c>
      <c r="V35" s="11"/>
      <c r="W35" s="11"/>
      <c r="X35" s="11"/>
      <c r="Z35" s="3">
        <v>71.44</v>
      </c>
      <c r="AA35" s="11">
        <f>Tabla356813212939717274757677787717[[#This Row],[COMISIONES]]*0.21</f>
        <v>15.0024</v>
      </c>
      <c r="AB35" s="11"/>
      <c r="AC35" s="11">
        <v>33281.879999999997</v>
      </c>
      <c r="AD35" s="11"/>
    </row>
    <row r="36" spans="2:31" x14ac:dyDescent="0.25">
      <c r="B36" s="3"/>
      <c r="C36" s="2">
        <f>Tabla13162432212223352627282212[[#This Row],[COMISIONES]]*0.21</f>
        <v>0</v>
      </c>
      <c r="D36" s="3">
        <f>Tabla13162432212223352627282212[[#This Row],[COMISIONES]]*0.105</f>
        <v>0</v>
      </c>
      <c r="E36" s="3"/>
      <c r="F36" s="3"/>
      <c r="H36" s="11"/>
      <c r="I36" s="11">
        <f>Tabla39172535313233453637383313[[#This Row],[COMISIONES]]*0.21</f>
        <v>0</v>
      </c>
      <c r="J36" s="11"/>
      <c r="K36" s="11"/>
      <c r="L36" s="11"/>
      <c r="N36" s="11"/>
      <c r="O36" s="11">
        <f>Tabla3510182636414244454647484414[[#This Row],[COMISIONES]]*0.21</f>
        <v>0</v>
      </c>
      <c r="P36" s="11"/>
      <c r="Q36" s="11"/>
      <c r="R36" s="11"/>
      <c r="T36" s="11">
        <v>10726.37</v>
      </c>
      <c r="U36" s="19" t="s">
        <v>18</v>
      </c>
      <c r="V36" s="19">
        <f>Tabla612202838616264656667686616[[#This Row],[COMISIONES]]*0.105</f>
        <v>1126.2688499999999</v>
      </c>
      <c r="X36">
        <v>160.88999999999999</v>
      </c>
      <c r="Z36" s="3">
        <v>9446.77</v>
      </c>
      <c r="AA36" s="11">
        <f>Tabla356813212939717274757677787717[[#This Row],[COMISIONES]]*0.21</f>
        <v>1983.8217</v>
      </c>
      <c r="AB36" s="1"/>
      <c r="AC36" s="11">
        <v>10.54</v>
      </c>
      <c r="AD36" s="11"/>
    </row>
    <row r="37" spans="2:31" x14ac:dyDescent="0.25">
      <c r="B37" s="3"/>
      <c r="C37" s="2">
        <f>Tabla13162432212223352627282212[[#This Row],[COMISIONES]]*0.21</f>
        <v>0</v>
      </c>
      <c r="D37" s="3">
        <f>Tabla13162432212223352627282212[[#This Row],[COMISIONES]]*0.105</f>
        <v>0</v>
      </c>
      <c r="E37" s="3"/>
      <c r="F37" s="3"/>
      <c r="H37" s="11"/>
      <c r="I37" s="11">
        <f>Tabla39172535313233453637383313[[#This Row],[COMISIONES]]*0.21</f>
        <v>0</v>
      </c>
      <c r="J37" s="11"/>
      <c r="K37" s="11"/>
      <c r="L37" s="11"/>
      <c r="N37" s="11"/>
      <c r="O37" s="11">
        <f>Tabla3510182636414244454647484414[[#This Row],[COMISIONES]]*0.21</f>
        <v>0</v>
      </c>
      <c r="P37" s="11"/>
      <c r="Q37" s="11"/>
      <c r="R37" s="11"/>
      <c r="T37" s="11">
        <v>24700</v>
      </c>
      <c r="U37" s="19">
        <f>Tabla612202838616264656667686616[[#This Row],[COMISIONES]]*0.21</f>
        <v>5187</v>
      </c>
      <c r="W37">
        <v>643.58000000000004</v>
      </c>
      <c r="X37">
        <v>741</v>
      </c>
      <c r="Z37" s="3">
        <v>12152.05</v>
      </c>
      <c r="AA37" s="11">
        <f>Tabla356813212939717274757677787717[[#This Row],[COMISIONES]]*0.21</f>
        <v>2551.9304999999999</v>
      </c>
      <c r="AB37" s="11" t="s">
        <v>18</v>
      </c>
      <c r="AC37" s="21">
        <v>948.33</v>
      </c>
      <c r="AD37" s="22"/>
    </row>
    <row r="38" spans="2:31" x14ac:dyDescent="0.25">
      <c r="B38" s="3"/>
      <c r="C38" s="2">
        <f>Tabla13162432212223352627282212[[#This Row],[COMISIONES]]*0.21</f>
        <v>0</v>
      </c>
      <c r="D38" s="3">
        <f>Tabla13162432212223352627282212[[#This Row],[COMISIONES]]*0.105</f>
        <v>0</v>
      </c>
      <c r="E38" s="3"/>
      <c r="F38" s="3"/>
      <c r="H38" s="11"/>
      <c r="I38" s="11">
        <f>Tabla39172535313233453637383313[[#This Row],[COMISIONES]]*0.21</f>
        <v>0</v>
      </c>
      <c r="J38" s="11"/>
      <c r="K38" s="11"/>
      <c r="L38" s="11"/>
      <c r="N38" s="11"/>
      <c r="O38" s="11">
        <f>Tabla3510182636414244454647484414[[#This Row],[COMISIONES]]*0.21</f>
        <v>0</v>
      </c>
      <c r="P38" s="11"/>
      <c r="Q38" s="11"/>
      <c r="R38" s="11"/>
      <c r="T38" s="11">
        <v>52300</v>
      </c>
      <c r="U38" s="19">
        <f>Tabla612202838616264656667686616[[#This Row],[COMISIONES]]*0.21</f>
        <v>10983</v>
      </c>
      <c r="W38">
        <v>1482</v>
      </c>
      <c r="X38">
        <v>1569</v>
      </c>
      <c r="Z38" s="3">
        <v>53684.94</v>
      </c>
      <c r="AA38" s="11">
        <v>8686.06</v>
      </c>
      <c r="AB38" s="1">
        <v>1293.8900000000001</v>
      </c>
      <c r="AC38" s="1">
        <v>95.41</v>
      </c>
    </row>
    <row r="39" spans="2:31" x14ac:dyDescent="0.25">
      <c r="B39" s="3"/>
      <c r="C39" s="2">
        <f>Tabla13162432212223352627282212[[#This Row],[COMISIONES]]*0.21</f>
        <v>0</v>
      </c>
      <c r="D39" s="3">
        <f>Tabla13162432212223352627282212[[#This Row],[COMISIONES]]*0.105</f>
        <v>0</v>
      </c>
      <c r="E39" s="3"/>
      <c r="F39" s="3"/>
      <c r="H39" s="11"/>
      <c r="I39" s="11">
        <f>Tabla39172535313233453637383313[[#This Row],[COMISIONES]]*0.21</f>
        <v>0</v>
      </c>
      <c r="J39" s="11"/>
      <c r="K39" s="11"/>
      <c r="L39" s="11"/>
      <c r="N39" s="11"/>
      <c r="O39" s="11">
        <f>Tabla3510182636414244454647484414[[#This Row],[COMISIONES]]*0.21</f>
        <v>0</v>
      </c>
      <c r="P39" s="11"/>
      <c r="Q39" s="11"/>
      <c r="R39" s="11"/>
      <c r="T39" s="11">
        <v>300</v>
      </c>
      <c r="U39" s="19">
        <f>Tabla612202838616264656667686616[[#This Row],[COMISIONES]]*0.21</f>
        <v>63</v>
      </c>
      <c r="V39" s="19"/>
      <c r="W39">
        <v>3138</v>
      </c>
      <c r="Z39" s="3">
        <v>561.44000000000005</v>
      </c>
      <c r="AA39" s="21">
        <f>Tabla356813212939717274757677787717[[#This Row],[COMISIONES]]*0.21</f>
        <v>117.9024</v>
      </c>
      <c r="AB39" s="21"/>
      <c r="AC39" s="21">
        <v>8587.56</v>
      </c>
      <c r="AD39" s="21"/>
    </row>
    <row r="40" spans="2:31" x14ac:dyDescent="0.25">
      <c r="B40" s="3"/>
      <c r="C40" s="2">
        <f>Tabla13162432212223352627282212[[#This Row],[COMISIONES]]*0.21</f>
        <v>0</v>
      </c>
      <c r="D40" s="3">
        <f>Tabla13162432212223352627282212[[#This Row],[COMISIONES]]*0.105</f>
        <v>0</v>
      </c>
      <c r="E40" s="3"/>
      <c r="F40" s="3"/>
      <c r="H40" s="11"/>
      <c r="I40" s="11">
        <f>Tabla39172535313233453637383313[[#This Row],[COMISIONES]]*0.21</f>
        <v>0</v>
      </c>
      <c r="J40" s="11"/>
      <c r="K40" s="11"/>
      <c r="L40" s="11"/>
      <c r="N40" s="11"/>
      <c r="O40" s="11">
        <f>Tabla3510182636414244454647484414[[#This Row],[COMISIONES]]*0.21</f>
        <v>0</v>
      </c>
      <c r="P40" s="11"/>
      <c r="Q40" s="11"/>
      <c r="R40" s="11"/>
      <c r="T40" s="11">
        <v>300</v>
      </c>
      <c r="U40" s="19">
        <f>Tabla612202838616264656667686616[[#This Row],[COMISIONES]]*0.21</f>
        <v>63</v>
      </c>
      <c r="Z40" s="3">
        <v>5864.8</v>
      </c>
      <c r="AA40" s="21">
        <f>Tabla356813212939717274757677787717[[#This Row],[COMISIONES]]*0.21</f>
        <v>1231.6079999999999</v>
      </c>
      <c r="AB40" s="21"/>
      <c r="AC40" s="21">
        <v>16423.2</v>
      </c>
      <c r="AD40" s="21"/>
    </row>
    <row r="41" spans="2:31" x14ac:dyDescent="0.25">
      <c r="B41" s="3"/>
      <c r="C41" s="2">
        <f>Tabla13162432212223352627282212[[#This Row],[COMISIONES]]*0.21</f>
        <v>0</v>
      </c>
      <c r="D41" s="3">
        <f>Tabla13162432212223352627282212[[#This Row],[COMISIONES]]*0.105</f>
        <v>0</v>
      </c>
      <c r="E41" s="3"/>
      <c r="F41" s="3"/>
      <c r="H41" s="18"/>
      <c r="I41" s="18">
        <f>Tabla39172535313233453637383313[[#This Row],[COMISIONES]]*0.21</f>
        <v>0</v>
      </c>
      <c r="J41" s="18"/>
      <c r="K41" s="18"/>
      <c r="L41" s="18"/>
      <c r="N41" s="11"/>
      <c r="O41" s="11">
        <f>Tabla3510182636414244454647484414[[#This Row],[COMISIONES]]*0.21</f>
        <v>0</v>
      </c>
      <c r="P41" s="11"/>
      <c r="Q41" s="11"/>
      <c r="R41" s="11"/>
      <c r="T41" s="11">
        <v>300</v>
      </c>
      <c r="U41" s="19">
        <f>Tabla612202838616264656667686616[[#This Row],[COMISIONES]]*0.21</f>
        <v>63</v>
      </c>
      <c r="Z41" s="3">
        <v>24966.03</v>
      </c>
      <c r="AA41" s="21">
        <f>Tabla356813212939717274757677787717[[#This Row],[COMISIONES]]*0.21</f>
        <v>5242.8662999999997</v>
      </c>
      <c r="AB41" s="21"/>
      <c r="AC41" s="21">
        <v>182.48</v>
      </c>
      <c r="AD41" s="21"/>
    </row>
    <row r="42" spans="2:31" x14ac:dyDescent="0.25">
      <c r="B42" s="3"/>
      <c r="C42" s="2">
        <f>Tabla13162432212223352627282212[[#This Row],[COMISIONES]]*0.21</f>
        <v>0</v>
      </c>
      <c r="D42" s="3">
        <f>Tabla13162432212223352627282212[[#This Row],[COMISIONES]]*0.105</f>
        <v>0</v>
      </c>
      <c r="E42" s="3"/>
      <c r="F42" s="3"/>
      <c r="H42" s="18"/>
      <c r="I42" s="18">
        <f>Tabla39172535313233453637383313[[#This Row],[COMISIONES]]*0.21</f>
        <v>0</v>
      </c>
      <c r="J42" s="18"/>
      <c r="K42" s="18"/>
      <c r="L42" s="18"/>
      <c r="N42" s="11"/>
      <c r="O42" s="11">
        <f>Tabla3510182636414244454647484414[[#This Row],[COMISIONES]]*0.21</f>
        <v>0</v>
      </c>
      <c r="P42" s="11"/>
      <c r="Q42" s="11"/>
      <c r="R42" s="11"/>
      <c r="T42" s="11">
        <v>300</v>
      </c>
      <c r="U42" s="19">
        <f>Tabla612202838616264656667686616[[#This Row],[COMISIONES]]*0.21</f>
        <v>63</v>
      </c>
      <c r="Z42" s="3">
        <v>9454.6</v>
      </c>
      <c r="AA42" s="11" t="s">
        <v>18</v>
      </c>
      <c r="AB42" s="21">
        <f>Tabla356813212939717274757677787717[[#This Row],[COMISIONES]]*0.105</f>
        <v>992.73299999999995</v>
      </c>
      <c r="AC42" s="21">
        <v>31475.15</v>
      </c>
      <c r="AD42" s="21"/>
    </row>
    <row r="43" spans="2:31" x14ac:dyDescent="0.25">
      <c r="B43" s="3"/>
      <c r="C43" s="2">
        <f>Tabla13162432212223352627282212[[#This Row],[COMISIONES]]*0.21</f>
        <v>0</v>
      </c>
      <c r="D43" s="3">
        <f>Tabla13162432212223352627282212[[#This Row],[COMISIONES]]*0.105</f>
        <v>0</v>
      </c>
      <c r="E43" s="3"/>
      <c r="F43" s="3"/>
      <c r="G43" s="8"/>
      <c r="H43" s="18"/>
      <c r="I43" s="18">
        <f>Tabla39172535313233453637383313[[#This Row],[COMISIONES]]*0.21</f>
        <v>0</v>
      </c>
      <c r="J43" s="18"/>
      <c r="K43" s="18"/>
      <c r="L43" s="18"/>
      <c r="M43" s="8"/>
      <c r="N43" s="11"/>
      <c r="O43" s="11">
        <f>Tabla3510182636414244454647484414[[#This Row],[COMISIONES]]*0.21</f>
        <v>0</v>
      </c>
      <c r="P43" s="11"/>
      <c r="Q43" s="11"/>
      <c r="R43" s="11"/>
      <c r="S43" s="8"/>
      <c r="T43" s="11">
        <v>300</v>
      </c>
      <c r="U43" s="19">
        <f>Tabla612202838616264656667686616[[#This Row],[COMISIONES]]*0.21</f>
        <v>63</v>
      </c>
      <c r="Y43" s="8"/>
      <c r="Z43" s="3">
        <v>1928.96</v>
      </c>
      <c r="AA43" s="21">
        <f>Tabla356813212939717274757677787717[[#This Row],[COMISIONES]]*0.21</f>
        <v>405.08159999999998</v>
      </c>
      <c r="AB43" s="21"/>
      <c r="AC43" s="21">
        <v>349.72</v>
      </c>
      <c r="AD43" s="21"/>
      <c r="AE43" s="8"/>
    </row>
    <row r="44" spans="2:31" x14ac:dyDescent="0.25">
      <c r="B44" s="3"/>
      <c r="C44" s="2">
        <f>Tabla13162432212223352627282212[[#This Row],[COMISIONES]]*0.21</f>
        <v>0</v>
      </c>
      <c r="D44" s="3">
        <f>Tabla13162432212223352627282212[[#This Row],[COMISIONES]]*0.105</f>
        <v>0</v>
      </c>
      <c r="E44" s="3"/>
      <c r="F44" s="3"/>
      <c r="H44" s="18"/>
      <c r="I44" s="18">
        <f>Tabla39172535313233453637383313[[#This Row],[COMISIONES]]*0.21</f>
        <v>0</v>
      </c>
      <c r="J44" s="18"/>
      <c r="K44" s="18"/>
      <c r="L44" s="18"/>
      <c r="N44" s="11"/>
      <c r="O44" s="11">
        <f>Tabla3510182636414244454647484414[[#This Row],[COMISIONES]]*0.21</f>
        <v>0</v>
      </c>
      <c r="P44" s="11"/>
      <c r="Q44" s="11"/>
      <c r="R44" s="11"/>
      <c r="T44">
        <v>300</v>
      </c>
      <c r="U44" s="19">
        <f>Tabla612202838616264656667686616[[#This Row],[COMISIONES]]*0.21</f>
        <v>63</v>
      </c>
      <c r="Z44" s="3">
        <v>2456.1999999999998</v>
      </c>
      <c r="AA44" s="21">
        <f>Tabla356813212939717274757677787717[[#This Row],[COMISIONES]]*0.21</f>
        <v>515.80199999999991</v>
      </c>
      <c r="AB44" s="21"/>
      <c r="AC44" s="21">
        <v>67078.240000000005</v>
      </c>
      <c r="AD44" s="21"/>
    </row>
    <row r="45" spans="2:31" x14ac:dyDescent="0.25">
      <c r="B45" s="3"/>
      <c r="C45" s="2">
        <f>Tabla13162432212223352627282212[[#This Row],[COMISIONES]]*0.21</f>
        <v>0</v>
      </c>
      <c r="D45" s="3">
        <f>Tabla13162432212223352627282212[[#This Row],[COMISIONES]]*0.105</f>
        <v>0</v>
      </c>
      <c r="E45" s="3"/>
      <c r="F45" s="3"/>
      <c r="H45" s="18"/>
      <c r="I45" s="18">
        <f>Tabla39172535313233453637383313[[#This Row],[COMISIONES]]*0.21</f>
        <v>0</v>
      </c>
      <c r="J45" s="18"/>
      <c r="K45" s="18"/>
      <c r="L45" s="18"/>
      <c r="N45" s="11"/>
      <c r="O45" s="11">
        <f>Tabla3510182636414244454647484414[[#This Row],[COMISIONES]]*0.21</f>
        <v>0</v>
      </c>
      <c r="P45" s="11"/>
      <c r="Q45" s="11"/>
      <c r="R45" s="11"/>
      <c r="T45">
        <v>300</v>
      </c>
      <c r="U45" s="19">
        <f>Tabla612202838616264656667686616[[#This Row],[COMISIONES]]*0.21</f>
        <v>63</v>
      </c>
      <c r="Z45" s="3">
        <v>14640.44</v>
      </c>
      <c r="AA45" s="21">
        <f>Tabla356813212939717274757677787717[[#This Row],[COMISIONES]]*0.21</f>
        <v>3074.4924000000001</v>
      </c>
      <c r="AB45" s="11" t="s">
        <v>18</v>
      </c>
      <c r="AC45" s="21">
        <v>745.31</v>
      </c>
      <c r="AD45" s="21"/>
    </row>
    <row r="46" spans="2:31" x14ac:dyDescent="0.25">
      <c r="B46" s="3"/>
      <c r="C46" s="2">
        <f>Tabla13162432212223352627282212[[#This Row],[COMISIONES]]*0.21</f>
        <v>0</v>
      </c>
      <c r="D46" s="3">
        <f>Tabla13162432212223352627282212[[#This Row],[COMISIONES]]*0.105</f>
        <v>0</v>
      </c>
      <c r="E46" s="3"/>
      <c r="F46" s="3"/>
      <c r="H46" s="18"/>
      <c r="I46" s="18">
        <f>Tabla39172535313233453637383313[[#This Row],[COMISIONES]]*0.21</f>
        <v>0</v>
      </c>
      <c r="J46" s="18"/>
      <c r="K46" s="18"/>
      <c r="L46" s="18"/>
      <c r="N46" s="11"/>
      <c r="O46" s="11">
        <f>Tabla3510182636414244454647484414[[#This Row],[COMISIONES]]*0.21</f>
        <v>0</v>
      </c>
      <c r="P46" s="11"/>
      <c r="Q46" s="11"/>
      <c r="R46" s="11"/>
      <c r="T46">
        <v>300</v>
      </c>
      <c r="U46" s="19">
        <f>Tabla612202838616264656667686616[[#This Row],[COMISIONES]]*0.21</f>
        <v>63</v>
      </c>
      <c r="Z46" s="3">
        <v>1374.8</v>
      </c>
      <c r="AA46" s="21">
        <f>Tabla356813212939717274757677787717[[#This Row],[COMISIONES]]*0.21</f>
        <v>288.70799999999997</v>
      </c>
      <c r="AB46" s="21"/>
      <c r="AC46" s="21">
        <v>329.89</v>
      </c>
      <c r="AD46" s="21"/>
    </row>
    <row r="47" spans="2:31" x14ac:dyDescent="0.25">
      <c r="B47" s="3"/>
      <c r="C47" s="2">
        <f>Tabla13162432212223352627282212[[#This Row],[COMISIONES]]*0.21</f>
        <v>0</v>
      </c>
      <c r="D47" s="3">
        <f>Tabla13162432212223352627282212[[#This Row],[COMISIONES]]*0.105</f>
        <v>0</v>
      </c>
      <c r="E47" s="3"/>
      <c r="F47" s="3"/>
      <c r="H47" s="18"/>
      <c r="I47" s="18">
        <f>Tabla39172535313233453637383313[[#This Row],[COMISIONES]]*0.21</f>
        <v>0</v>
      </c>
      <c r="J47" s="18"/>
      <c r="K47" s="18"/>
      <c r="L47" s="18"/>
      <c r="N47" s="11"/>
      <c r="O47" s="11">
        <f>Tabla3510182636414244454647484414[[#This Row],[COMISIONES]]*0.21</f>
        <v>0</v>
      </c>
      <c r="P47" s="11"/>
      <c r="Q47" s="11"/>
      <c r="R47" s="11"/>
      <c r="T47">
        <v>300</v>
      </c>
      <c r="U47" s="19">
        <f>Tabla612202838616264656667686616[[#This Row],[COMISIONES]]*0.21</f>
        <v>63</v>
      </c>
      <c r="Z47" s="3">
        <v>4753.1000000000004</v>
      </c>
      <c r="AA47" s="21">
        <f>Tabla356813212939717274757677787717[[#This Row],[COMISIONES]]*0.21</f>
        <v>998.15100000000007</v>
      </c>
      <c r="AB47" s="21"/>
      <c r="AC47" s="21">
        <v>29689.79</v>
      </c>
      <c r="AD47" s="21"/>
    </row>
    <row r="48" spans="2:31" x14ac:dyDescent="0.25">
      <c r="B48" s="3"/>
      <c r="C48" s="2">
        <f>Tabla13162432212223352627282212[[#This Row],[COMISIONES]]*0.21</f>
        <v>0</v>
      </c>
      <c r="D48" s="3">
        <f>Tabla13162432212223352627282212[[#This Row],[COMISIONES]]*0.105</f>
        <v>0</v>
      </c>
      <c r="E48" s="3"/>
      <c r="F48" s="3"/>
      <c r="H48" s="18"/>
      <c r="I48" s="18">
        <f>Tabla39172535313233453637383313[[#This Row],[COMISIONES]]*0.21</f>
        <v>0</v>
      </c>
      <c r="J48" s="18"/>
      <c r="K48" s="18"/>
      <c r="L48" s="18"/>
      <c r="N48" s="11"/>
      <c r="O48" s="11">
        <f>Tabla3510182636414244454647484414[[#This Row],[COMISIONES]]*0.21</f>
        <v>0</v>
      </c>
      <c r="P48" s="11"/>
      <c r="Q48" s="11"/>
      <c r="R48" s="11"/>
      <c r="T48">
        <v>300</v>
      </c>
      <c r="U48" s="19">
        <f>Tabla612202838616264656667686616[[#This Row],[COMISIONES]]*0.21</f>
        <v>63</v>
      </c>
      <c r="Z48" s="3">
        <v>19241.509999999998</v>
      </c>
      <c r="AA48" s="21">
        <f>Tabla356813212939717274757677787717[[#This Row],[COMISIONES]]*0.21</f>
        <v>4040.7170999999994</v>
      </c>
      <c r="AB48" s="21"/>
      <c r="AC48" s="21">
        <v>4.42</v>
      </c>
      <c r="AD48" s="21"/>
    </row>
    <row r="49" spans="1:41" x14ac:dyDescent="0.25">
      <c r="B49" s="3"/>
      <c r="C49" s="2">
        <f>Tabla13162432212223352627282212[[#This Row],[COMISIONES]]*0.21</f>
        <v>0</v>
      </c>
      <c r="D49" s="3">
        <f>Tabla13162432212223352627282212[[#This Row],[COMISIONES]]*0.105</f>
        <v>0</v>
      </c>
      <c r="E49" s="3"/>
      <c r="F49" s="3"/>
      <c r="H49" s="18"/>
      <c r="I49" s="18">
        <f>Tabla39172535313233453637383313[[#This Row],[COMISIONES]]*0.21</f>
        <v>0</v>
      </c>
      <c r="J49" s="18"/>
      <c r="K49" s="18"/>
      <c r="L49" s="18"/>
      <c r="N49" s="11"/>
      <c r="O49" s="11">
        <f>Tabla3510182636414244454647484414[[#This Row],[COMISIONES]]*0.21</f>
        <v>0</v>
      </c>
      <c r="P49" s="11"/>
      <c r="Q49" s="11"/>
      <c r="R49" s="11"/>
      <c r="T49">
        <v>300</v>
      </c>
      <c r="U49" s="19">
        <f>Tabla612202838616264656667686616[[#This Row],[COMISIONES]]*0.21</f>
        <v>63</v>
      </c>
      <c r="Z49" s="3">
        <v>34175.339999999997</v>
      </c>
      <c r="AA49" s="11" t="s">
        <v>18</v>
      </c>
      <c r="AB49" s="1">
        <f>Tabla356813212939717274757677787717[[#This Row],[COMISIONES]]*0.105</f>
        <v>3588.4106999999995</v>
      </c>
      <c r="AC49" s="21">
        <v>397.96</v>
      </c>
      <c r="AD49" s="21"/>
    </row>
    <row r="50" spans="1:41" s="6" customFormat="1" x14ac:dyDescent="0.25">
      <c r="A50"/>
      <c r="B50" s="3"/>
      <c r="C50" s="2">
        <f>Tabla13162432212223352627282212[[#This Row],[COMISIONES]]*0.21</f>
        <v>0</v>
      </c>
      <c r="D50" s="3">
        <f>Tabla13162432212223352627282212[[#This Row],[COMISIONES]]*0.105</f>
        <v>0</v>
      </c>
      <c r="E50" s="3"/>
      <c r="F50" s="3"/>
      <c r="H50" s="18"/>
      <c r="I50" s="18">
        <f>Tabla39172535313233453637383313[[#This Row],[COMISIONES]]*0.21</f>
        <v>0</v>
      </c>
      <c r="J50" s="18"/>
      <c r="K50" s="18"/>
      <c r="L50" s="18"/>
      <c r="N50" s="11"/>
      <c r="O50" s="11">
        <f>Tabla3510182636414244454647484414[[#This Row],[COMISIONES]]*0.21</f>
        <v>0</v>
      </c>
      <c r="P50" s="11"/>
      <c r="Q50" s="11"/>
      <c r="R50" s="11"/>
      <c r="T50">
        <v>300</v>
      </c>
      <c r="U50" s="19">
        <f>Tabla612202838616264656667686616[[#This Row],[COMISIONES]]*0.21</f>
        <v>63</v>
      </c>
      <c r="V50"/>
      <c r="W50"/>
      <c r="X50"/>
      <c r="Z50" s="3">
        <v>172.8</v>
      </c>
      <c r="AA50" s="21">
        <f>Tabla356813212939717274757677787717[[#This Row],[COMISIONES]]*0.21</f>
        <v>36.288000000000004</v>
      </c>
      <c r="AB50" s="21"/>
      <c r="AC50" s="21">
        <v>456.42</v>
      </c>
      <c r="AD50" s="21"/>
      <c r="AF50"/>
      <c r="AG50"/>
      <c r="AH50"/>
      <c r="AI50"/>
      <c r="AJ50"/>
      <c r="AK50"/>
      <c r="AL50"/>
      <c r="AM50"/>
      <c r="AN50"/>
      <c r="AO50"/>
    </row>
    <row r="51" spans="1:41" s="6" customFormat="1" x14ac:dyDescent="0.25">
      <c r="A51"/>
      <c r="B51" s="2"/>
      <c r="C51" s="2">
        <f>Tabla13162432212223352627282212[[#This Row],[COMISIONES]]*0.21</f>
        <v>0</v>
      </c>
      <c r="D51" s="2">
        <f>Tabla13162432212223352627282212[[#This Row],[COMISIONES]]*0.105</f>
        <v>0</v>
      </c>
      <c r="E51" s="2"/>
      <c r="F51"/>
      <c r="H51" s="18"/>
      <c r="I51" s="18">
        <f>Tabla39172535313233453637383313[[#This Row],[COMISIONES]]*0.21</f>
        <v>0</v>
      </c>
      <c r="J51" s="18"/>
      <c r="K51" s="18"/>
      <c r="L51" s="18"/>
      <c r="N51" s="11"/>
      <c r="O51" s="11">
        <f>Tabla3510182636414244454647484414[[#This Row],[COMISIONES]]*0.21</f>
        <v>0</v>
      </c>
      <c r="P51" s="11"/>
      <c r="Q51" s="11"/>
      <c r="R51" s="11"/>
      <c r="T51">
        <v>300</v>
      </c>
      <c r="U51" s="19">
        <f>Tabla612202838616264656667686616[[#This Row],[COMISIONES]]*0.21</f>
        <v>63</v>
      </c>
      <c r="V51"/>
      <c r="W51"/>
      <c r="X51"/>
      <c r="Z51" s="3">
        <v>7343.24</v>
      </c>
      <c r="AA51" s="21">
        <f>Tabla356813212939717274757677787717[[#This Row],[COMISIONES]]*0.21</f>
        <v>1542.0803999999998</v>
      </c>
      <c r="AB51" s="11" t="s">
        <v>18</v>
      </c>
      <c r="AC51" s="21">
        <v>41078.089999999997</v>
      </c>
      <c r="AD51" s="21"/>
      <c r="AF51"/>
      <c r="AG51"/>
      <c r="AH51"/>
      <c r="AI51"/>
      <c r="AJ51"/>
      <c r="AK51"/>
      <c r="AL51"/>
      <c r="AM51"/>
      <c r="AN51"/>
      <c r="AO51"/>
    </row>
    <row r="52" spans="1:41" s="6" customFormat="1" x14ac:dyDescent="0.25">
      <c r="A52"/>
      <c r="B52" s="2"/>
      <c r="C52" s="2">
        <f>Tabla13162432212223352627282212[[#This Row],[COMISIONES]]*0.21</f>
        <v>0</v>
      </c>
      <c r="D52" s="2">
        <f>Tabla13162432212223352627282212[[#This Row],[COMISIONES]]*0.105</f>
        <v>0</v>
      </c>
      <c r="E52" s="2"/>
      <c r="F52"/>
      <c r="H52" s="18"/>
      <c r="I52" s="18">
        <f>Tabla39172535313233453637383313[[#This Row],[COMISIONES]]*0.21</f>
        <v>0</v>
      </c>
      <c r="J52" s="18"/>
      <c r="K52" s="18"/>
      <c r="L52" s="18"/>
      <c r="N52" s="11"/>
      <c r="O52" s="11">
        <f>Tabla3510182636414244454647484414[[#This Row],[COMISIONES]]*0.21</f>
        <v>0</v>
      </c>
      <c r="P52" s="11"/>
      <c r="Q52" s="11"/>
      <c r="R52" s="11"/>
      <c r="T52">
        <v>300</v>
      </c>
      <c r="U52" s="19">
        <f>Tabla612202838616264656667686616[[#This Row],[COMISIONES]]*0.21</f>
        <v>63</v>
      </c>
      <c r="V52"/>
      <c r="W52"/>
      <c r="X52"/>
      <c r="Z52" s="3">
        <v>14630.16</v>
      </c>
      <c r="AA52" s="21">
        <f>Tabla356813212939717274757677787717[[#This Row],[COMISIONES]]*0.21</f>
        <v>3072.3335999999999</v>
      </c>
      <c r="AB52" s="30"/>
      <c r="AC52" s="21">
        <v>23815.51</v>
      </c>
      <c r="AD52" s="21"/>
      <c r="AF52"/>
      <c r="AG52"/>
      <c r="AH52"/>
      <c r="AI52"/>
      <c r="AJ52"/>
      <c r="AK52"/>
      <c r="AL52"/>
      <c r="AM52"/>
      <c r="AN52"/>
      <c r="AO52"/>
    </row>
    <row r="53" spans="1:41" s="6" customFormat="1" x14ac:dyDescent="0.25">
      <c r="A53"/>
      <c r="B53" s="2"/>
      <c r="C53" s="2">
        <f>Tabla13162432212223352627282212[[#This Row],[COMISIONES]]*0.21</f>
        <v>0</v>
      </c>
      <c r="D53" s="2">
        <f>Tabla13162432212223352627282212[[#This Row],[COMISIONES]]*0.105</f>
        <v>0</v>
      </c>
      <c r="E53" s="2"/>
      <c r="F53"/>
      <c r="H53" s="24">
        <f>SUBTOTAL(109,Tabla39172535313233453637383313[COMISIONES])</f>
        <v>0</v>
      </c>
      <c r="I53" s="24">
        <f>SUBTOTAL(109,Tabla39172535313233453637383313[IVA 21])</f>
        <v>0</v>
      </c>
      <c r="J53" s="24">
        <f>SUBTOTAL(109,Tabla39172535313233453637383313[IVA 10,5])</f>
        <v>0</v>
      </c>
      <c r="K53" s="24">
        <f>SUBTOTAL(109,Tabla39172535313233453637383313[Ret IIBB Caba])</f>
        <v>0</v>
      </c>
      <c r="L53" s="24">
        <f>SUBTOTAL(109,Tabla39172535313233453637383313[PERC IVA])</f>
        <v>0</v>
      </c>
      <c r="N53" s="11"/>
      <c r="O53" s="11">
        <f>Tabla3510182636414244454647484414[[#This Row],[COMISIONES]]*0.21</f>
        <v>0</v>
      </c>
      <c r="P53" s="11"/>
      <c r="Q53" s="11"/>
      <c r="R53" s="11"/>
      <c r="T53">
        <v>300</v>
      </c>
      <c r="U53" s="19">
        <f>Tabla612202838616264656667686616[[#This Row],[COMISIONES]]*0.21</f>
        <v>63</v>
      </c>
      <c r="V53"/>
      <c r="W53"/>
      <c r="X53"/>
      <c r="Z53" s="3">
        <v>4491.0476190476102</v>
      </c>
      <c r="AA53" s="11" t="s">
        <v>18</v>
      </c>
      <c r="AB53" s="1">
        <f>Tabla356813212939717274757677787717[[#This Row],[COMISIONES]]*0.105</f>
        <v>471.55999999999904</v>
      </c>
      <c r="AC53" s="21">
        <v>264.62</v>
      </c>
      <c r="AD53" s="21"/>
      <c r="AF53"/>
      <c r="AG53"/>
      <c r="AH53"/>
      <c r="AI53"/>
      <c r="AJ53"/>
      <c r="AK53"/>
      <c r="AL53"/>
      <c r="AM53"/>
      <c r="AN53"/>
      <c r="AO53"/>
    </row>
    <row r="54" spans="1:41" s="6" customFormat="1" ht="18.75" x14ac:dyDescent="0.3">
      <c r="A54"/>
      <c r="B54" s="2"/>
      <c r="C54" s="2">
        <f>Tabla13162432212223352627282212[[#This Row],[COMISIONES]]*0.21</f>
        <v>0</v>
      </c>
      <c r="D54" s="2">
        <f>Tabla13162432212223352627282212[[#This Row],[COMISIONES]]*0.105</f>
        <v>0</v>
      </c>
      <c r="E54" s="2"/>
      <c r="F54"/>
      <c r="H54" s="52" t="s">
        <v>12</v>
      </c>
      <c r="I54" s="52"/>
      <c r="J54" s="52"/>
      <c r="K54" s="52"/>
      <c r="L54" s="52"/>
      <c r="N54" s="11"/>
      <c r="O54" s="11">
        <f>Tabla3510182636414244454647484414[[#This Row],[COMISIONES]]*0.21</f>
        <v>0</v>
      </c>
      <c r="P54" s="11"/>
      <c r="Q54" s="11"/>
      <c r="R54" s="11"/>
      <c r="T54">
        <v>300</v>
      </c>
      <c r="U54" s="19">
        <f>Tabla612202838616264656667686616[[#This Row],[COMISIONES]]*0.21</f>
        <v>63</v>
      </c>
      <c r="V54"/>
      <c r="W54"/>
      <c r="X54"/>
      <c r="Z54" s="3">
        <v>625.28</v>
      </c>
      <c r="AA54" s="21">
        <f>Tabla356813212939717274757677787717[[#This Row],[COMISIONES]]*0.21</f>
        <v>131.30879999999999</v>
      </c>
      <c r="AB54" s="21"/>
      <c r="AC54" s="1">
        <v>34.75</v>
      </c>
      <c r="AD54" s="21"/>
      <c r="AF54"/>
      <c r="AG54"/>
      <c r="AH54"/>
      <c r="AI54"/>
      <c r="AJ54"/>
      <c r="AK54"/>
      <c r="AL54"/>
      <c r="AM54"/>
      <c r="AN54"/>
      <c r="AO54"/>
    </row>
    <row r="55" spans="1:41" s="6" customFormat="1" x14ac:dyDescent="0.25">
      <c r="A55"/>
      <c r="B55" s="2"/>
      <c r="C55" s="2">
        <f>Tabla13162432212223352627282212[[#This Row],[COMISIONES]]*0.21</f>
        <v>0</v>
      </c>
      <c r="D55" s="2">
        <f>Tabla13162432212223352627282212[[#This Row],[COMISIONES]]*0.105</f>
        <v>0</v>
      </c>
      <c r="E55" s="2"/>
      <c r="F55"/>
      <c r="H55" s="12" t="s">
        <v>2</v>
      </c>
      <c r="I55" s="13" t="s">
        <v>0</v>
      </c>
      <c r="J55" s="13" t="s">
        <v>1</v>
      </c>
      <c r="K55" s="13" t="s">
        <v>3</v>
      </c>
      <c r="L55" s="13" t="s">
        <v>4</v>
      </c>
      <c r="N55" s="11"/>
      <c r="O55" s="11">
        <f>Tabla3510182636414244454647484414[[#This Row],[COMISIONES]]*0.21</f>
        <v>0</v>
      </c>
      <c r="P55" s="11"/>
      <c r="Q55" s="11"/>
      <c r="R55" s="11"/>
      <c r="T55">
        <v>300</v>
      </c>
      <c r="U55" s="19">
        <f>Tabla612202838616264656667686616[[#This Row],[COMISIONES]]*0.21</f>
        <v>63</v>
      </c>
      <c r="V55"/>
      <c r="W55"/>
      <c r="X55"/>
      <c r="Z55" s="3">
        <v>7278.45</v>
      </c>
      <c r="AA55" s="21">
        <f>Tabla356813212939717274757677787717[[#This Row],[COMISIONES]]*0.21</f>
        <v>1528.4744999999998</v>
      </c>
      <c r="AB55" s="3"/>
      <c r="AC55" s="1">
        <v>3127.53</v>
      </c>
      <c r="AD55" s="21"/>
      <c r="AF55"/>
      <c r="AG55"/>
      <c r="AH55"/>
      <c r="AI55"/>
      <c r="AJ55"/>
      <c r="AK55"/>
      <c r="AL55"/>
      <c r="AM55"/>
      <c r="AN55"/>
      <c r="AO55"/>
    </row>
    <row r="56" spans="1:41" s="6" customFormat="1" x14ac:dyDescent="0.25">
      <c r="A56"/>
      <c r="B56" s="2"/>
      <c r="C56" s="2">
        <f>Tabla13162432212223352627282212[[#This Row],[COMISIONES]]*0.21</f>
        <v>0</v>
      </c>
      <c r="D56" s="2">
        <f>Tabla13162432212223352627282212[[#This Row],[COMISIONES]]*0.105</f>
        <v>0</v>
      </c>
      <c r="E56" s="2"/>
      <c r="F56"/>
      <c r="H56" s="1"/>
      <c r="I56" s="11">
        <f>Tabla3915233141919294959697989919[[#This Row],[COMISIONES]]*0.21</f>
        <v>0</v>
      </c>
      <c r="J56" s="11"/>
      <c r="K56" s="11"/>
      <c r="L56" s="1"/>
      <c r="N56" s="11"/>
      <c r="O56" s="11">
        <f>Tabla3510182636414244454647484414[[#This Row],[COMISIONES]]*0.21</f>
        <v>0</v>
      </c>
      <c r="P56" s="11"/>
      <c r="Q56" s="11"/>
      <c r="R56" s="11"/>
      <c r="T56">
        <v>64245</v>
      </c>
      <c r="U56" s="19">
        <f>Tabla612202838616264656667686616[[#This Row],[COMISIONES]]*0.21</f>
        <v>13491.449999999999</v>
      </c>
      <c r="V56"/>
      <c r="W56"/>
      <c r="X56">
        <v>1927.35</v>
      </c>
      <c r="Z56" s="3">
        <v>22255.58</v>
      </c>
      <c r="AA56" s="21">
        <f>Tabla356813212939717274757677787717[[#This Row],[COMISIONES]]*0.21</f>
        <v>4673.6718000000001</v>
      </c>
      <c r="AB56" s="3"/>
      <c r="AC56">
        <v>26072.26</v>
      </c>
      <c r="AD56" s="21"/>
      <c r="AF56"/>
      <c r="AG56"/>
      <c r="AH56"/>
      <c r="AI56"/>
      <c r="AJ56"/>
      <c r="AK56"/>
      <c r="AL56"/>
      <c r="AM56"/>
      <c r="AN56"/>
      <c r="AO56"/>
    </row>
    <row r="57" spans="1:41" s="6" customFormat="1" x14ac:dyDescent="0.25">
      <c r="A57"/>
      <c r="B57" s="2"/>
      <c r="C57" s="2">
        <f>Tabla13162432212223352627282212[[#This Row],[COMISIONES]]*0.21</f>
        <v>0</v>
      </c>
      <c r="D57" s="2">
        <f>Tabla13162432212223352627282212[[#This Row],[COMISIONES]]*0.105</f>
        <v>0</v>
      </c>
      <c r="E57" s="2"/>
      <c r="F57"/>
      <c r="H57" s="11"/>
      <c r="I57" s="11">
        <f>Tabla3915233141919294959697989919[[#This Row],[COMISIONES]]*0.21</f>
        <v>0</v>
      </c>
      <c r="J57" s="11"/>
      <c r="K57" s="11"/>
      <c r="L57" s="21"/>
      <c r="N57" s="11"/>
      <c r="O57" s="11">
        <f>Tabla3510182636414244454647484414[[#This Row],[COMISIONES]]*0.21</f>
        <v>0</v>
      </c>
      <c r="P57" s="11"/>
      <c r="Q57" s="11"/>
      <c r="R57" s="11"/>
      <c r="T57">
        <v>32122.5</v>
      </c>
      <c r="U57" s="19">
        <f>Tabla612202838616264656667686616[[#This Row],[COMISIONES]]*0.21</f>
        <v>6745.7249999999995</v>
      </c>
      <c r="V57"/>
      <c r="W57"/>
      <c r="X57">
        <v>963.67</v>
      </c>
      <c r="Z57" s="3">
        <v>77336.460000000006</v>
      </c>
      <c r="AA57" s="11" t="s">
        <v>18</v>
      </c>
      <c r="AB57" s="21">
        <f>Tabla356813212939717274757677787717[[#This Row],[COMISIONES]]*0.105</f>
        <v>8120.3283000000001</v>
      </c>
      <c r="AC57" s="21">
        <v>289.69</v>
      </c>
      <c r="AD57" s="21"/>
      <c r="AF57"/>
      <c r="AG57"/>
      <c r="AH57"/>
      <c r="AI57"/>
      <c r="AJ57"/>
      <c r="AK57"/>
      <c r="AL57"/>
      <c r="AM57"/>
      <c r="AN57"/>
      <c r="AO57"/>
    </row>
    <row r="58" spans="1:41" s="6" customFormat="1" x14ac:dyDescent="0.25">
      <c r="A58"/>
      <c r="B58" s="2"/>
      <c r="C58" s="2">
        <f>Tabla13162432212223352627282212[[#This Row],[COMISIONES]]*0.21</f>
        <v>0</v>
      </c>
      <c r="D58" s="1">
        <f>Tabla13162432212223352627282212[[#This Row],[COMISIONES]]*0.105</f>
        <v>0</v>
      </c>
      <c r="E58" s="2"/>
      <c r="F58"/>
      <c r="H58" s="11"/>
      <c r="I58" s="11">
        <f>Tabla3915233141919294959697989919[[#This Row],[COMISIONES]]*0.21</f>
        <v>0</v>
      </c>
      <c r="J58" s="11"/>
      <c r="K58" s="11"/>
      <c r="L58" s="11"/>
      <c r="N58" s="11"/>
      <c r="O58" s="11">
        <f>Tabla3510182636414244454647484414[[#This Row],[COMISIONES]]*0.21</f>
        <v>0</v>
      </c>
      <c r="P58" s="11"/>
      <c r="Q58" s="11"/>
      <c r="R58" s="11"/>
      <c r="T58"/>
      <c r="U58" s="19">
        <f>Tabla612202838616264656667686616[[#This Row],[COMISIONES]]*0.21</f>
        <v>0</v>
      </c>
      <c r="V58"/>
      <c r="W58"/>
      <c r="X58"/>
      <c r="Z58" s="3">
        <v>1226.48</v>
      </c>
      <c r="AA58" s="21">
        <f>Tabla356813212939717274757677787717[[#This Row],[COMISIONES]]*0.21</f>
        <v>257.56079999999997</v>
      </c>
      <c r="AB58" s="21"/>
      <c r="AC58" s="21">
        <v>595.23</v>
      </c>
      <c r="AD58" s="21"/>
      <c r="AF58"/>
      <c r="AG58"/>
      <c r="AH58"/>
      <c r="AI58"/>
      <c r="AJ58"/>
      <c r="AK58"/>
      <c r="AL58"/>
      <c r="AM58"/>
      <c r="AN58"/>
      <c r="AO58"/>
    </row>
    <row r="59" spans="1:41" s="6" customFormat="1" x14ac:dyDescent="0.25">
      <c r="A59"/>
      <c r="B59" s="2"/>
      <c r="C59" s="2">
        <f>Tabla13162432212223352627282212[[#This Row],[COMISIONES]]*0.21</f>
        <v>0</v>
      </c>
      <c r="D59" s="2">
        <f>Tabla13162432212223352627282212[[#This Row],[COMISIONES]]*0.105</f>
        <v>0</v>
      </c>
      <c r="E59" s="2"/>
      <c r="F59"/>
      <c r="H59" s="11"/>
      <c r="I59" s="11">
        <f>Tabla3915233141919294959697989919[[#This Row],[COMISIONES]]*0.21</f>
        <v>0</v>
      </c>
      <c r="J59" s="11"/>
      <c r="K59" s="11"/>
      <c r="L59" s="11"/>
      <c r="N59" s="11"/>
      <c r="O59" s="11">
        <f>Tabla3510182636414244454647484414[[#This Row],[COMISIONES]]*0.21</f>
        <v>0</v>
      </c>
      <c r="P59" s="11"/>
      <c r="Q59" s="11"/>
      <c r="R59" s="11"/>
      <c r="T59"/>
      <c r="U59" s="19">
        <f>Tabla612202838616264656667686616[[#This Row],[COMISIONES]]*0.21</f>
        <v>0</v>
      </c>
      <c r="V59"/>
      <c r="W59"/>
      <c r="X59"/>
      <c r="Z59" s="3">
        <v>34098.639999999999</v>
      </c>
      <c r="AA59" s="21">
        <f>Tabla356813212939717274757677787717[[#This Row],[COMISIONES]]*0.21</f>
        <v>7160.7143999999998</v>
      </c>
      <c r="AB59" s="21"/>
      <c r="AC59" s="21">
        <v>53570.42</v>
      </c>
      <c r="AD59" s="21"/>
      <c r="AF59"/>
      <c r="AG59"/>
      <c r="AH59"/>
      <c r="AI59"/>
      <c r="AJ59"/>
      <c r="AK59"/>
      <c r="AL59"/>
      <c r="AM59"/>
      <c r="AN59"/>
      <c r="AO59"/>
    </row>
    <row r="60" spans="1:41" s="6" customFormat="1" x14ac:dyDescent="0.25">
      <c r="A60"/>
      <c r="B60" s="2"/>
      <c r="C60" s="2">
        <f>Tabla13162432212223352627282212[[#This Row],[COMISIONES]]*0.21</f>
        <v>0</v>
      </c>
      <c r="D60" s="2">
        <f>Tabla13162432212223352627282212[[#This Row],[COMISIONES]]*0.105</f>
        <v>0</v>
      </c>
      <c r="E60" s="2"/>
      <c r="F60"/>
      <c r="H60" s="11"/>
      <c r="I60" s="11">
        <f>Tabla3915233141919294959697989919[[#This Row],[COMISIONES]]*0.21</f>
        <v>0</v>
      </c>
      <c r="J60" s="11"/>
      <c r="K60" s="11"/>
      <c r="L60" s="11"/>
      <c r="N60" s="11"/>
      <c r="O60" s="11">
        <f>Tabla3510182636414244454647484414[[#This Row],[COMISIONES]]*0.21</f>
        <v>0</v>
      </c>
      <c r="P60" s="11"/>
      <c r="Q60" s="11"/>
      <c r="R60" s="11"/>
      <c r="T60"/>
      <c r="U60" s="19">
        <f>Tabla612202838616264656667686616[[#This Row],[COMISIONES]]*0.21</f>
        <v>0</v>
      </c>
      <c r="V60"/>
      <c r="W60"/>
      <c r="X60"/>
      <c r="Z60" s="3">
        <v>11891.98</v>
      </c>
      <c r="AA60" s="21"/>
      <c r="AB60" s="21">
        <f>Tabla356813212939717274757677787717[[#This Row],[COMISIONES]]*0.105</f>
        <v>1248.6578999999999</v>
      </c>
      <c r="AC60" s="21">
        <v>119.4</v>
      </c>
      <c r="AD60" s="21"/>
      <c r="AF60"/>
      <c r="AG60"/>
      <c r="AH60"/>
      <c r="AI60"/>
      <c r="AJ60"/>
      <c r="AK60"/>
      <c r="AL60"/>
      <c r="AM60"/>
      <c r="AN60"/>
      <c r="AO60"/>
    </row>
    <row r="61" spans="1:41" s="6" customFormat="1" x14ac:dyDescent="0.25">
      <c r="A61"/>
      <c r="B61" s="4">
        <f>SUBTOTAL(109,Tabla13162432212223352627282212[COMISIONES])</f>
        <v>0</v>
      </c>
      <c r="C61" s="4">
        <f>SUBTOTAL(109,Tabla13162432212223352627282212[IVA 21])</f>
        <v>0</v>
      </c>
      <c r="D61" s="4">
        <f>SUBTOTAL(109,Tabla13162432212223352627282212[IVA 10,5])</f>
        <v>0</v>
      </c>
      <c r="E61" s="4">
        <f>SUBTOTAL(109,Tabla13162432212223352627282212[Ret IIBB Caba])</f>
        <v>0</v>
      </c>
      <c r="F61" s="4">
        <f>SUBTOTAL(109,Tabla13162432212223352627282212[PERC IVA])</f>
        <v>0</v>
      </c>
      <c r="H61" s="11"/>
      <c r="I61" s="11">
        <f>Tabla3915233141919294959697989919[[#This Row],[COMISIONES]]*0.21</f>
        <v>0</v>
      </c>
      <c r="J61" s="11"/>
      <c r="K61" s="11"/>
      <c r="L61" s="11"/>
      <c r="N61" s="11"/>
      <c r="O61" s="11">
        <f>Tabla3510182636414244454647484414[[#This Row],[COMISIONES]]*0.21</f>
        <v>0</v>
      </c>
      <c r="P61" s="11"/>
      <c r="Q61" s="11"/>
      <c r="R61" s="11"/>
      <c r="T61"/>
      <c r="U61" s="19">
        <f>Tabla612202838616264656667686616[[#This Row],[COMISIONES]]*0.21</f>
        <v>0</v>
      </c>
      <c r="V61"/>
      <c r="W61"/>
      <c r="X61"/>
      <c r="Z61" s="3">
        <v>3037.44</v>
      </c>
      <c r="AA61" s="21">
        <f>Tabla356813212939717274757677787717[[#This Row],[COMISIONES]]*0.21</f>
        <v>637.86239999999998</v>
      </c>
      <c r="AB61" s="21"/>
      <c r="AC61" s="21">
        <v>10745.37</v>
      </c>
      <c r="AD61" s="21"/>
      <c r="AF61"/>
      <c r="AG61"/>
      <c r="AH61"/>
      <c r="AI61"/>
      <c r="AJ61"/>
      <c r="AK61"/>
      <c r="AL61"/>
      <c r="AM61"/>
      <c r="AN61"/>
      <c r="AO61"/>
    </row>
    <row r="62" spans="1:41" s="6" customFormat="1" x14ac:dyDescent="0.25">
      <c r="A62"/>
      <c r="B62"/>
      <c r="C62"/>
      <c r="D62"/>
      <c r="E62"/>
      <c r="F62"/>
      <c r="H62" s="11"/>
      <c r="I62" s="11">
        <f>Tabla3915233141919294959697989919[[#This Row],[COMISIONES]]*0.21</f>
        <v>0</v>
      </c>
      <c r="J62" s="11"/>
      <c r="K62" s="11"/>
      <c r="L62" s="11"/>
      <c r="N62" s="11"/>
      <c r="O62" s="11">
        <f>Tabla3510182636414244454647484414[[#This Row],[COMISIONES]]*0.21</f>
        <v>0</v>
      </c>
      <c r="P62" s="11"/>
      <c r="Q62" s="11"/>
      <c r="R62" s="11"/>
      <c r="T62" s="4">
        <f>SUBTOTAL(109,Tabla612202838616264656667686616[COMISIONES])</f>
        <v>210448.87</v>
      </c>
      <c r="U62" s="4">
        <f>SUBTOTAL(109,Tabla612202838616264656667686616[IVA 21])</f>
        <v>41941.724999999999</v>
      </c>
      <c r="V62" s="4">
        <f>SUBTOTAL(109,Tabla612202838616264656667686616[IVA 10,5])</f>
        <v>1126.2688499999999</v>
      </c>
      <c r="W62" s="4">
        <f>SUBTOTAL(109,Tabla612202838616264656667686616[Ret IIBB Caba])</f>
        <v>5263.58</v>
      </c>
      <c r="X62" s="4">
        <f>SUBTOTAL(109,Tabla612202838616264656667686616[PERC IVA])</f>
        <v>5999.26</v>
      </c>
      <c r="Z62" s="3">
        <v>6891.3</v>
      </c>
      <c r="AA62" s="21">
        <f>Tabla356813212939717274757677787717[[#This Row],[COMISIONES]]*0.21</f>
        <v>1447.173</v>
      </c>
      <c r="AB62" s="21"/>
      <c r="AC62" s="21">
        <v>121.32</v>
      </c>
      <c r="AD62" s="21"/>
      <c r="AF62"/>
      <c r="AG62"/>
      <c r="AH62"/>
      <c r="AI62"/>
      <c r="AJ62"/>
      <c r="AK62"/>
      <c r="AL62"/>
      <c r="AM62"/>
      <c r="AN62"/>
      <c r="AO62"/>
    </row>
    <row r="63" spans="1:41" s="6" customFormat="1" x14ac:dyDescent="0.25">
      <c r="A63"/>
      <c r="B63"/>
      <c r="C63"/>
      <c r="D63"/>
      <c r="E63"/>
      <c r="F63"/>
      <c r="H63" s="11"/>
      <c r="I63" s="11">
        <f>Tabla3915233141919294959697989919[[#This Row],[COMISIONES]]*0.21</f>
        <v>0</v>
      </c>
      <c r="J63" s="11"/>
      <c r="K63" s="11"/>
      <c r="L63" s="11"/>
      <c r="N63" s="11"/>
      <c r="O63" s="11">
        <f>Tabla3510182636414244454647484414[[#This Row],[COMISIONES]]*0.21</f>
        <v>0</v>
      </c>
      <c r="P63" s="11"/>
      <c r="Q63" s="11"/>
      <c r="R63" s="11"/>
      <c r="T63"/>
      <c r="U63"/>
      <c r="V63"/>
      <c r="W63"/>
      <c r="X63"/>
      <c r="Z63" s="3">
        <v>6968.07</v>
      </c>
      <c r="AA63" s="11" t="s">
        <v>18</v>
      </c>
      <c r="AB63" s="21">
        <f>Tabla356813212939717274757677787717[[#This Row],[COMISIONES]]*0.105</f>
        <v>731.64734999999996</v>
      </c>
      <c r="AC63" s="21">
        <v>357.15</v>
      </c>
      <c r="AD63" s="21"/>
      <c r="AF63"/>
      <c r="AG63"/>
      <c r="AH63"/>
      <c r="AI63"/>
      <c r="AJ63"/>
      <c r="AK63"/>
      <c r="AL63"/>
      <c r="AM63"/>
      <c r="AN63"/>
      <c r="AO63"/>
    </row>
    <row r="64" spans="1:41" s="6" customFormat="1" ht="18.75" x14ac:dyDescent="0.3">
      <c r="A64"/>
      <c r="B64"/>
      <c r="C64"/>
      <c r="D64"/>
      <c r="E64"/>
      <c r="F64"/>
      <c r="H64" s="11"/>
      <c r="I64" s="11">
        <f>Tabla3915233141919294959697989919[[#This Row],[COMISIONES]]*0.21</f>
        <v>0</v>
      </c>
      <c r="J64" s="11"/>
      <c r="K64" s="11"/>
      <c r="L64" s="11"/>
      <c r="N64" s="11"/>
      <c r="O64" s="11">
        <f>Tabla3510182636414244454647484414[[#This Row],[COMISIONES]]*0.21</f>
        <v>0</v>
      </c>
      <c r="P64" s="11"/>
      <c r="Q64" s="11"/>
      <c r="R64" s="11"/>
      <c r="T64" s="52" t="s">
        <v>13</v>
      </c>
      <c r="U64" s="52"/>
      <c r="V64" s="52"/>
      <c r="W64" s="52"/>
      <c r="X64" s="52"/>
      <c r="Z64" s="3">
        <v>1038.48</v>
      </c>
      <c r="AA64" s="21">
        <f>Tabla356813212939717274757677787717[[#This Row],[COMISIONES]]*0.21</f>
        <v>218.08079999999998</v>
      </c>
      <c r="AB64" s="1"/>
      <c r="AC64" s="21">
        <v>32143.82</v>
      </c>
      <c r="AD64"/>
      <c r="AF64"/>
      <c r="AG64"/>
      <c r="AH64"/>
      <c r="AI64"/>
      <c r="AJ64"/>
      <c r="AK64"/>
      <c r="AL64"/>
      <c r="AM64"/>
      <c r="AN64"/>
      <c r="AO64"/>
    </row>
    <row r="65" spans="1:41" s="6" customFormat="1" x14ac:dyDescent="0.25">
      <c r="A65"/>
      <c r="B65"/>
      <c r="C65"/>
      <c r="D65"/>
      <c r="E65"/>
      <c r="F65"/>
      <c r="H65" s="11"/>
      <c r="I65" s="11">
        <f>Tabla3915233141919294959697989919[[#This Row],[COMISIONES]]*0.21</f>
        <v>0</v>
      </c>
      <c r="J65" s="11"/>
      <c r="K65" s="11"/>
      <c r="L65" s="11"/>
      <c r="N65" s="11"/>
      <c r="O65" s="11">
        <f>Tabla3510182636414244454647484414[[#This Row],[COMISIONES]]*0.21</f>
        <v>0</v>
      </c>
      <c r="P65" s="11"/>
      <c r="Q65" s="11"/>
      <c r="R65" s="11"/>
      <c r="T65" s="12" t="s">
        <v>2</v>
      </c>
      <c r="U65" s="13" t="s">
        <v>0</v>
      </c>
      <c r="V65" s="13" t="s">
        <v>1</v>
      </c>
      <c r="W65" s="13" t="s">
        <v>3</v>
      </c>
      <c r="X65" s="13" t="s">
        <v>4</v>
      </c>
      <c r="Z65" s="3">
        <v>938.6</v>
      </c>
      <c r="AA65" s="21">
        <f>Tabla356813212939717274757677787717[[#This Row],[COMISIONES]]*0.21</f>
        <v>197.10599999999999</v>
      </c>
      <c r="AB65" s="21"/>
      <c r="AC65" s="21">
        <v>85.09</v>
      </c>
      <c r="AD65"/>
      <c r="AF65"/>
      <c r="AG65"/>
      <c r="AH65"/>
      <c r="AI65"/>
      <c r="AJ65"/>
      <c r="AK65"/>
      <c r="AL65"/>
      <c r="AM65"/>
      <c r="AN65"/>
      <c r="AO65"/>
    </row>
    <row r="66" spans="1:41" s="6" customFormat="1" x14ac:dyDescent="0.25">
      <c r="A66"/>
      <c r="B66"/>
      <c r="C66"/>
      <c r="D66"/>
      <c r="E66"/>
      <c r="F66"/>
      <c r="H66" s="11"/>
      <c r="I66" s="11">
        <f>Tabla3915233141919294959697989919[[#This Row],[COMISIONES]]*0.21</f>
        <v>0</v>
      </c>
      <c r="J66" s="11"/>
      <c r="K66" s="11"/>
      <c r="L66" s="11"/>
      <c r="N66" s="11"/>
      <c r="O66" s="11">
        <f>Tabla3510182636414244454647484414[[#This Row],[COMISIONES]]*0.21</f>
        <v>0</v>
      </c>
      <c r="P66" s="11"/>
      <c r="Q66" s="11"/>
      <c r="R66" s="11"/>
      <c r="T66" s="11"/>
      <c r="U66" s="11">
        <f>Tabla6122028334210203050607080901020[[#This Row],[COMISIONES]]*0.21</f>
        <v>0</v>
      </c>
      <c r="V66" s="11"/>
      <c r="W66" s="1"/>
      <c r="X66" s="11"/>
      <c r="Z66" s="3">
        <v>11868.16</v>
      </c>
      <c r="AA66" s="21">
        <f>Tabla356813212939717274757677787717[[#This Row],[COMISIONES]]*0.21</f>
        <v>2492.3136</v>
      </c>
      <c r="AB66" s="21"/>
      <c r="AC66" s="21">
        <v>7658.39</v>
      </c>
      <c r="AD66" s="21"/>
      <c r="AF66"/>
      <c r="AG66"/>
      <c r="AH66"/>
      <c r="AI66"/>
      <c r="AJ66"/>
      <c r="AK66"/>
      <c r="AL66"/>
      <c r="AM66"/>
      <c r="AN66"/>
      <c r="AO66"/>
    </row>
    <row r="67" spans="1:41" s="6" customFormat="1" x14ac:dyDescent="0.25">
      <c r="A67"/>
      <c r="B67"/>
      <c r="C67"/>
      <c r="D67"/>
      <c r="E67"/>
      <c r="F67"/>
      <c r="H67" s="11"/>
      <c r="I67" s="11">
        <f>Tabla3915233141919294959697989919[[#This Row],[COMISIONES]]*0.21</f>
        <v>0</v>
      </c>
      <c r="J67" s="11"/>
      <c r="K67" s="11"/>
      <c r="L67" s="11"/>
      <c r="N67" s="18"/>
      <c r="O67" s="11">
        <f>Tabla3510182636414244454647484414[[#This Row],[COMISIONES]]*0.21</f>
        <v>0</v>
      </c>
      <c r="P67" s="18"/>
      <c r="Q67" s="18"/>
      <c r="R67" s="18"/>
      <c r="T67" s="11"/>
      <c r="U67" s="11">
        <f>Tabla6122028334210203050607080901020[[#This Row],[COMISIONES]]*0.21</f>
        <v>0</v>
      </c>
      <c r="V67" s="11"/>
      <c r="W67" s="11"/>
      <c r="X67" s="11"/>
      <c r="Z67" s="3">
        <v>13120.761904761899</v>
      </c>
      <c r="AA67" s="11" t="s">
        <v>18</v>
      </c>
      <c r="AB67" s="21">
        <f>Tabla356813212939717274757677787717[[#This Row],[COMISIONES]]*0.105</f>
        <v>1377.6799999999994</v>
      </c>
      <c r="AC67" s="21">
        <v>21130.14</v>
      </c>
      <c r="AD67" s="21"/>
      <c r="AF67"/>
      <c r="AG67"/>
      <c r="AH67"/>
      <c r="AI67"/>
      <c r="AJ67"/>
      <c r="AK67"/>
      <c r="AL67"/>
      <c r="AM67"/>
      <c r="AN67"/>
      <c r="AO67"/>
    </row>
    <row r="68" spans="1:41" s="6" customFormat="1" x14ac:dyDescent="0.25">
      <c r="A68"/>
      <c r="B68"/>
      <c r="C68"/>
      <c r="D68"/>
      <c r="E68"/>
      <c r="F68"/>
      <c r="H68" s="11"/>
      <c r="I68" s="11">
        <f>Tabla3915233141919294959697989919[[#This Row],[COMISIONES]]*0.21</f>
        <v>0</v>
      </c>
      <c r="J68" s="11"/>
      <c r="K68" s="11"/>
      <c r="L68" s="11"/>
      <c r="N68" s="18"/>
      <c r="O68" s="11">
        <f>Tabla3510182636414244454647484414[[#This Row],[COMISIONES]]*0.21</f>
        <v>0</v>
      </c>
      <c r="P68" s="18"/>
      <c r="Q68" s="18"/>
      <c r="R68" s="18"/>
      <c r="T68" s="11"/>
      <c r="U68" s="19">
        <f>Tabla6122028334210203050607080901020[[#This Row],[COMISIONES]]*0.21</f>
        <v>0</v>
      </c>
      <c r="V68"/>
      <c r="W68" s="1"/>
      <c r="X68"/>
      <c r="Z68" s="3">
        <v>725.44</v>
      </c>
      <c r="AA68" s="21">
        <f>Tabla356813212939717274757677787717[[#This Row],[COMISIONES]]*0.21</f>
        <v>152.3424</v>
      </c>
      <c r="AB68" s="21"/>
      <c r="AC68" s="21">
        <v>234.78</v>
      </c>
      <c r="AD68" s="21"/>
      <c r="AF68"/>
      <c r="AG68"/>
      <c r="AH68"/>
      <c r="AI68"/>
      <c r="AJ68"/>
      <c r="AK68"/>
      <c r="AL68"/>
      <c r="AM68"/>
      <c r="AN68"/>
      <c r="AO68"/>
    </row>
    <row r="69" spans="1:41" s="6" customFormat="1" x14ac:dyDescent="0.25">
      <c r="A69"/>
      <c r="B69"/>
      <c r="C69"/>
      <c r="D69"/>
      <c r="E69"/>
      <c r="F69"/>
      <c r="H69" s="11"/>
      <c r="I69" s="11">
        <f>Tabla3915233141919294959697989919[[#This Row],[COMISIONES]]*0.21</f>
        <v>0</v>
      </c>
      <c r="J69" s="11"/>
      <c r="K69" s="11"/>
      <c r="L69" s="11"/>
      <c r="N69" s="18"/>
      <c r="O69" s="11">
        <f>Tabla3510182636414244454647484414[[#This Row],[COMISIONES]]*0.21</f>
        <v>0</v>
      </c>
      <c r="P69" s="18"/>
      <c r="Q69" s="18"/>
      <c r="R69" s="18"/>
      <c r="T69" s="11"/>
      <c r="U69" s="19">
        <f>Tabla6122028334210203050607080901020[[#This Row],[COMISIONES]]*0.21</f>
        <v>0</v>
      </c>
      <c r="V69"/>
      <c r="W69"/>
      <c r="X69"/>
      <c r="Z69" s="3">
        <v>9963.4</v>
      </c>
      <c r="AA69" s="21">
        <f>Tabla356813212939717274757677787717[[#This Row],[COMISIONES]]*0.21</f>
        <v>2092.3139999999999</v>
      </c>
      <c r="AB69" s="21"/>
      <c r="AC69" s="21">
        <v>39519.160000000003</v>
      </c>
      <c r="AD69" s="21"/>
      <c r="AF69"/>
      <c r="AG69"/>
      <c r="AH69"/>
      <c r="AI69"/>
      <c r="AJ69"/>
      <c r="AK69"/>
      <c r="AL69"/>
      <c r="AM69"/>
      <c r="AN69"/>
      <c r="AO69"/>
    </row>
    <row r="70" spans="1:41" s="6" customFormat="1" x14ac:dyDescent="0.25">
      <c r="A70"/>
      <c r="B70"/>
      <c r="C70"/>
      <c r="D70"/>
      <c r="E70"/>
      <c r="F70"/>
      <c r="H70" s="11"/>
      <c r="I70" s="11">
        <f>Tabla3915233141919294959697989919[[#This Row],[COMISIONES]]*0.21</f>
        <v>0</v>
      </c>
      <c r="J70" s="11"/>
      <c r="K70" s="11"/>
      <c r="L70" s="11"/>
      <c r="N70" s="18"/>
      <c r="O70" s="11">
        <f>Tabla3510182636414244454647484414[[#This Row],[COMISIONES]]*0.21</f>
        <v>0</v>
      </c>
      <c r="P70" s="18"/>
      <c r="Q70" s="18"/>
      <c r="R70" s="18"/>
      <c r="T70" s="11"/>
      <c r="U70" s="19">
        <f>Tabla6122028334210203050607080901020[[#This Row],[COMISIONES]]*0.21</f>
        <v>0</v>
      </c>
      <c r="V70"/>
      <c r="W70"/>
      <c r="X70"/>
      <c r="Z70" s="3">
        <v>18241.8</v>
      </c>
      <c r="AA70" s="21">
        <f>Tabla356813212939717274757677787717[[#This Row],[COMISIONES]]*0.21</f>
        <v>3830.7779999999998</v>
      </c>
      <c r="AB70" s="21"/>
      <c r="AC70" s="21">
        <v>439.1</v>
      </c>
      <c r="AD70" s="21"/>
      <c r="AF70"/>
      <c r="AG70"/>
      <c r="AH70"/>
      <c r="AI70"/>
      <c r="AJ70"/>
      <c r="AK70"/>
      <c r="AL70"/>
      <c r="AM70"/>
      <c r="AN70"/>
      <c r="AO70"/>
    </row>
    <row r="71" spans="1:41" s="6" customFormat="1" x14ac:dyDescent="0.25">
      <c r="A71"/>
      <c r="B71"/>
      <c r="C71"/>
      <c r="D71"/>
      <c r="E71"/>
      <c r="F71"/>
      <c r="H71" s="11"/>
      <c r="I71" s="11">
        <f>Tabla3915233141919294959697989919[[#This Row],[COMISIONES]]*0.21</f>
        <v>0</v>
      </c>
      <c r="J71" s="11"/>
      <c r="K71" s="11"/>
      <c r="L71" s="11"/>
      <c r="N71" s="18"/>
      <c r="O71" s="11">
        <f>Tabla3510182636414244454647484414[[#This Row],[COMISIONES]]*0.21</f>
        <v>0</v>
      </c>
      <c r="P71" s="18"/>
      <c r="Q71" s="18"/>
      <c r="R71" s="18"/>
      <c r="T71" s="11"/>
      <c r="U71" s="19">
        <f>Tabla6122028334210203050607080901020[[#This Row],[COMISIONES]]*0.21</f>
        <v>0</v>
      </c>
      <c r="V71"/>
      <c r="W71"/>
      <c r="X71"/>
      <c r="Z71" s="3">
        <v>523.29</v>
      </c>
      <c r="AA71" s="21">
        <f>Tabla356813212939717274757677787717[[#This Row],[COMISIONES]]*0.21</f>
        <v>109.89089999999999</v>
      </c>
      <c r="AB71" s="21"/>
      <c r="AC71" s="21">
        <v>10.7</v>
      </c>
      <c r="AD71" s="21"/>
      <c r="AF71"/>
      <c r="AG71"/>
      <c r="AH71"/>
      <c r="AI71"/>
      <c r="AJ71"/>
      <c r="AK71"/>
      <c r="AL71"/>
      <c r="AM71"/>
      <c r="AN71"/>
      <c r="AO71"/>
    </row>
    <row r="72" spans="1:41" s="6" customFormat="1" x14ac:dyDescent="0.25">
      <c r="A72"/>
      <c r="B72"/>
      <c r="C72"/>
      <c r="D72"/>
      <c r="E72"/>
      <c r="F72"/>
      <c r="H72" s="11"/>
      <c r="I72" s="11">
        <f>Tabla3915233141919294959697989919[[#This Row],[COMISIONES]]*0.21</f>
        <v>0</v>
      </c>
      <c r="J72" s="11"/>
      <c r="K72" s="11"/>
      <c r="L72" s="11"/>
      <c r="N72" s="18"/>
      <c r="O72" s="11">
        <f>Tabla3510182636414244454647484414[[#This Row],[COMISIONES]]*0.21</f>
        <v>0</v>
      </c>
      <c r="P72" s="18"/>
      <c r="Q72" s="18"/>
      <c r="R72" s="18"/>
      <c r="T72" s="11"/>
      <c r="U72" s="19">
        <f>Tabla6122028334210203050607080901020[[#This Row],[COMISIONES]]*0.21</f>
        <v>0</v>
      </c>
      <c r="V72"/>
      <c r="W72"/>
      <c r="X72"/>
      <c r="Z72" s="3">
        <v>9812.9</v>
      </c>
      <c r="AA72" s="21">
        <f>Tabla356813212939717274757677787717[[#This Row],[COMISIONES]]*0.21</f>
        <v>2060.7089999999998</v>
      </c>
      <c r="AB72" s="21"/>
      <c r="AC72" s="21">
        <v>962.59</v>
      </c>
      <c r="AD72" s="21"/>
      <c r="AF72"/>
      <c r="AG72"/>
      <c r="AH72"/>
      <c r="AI72"/>
      <c r="AJ72"/>
      <c r="AK72"/>
      <c r="AL72"/>
      <c r="AM72"/>
      <c r="AN72"/>
      <c r="AO72"/>
    </row>
    <row r="73" spans="1:41" s="6" customFormat="1" x14ac:dyDescent="0.25">
      <c r="A73"/>
      <c r="B73"/>
      <c r="C73"/>
      <c r="D73"/>
      <c r="E73"/>
      <c r="F73"/>
      <c r="H73" s="11"/>
      <c r="I73" s="11">
        <f>Tabla3915233141919294959697989919[[#This Row],[COMISIONES]]*0.21</f>
        <v>0</v>
      </c>
      <c r="J73" s="11"/>
      <c r="K73" s="11"/>
      <c r="L73" s="11"/>
      <c r="N73" s="18"/>
      <c r="O73" s="11">
        <f>Tabla3510182636414244454647484414[[#This Row],[COMISIONES]]*0.21</f>
        <v>0</v>
      </c>
      <c r="P73" s="18"/>
      <c r="Q73" s="18"/>
      <c r="R73" s="18"/>
      <c r="T73" s="11"/>
      <c r="U73" s="19">
        <f>Tabla6122028334210203050607080901020[[#This Row],[COMISIONES]]*0.21</f>
        <v>0</v>
      </c>
      <c r="V73"/>
      <c r="W73"/>
      <c r="X73"/>
      <c r="Z73" s="3">
        <v>16735.22</v>
      </c>
      <c r="AA73" s="21">
        <f>Tabla356813212939717274757677787717[[#This Row],[COMISIONES]]*0.21</f>
        <v>3514.3962000000001</v>
      </c>
      <c r="AB73" s="1"/>
      <c r="AC73" s="1">
        <v>362.72</v>
      </c>
      <c r="AD73"/>
      <c r="AF73"/>
      <c r="AG73"/>
      <c r="AH73"/>
      <c r="AI73"/>
      <c r="AJ73"/>
      <c r="AK73"/>
      <c r="AL73"/>
      <c r="AM73"/>
      <c r="AN73"/>
      <c r="AO73"/>
    </row>
    <row r="74" spans="1:41" s="6" customFormat="1" x14ac:dyDescent="0.25">
      <c r="A74"/>
      <c r="B74"/>
      <c r="C74"/>
      <c r="D74"/>
      <c r="E74"/>
      <c r="F74"/>
      <c r="H74" s="11"/>
      <c r="I74" s="11">
        <f>Tabla3915233141919294959697989919[[#This Row],[COMISIONES]]*0.21</f>
        <v>0</v>
      </c>
      <c r="J74" s="11"/>
      <c r="K74" s="11"/>
      <c r="L74" s="11"/>
      <c r="N74" s="18"/>
      <c r="O74" s="11">
        <f>Tabla3510182636414244454647484414[[#This Row],[COMISIONES]]*0.21</f>
        <v>0</v>
      </c>
      <c r="P74" s="18"/>
      <c r="Q74" s="18"/>
      <c r="R74" s="18"/>
      <c r="T74" s="11"/>
      <c r="U74" s="19">
        <f>Tabla6122028334210203050607080901020[[#This Row],[COMISIONES]]*0.21</f>
        <v>0</v>
      </c>
      <c r="V74"/>
      <c r="W74"/>
      <c r="X74"/>
      <c r="Z74" s="3">
        <v>9171.25</v>
      </c>
      <c r="AA74" s="11" t="s">
        <v>18</v>
      </c>
      <c r="AB74" s="19">
        <f>Tabla356813212939717274757677787717[[#This Row],[COMISIONES]]*0.105</f>
        <v>962.98124999999993</v>
      </c>
      <c r="AC74">
        <v>32644.74</v>
      </c>
      <c r="AD74"/>
      <c r="AF74"/>
      <c r="AG74"/>
      <c r="AH74"/>
      <c r="AI74"/>
      <c r="AJ74"/>
      <c r="AK74"/>
      <c r="AL74"/>
      <c r="AM74"/>
      <c r="AN74"/>
      <c r="AO74"/>
    </row>
    <row r="75" spans="1:41" s="6" customFormat="1" x14ac:dyDescent="0.25">
      <c r="A75"/>
      <c r="B75"/>
      <c r="C75"/>
      <c r="D75"/>
      <c r="E75"/>
      <c r="F75"/>
      <c r="H75" s="11"/>
      <c r="I75" s="11">
        <f>Tabla3915233141919294959697989919[[#This Row],[COMISIONES]]*0.21</f>
        <v>0</v>
      </c>
      <c r="J75" s="11"/>
      <c r="K75" s="11"/>
      <c r="L75" s="11"/>
      <c r="N75" s="18"/>
      <c r="O75" s="11">
        <f>Tabla3510182636414244454647484414[[#This Row],[COMISIONES]]*0.21</f>
        <v>0</v>
      </c>
      <c r="P75" s="18"/>
      <c r="Q75" s="18"/>
      <c r="R75" s="18"/>
      <c r="T75" s="11"/>
      <c r="U75" s="19">
        <f>Tabla6122028334210203050607080901020[[#This Row],[COMISIONES]]*0.21</f>
        <v>0</v>
      </c>
      <c r="V75"/>
      <c r="W75"/>
      <c r="X75"/>
      <c r="Z75" s="3">
        <v>312</v>
      </c>
      <c r="AA75" s="11">
        <f>Tabla356813212939717274757677787717[[#This Row],[COMISIONES]]*0.21</f>
        <v>65.52</v>
      </c>
      <c r="AB75" s="1" t="s">
        <v>18</v>
      </c>
      <c r="AC75" s="21">
        <v>343.97</v>
      </c>
      <c r="AD75"/>
      <c r="AF75"/>
      <c r="AG75"/>
      <c r="AH75"/>
      <c r="AI75"/>
      <c r="AJ75"/>
      <c r="AK75"/>
      <c r="AL75"/>
      <c r="AM75"/>
      <c r="AN75"/>
      <c r="AO75"/>
    </row>
    <row r="76" spans="1:41" s="6" customFormat="1" x14ac:dyDescent="0.25">
      <c r="A76"/>
      <c r="B76"/>
      <c r="C76"/>
      <c r="D76"/>
      <c r="E76"/>
      <c r="F76"/>
      <c r="H76" s="11"/>
      <c r="I76" s="11">
        <f>Tabla3915233141919294959697989919[[#This Row],[COMISIONES]]*0.21</f>
        <v>0</v>
      </c>
      <c r="J76" s="11"/>
      <c r="K76" s="11"/>
      <c r="L76" s="11"/>
      <c r="N76" s="18"/>
      <c r="O76" s="11">
        <f>Tabla3510182636414244454647484414[[#This Row],[COMISIONES]]*0.21</f>
        <v>0</v>
      </c>
      <c r="P76" s="18"/>
      <c r="Q76" s="18"/>
      <c r="R76" s="18"/>
      <c r="T76"/>
      <c r="U76" s="19">
        <f>Tabla6122028334210203050607080901020[[#This Row],[COMISIONES]]*0.21</f>
        <v>0</v>
      </c>
      <c r="V76"/>
      <c r="W76"/>
      <c r="X76"/>
      <c r="Z76" s="3">
        <v>6257.2</v>
      </c>
      <c r="AA76" s="21">
        <f>Tabla356813212939717274757677787717[[#This Row],[COMISIONES]]*0.21</f>
        <v>1314.0119999999999</v>
      </c>
      <c r="AB76" s="1"/>
      <c r="AC76" s="21">
        <v>30957.01</v>
      </c>
      <c r="AD76"/>
      <c r="AF76"/>
      <c r="AG76"/>
      <c r="AH76"/>
      <c r="AI76"/>
      <c r="AJ76"/>
      <c r="AK76"/>
      <c r="AL76"/>
      <c r="AM76"/>
      <c r="AN76"/>
      <c r="AO76"/>
    </row>
    <row r="77" spans="1:41" s="6" customFormat="1" x14ac:dyDescent="0.25">
      <c r="A77"/>
      <c r="B77"/>
      <c r="C77"/>
      <c r="D77"/>
      <c r="E77"/>
      <c r="F77"/>
      <c r="H77" s="11"/>
      <c r="I77" s="11">
        <f>Tabla3915233141919294959697989919[[#This Row],[COMISIONES]]*0.21</f>
        <v>0</v>
      </c>
      <c r="J77" s="11"/>
      <c r="K77" s="11"/>
      <c r="L77" s="11"/>
      <c r="N77" s="18"/>
      <c r="O77" s="11">
        <f>Tabla3510182636414244454647484414[[#This Row],[COMISIONES]]*0.21</f>
        <v>0</v>
      </c>
      <c r="P77" s="18"/>
      <c r="Q77" s="18"/>
      <c r="R77" s="18"/>
      <c r="T77"/>
      <c r="U77" s="19">
        <f>Tabla6122028334210203050607080901020[[#This Row],[COMISIONES]]*0.21</f>
        <v>0</v>
      </c>
      <c r="V77"/>
      <c r="W77"/>
      <c r="X77"/>
      <c r="Z77" s="3">
        <v>18584.62</v>
      </c>
      <c r="AA77" s="21">
        <f>Tabla356813212939717274757677787717[[#This Row],[COMISIONES]]*0.21</f>
        <v>3902.7701999999995</v>
      </c>
      <c r="AB77" s="1"/>
      <c r="AC77" s="21">
        <v>38.700000000000003</v>
      </c>
      <c r="AD77"/>
      <c r="AF77"/>
      <c r="AG77"/>
      <c r="AH77"/>
      <c r="AI77"/>
      <c r="AJ77"/>
      <c r="AK77"/>
      <c r="AL77"/>
      <c r="AM77"/>
      <c r="AN77"/>
      <c r="AO77"/>
    </row>
    <row r="78" spans="1:41" s="6" customFormat="1" x14ac:dyDescent="0.25">
      <c r="A78"/>
      <c r="B78"/>
      <c r="C78"/>
      <c r="D78"/>
      <c r="E78"/>
      <c r="F78"/>
      <c r="H78" s="11"/>
      <c r="I78" s="11">
        <f>Tabla3915233141919294959697989919[[#This Row],[COMISIONES]]*0.21</f>
        <v>0</v>
      </c>
      <c r="J78" s="11"/>
      <c r="K78" s="11"/>
      <c r="L78" s="11"/>
      <c r="N78" s="18"/>
      <c r="O78" s="11">
        <f>Tabla3510182636414244454647484414[[#This Row],[COMISIONES]]*0.21</f>
        <v>0</v>
      </c>
      <c r="P78" s="18"/>
      <c r="Q78" s="18"/>
      <c r="R78" s="18"/>
      <c r="T78"/>
      <c r="U78" s="19">
        <f>Tabla6122028334210203050607080901020[[#This Row],[COMISIONES]]*0.21</f>
        <v>0</v>
      </c>
      <c r="V78"/>
      <c r="W78"/>
      <c r="X78"/>
      <c r="Z78" s="3">
        <v>7999.49</v>
      </c>
      <c r="AA78" s="11" t="s">
        <v>18</v>
      </c>
      <c r="AB78" s="1">
        <f>Tabla356813212939717274757677787717[[#This Row],[COMISIONES]]*0.105</f>
        <v>839.94644999999991</v>
      </c>
      <c r="AC78" s="21">
        <v>3483.15</v>
      </c>
      <c r="AD78"/>
      <c r="AF78"/>
      <c r="AG78"/>
      <c r="AH78"/>
      <c r="AI78"/>
      <c r="AJ78"/>
      <c r="AK78"/>
      <c r="AL78"/>
      <c r="AM78"/>
      <c r="AN78"/>
      <c r="AO78"/>
    </row>
    <row r="79" spans="1:41" s="6" customFormat="1" x14ac:dyDescent="0.25">
      <c r="A79"/>
      <c r="B79"/>
      <c r="C79"/>
      <c r="D79"/>
      <c r="E79"/>
      <c r="F79"/>
      <c r="H79" s="11"/>
      <c r="I79" s="11">
        <f>Tabla3915233141919294959697989919[[#This Row],[COMISIONES]]*0.21</f>
        <v>0</v>
      </c>
      <c r="J79" s="11"/>
      <c r="K79" s="11"/>
      <c r="L79" s="11"/>
      <c r="N79" s="18"/>
      <c r="O79" s="11">
        <f>Tabla3510182636414244454647484414[[#This Row],[COMISIONES]]*0.21</f>
        <v>0</v>
      </c>
      <c r="P79" s="18"/>
      <c r="Q79" s="18"/>
      <c r="R79" s="18"/>
      <c r="T79"/>
      <c r="U79" s="19">
        <f>Tabla6122028334210203050607080901020[[#This Row],[COMISIONES]]*0.21</f>
        <v>0</v>
      </c>
      <c r="V79"/>
      <c r="W79"/>
      <c r="X79"/>
      <c r="Z79" s="3">
        <v>397.36</v>
      </c>
      <c r="AA79" s="21">
        <f>Tabla356813212939717274757677787717[[#This Row],[COMISIONES]]*0.21</f>
        <v>83.445599999999999</v>
      </c>
      <c r="AB79" s="11" t="s">
        <v>18</v>
      </c>
      <c r="AC79" s="21">
        <v>359.52</v>
      </c>
      <c r="AD79"/>
      <c r="AF79"/>
      <c r="AG79"/>
      <c r="AH79"/>
      <c r="AI79"/>
      <c r="AJ79"/>
      <c r="AK79"/>
      <c r="AL79"/>
      <c r="AM79"/>
      <c r="AN79"/>
      <c r="AO79"/>
    </row>
    <row r="80" spans="1:41" s="6" customFormat="1" x14ac:dyDescent="0.25">
      <c r="A80"/>
      <c r="B80"/>
      <c r="C80"/>
      <c r="D80"/>
      <c r="E80"/>
      <c r="F80"/>
      <c r="H80" s="11"/>
      <c r="I80" s="11">
        <f>Tabla3915233141919294959697989919[[#This Row],[COMISIONES]]*0.21</f>
        <v>0</v>
      </c>
      <c r="J80" s="11"/>
      <c r="K80" s="11"/>
      <c r="L80" s="11"/>
      <c r="N80" s="18"/>
      <c r="O80" s="11">
        <f>Tabla3510182636414244454647484414[[#This Row],[COMISIONES]]*0.21</f>
        <v>0</v>
      </c>
      <c r="P80" s="18"/>
      <c r="Q80" s="18"/>
      <c r="R80" s="18"/>
      <c r="T80"/>
      <c r="U80" s="19">
        <f>Tabla6122028334210203050607080901020[[#This Row],[COMISIONES]]*0.21</f>
        <v>0</v>
      </c>
      <c r="V80"/>
      <c r="W80"/>
      <c r="X80"/>
      <c r="Z80" s="3">
        <v>1144</v>
      </c>
      <c r="AA80" s="21">
        <f>Tabla356813212939717274757677787717[[#This Row],[COMISIONES]]*0.21</f>
        <v>240.23999999999998</v>
      </c>
      <c r="AB80" s="21"/>
      <c r="AC80" s="21">
        <v>32356.71</v>
      </c>
      <c r="AD80"/>
      <c r="AF80"/>
      <c r="AG80"/>
      <c r="AH80"/>
      <c r="AI80"/>
      <c r="AJ80"/>
      <c r="AK80"/>
      <c r="AL80"/>
      <c r="AM80"/>
      <c r="AN80"/>
      <c r="AO80"/>
    </row>
    <row r="81" spans="1:41" s="6" customFormat="1" x14ac:dyDescent="0.25">
      <c r="A81"/>
      <c r="B81"/>
      <c r="C81"/>
      <c r="D81"/>
      <c r="E81"/>
      <c r="F81"/>
      <c r="H81" s="18"/>
      <c r="I81" s="18">
        <f>Tabla3915233141919294959697989919[[#This Row],[COMISIONES]]*0.21</f>
        <v>0</v>
      </c>
      <c r="J81" s="18"/>
      <c r="K81" s="18"/>
      <c r="L81" s="18"/>
      <c r="N81" s="18"/>
      <c r="O81" s="11">
        <f>Tabla3510182636414244454647484414[[#This Row],[COMISIONES]]*0.21</f>
        <v>0</v>
      </c>
      <c r="P81" s="18"/>
      <c r="Q81" s="18"/>
      <c r="R81" s="18"/>
      <c r="T81"/>
      <c r="U81" s="19">
        <f>Tabla6122028334210203050607080901020[[#This Row],[COMISIONES]]*0.21</f>
        <v>0</v>
      </c>
      <c r="V81"/>
      <c r="W81"/>
      <c r="X81"/>
      <c r="Z81" s="3">
        <v>6720</v>
      </c>
      <c r="AA81" s="21">
        <f>Tabla356813212939717274757677787717[[#This Row],[COMISIONES]]*0.21</f>
        <v>1411.2</v>
      </c>
      <c r="AB81" s="21"/>
      <c r="AC81" s="21">
        <v>500.2</v>
      </c>
      <c r="AD81"/>
      <c r="AF81"/>
      <c r="AG81"/>
      <c r="AH81"/>
      <c r="AI81"/>
      <c r="AJ81"/>
      <c r="AK81"/>
      <c r="AL81"/>
      <c r="AM81"/>
      <c r="AN81"/>
      <c r="AO81"/>
    </row>
    <row r="82" spans="1:41" s="6" customFormat="1" x14ac:dyDescent="0.25">
      <c r="A82"/>
      <c r="B82"/>
      <c r="C82"/>
      <c r="D82"/>
      <c r="E82"/>
      <c r="F82"/>
      <c r="H82" s="18"/>
      <c r="I82" s="18">
        <f>Tabla3915233141919294959697989919[[#This Row],[COMISIONES]]*0.21</f>
        <v>0</v>
      </c>
      <c r="J82" s="18"/>
      <c r="K82" s="18"/>
      <c r="L82" s="18"/>
      <c r="N82" s="18"/>
      <c r="O82" s="11">
        <f>Tabla3510182636414244454647484414[[#This Row],[COMISIONES]]*0.21</f>
        <v>0</v>
      </c>
      <c r="P82" s="18"/>
      <c r="Q82" s="18"/>
      <c r="R82" s="18"/>
      <c r="T82"/>
      <c r="U82" s="19">
        <f>Tabla6122028334210203050607080901020[[#This Row],[COMISIONES]]*0.21</f>
        <v>0</v>
      </c>
      <c r="V82"/>
      <c r="W82"/>
      <c r="X82"/>
      <c r="Z82" s="3">
        <v>12164.8</v>
      </c>
      <c r="AA82" s="21">
        <f>Tabla356813212939717274757677787717[[#This Row],[COMISIONES]]*0.21</f>
        <v>2554.6079999999997</v>
      </c>
      <c r="AB82" s="1"/>
      <c r="AC82" s="1">
        <v>45017.7</v>
      </c>
      <c r="AD82"/>
      <c r="AF82"/>
      <c r="AG82"/>
      <c r="AH82"/>
      <c r="AI82"/>
      <c r="AJ82"/>
      <c r="AK82"/>
      <c r="AL82"/>
      <c r="AM82"/>
      <c r="AN82"/>
      <c r="AO82"/>
    </row>
    <row r="83" spans="1:41" s="6" customFormat="1" x14ac:dyDescent="0.25">
      <c r="A83"/>
      <c r="B83"/>
      <c r="C83"/>
      <c r="D83"/>
      <c r="E83"/>
      <c r="F83"/>
      <c r="H83" s="18"/>
      <c r="I83" s="18">
        <f>Tabla3915233141919294959697989919[[#This Row],[COMISIONES]]*0.21</f>
        <v>0</v>
      </c>
      <c r="J83" s="18"/>
      <c r="K83" s="18"/>
      <c r="L83" s="18"/>
      <c r="N83" s="18"/>
      <c r="O83" s="11">
        <f>Tabla3510182636414244454647484414[[#This Row],[COMISIONES]]*0.21</f>
        <v>0</v>
      </c>
      <c r="P83" s="18"/>
      <c r="Q83" s="18"/>
      <c r="R83" s="18"/>
      <c r="T83"/>
      <c r="U83" s="19">
        <f>Tabla6122028334210203050607080901020[[#This Row],[COMISIONES]]*0.21</f>
        <v>0</v>
      </c>
      <c r="V83"/>
      <c r="W83"/>
      <c r="X83"/>
      <c r="Z83" s="3"/>
      <c r="AA83" s="21"/>
      <c r="AB83" s="21">
        <f>Tabla356813212939717274757677787717[[#This Row],[COMISIONES]]*0.105</f>
        <v>0</v>
      </c>
      <c r="AC83" s="21">
        <v>75.91</v>
      </c>
      <c r="AD83"/>
      <c r="AF83"/>
      <c r="AG83"/>
      <c r="AH83"/>
      <c r="AI83"/>
      <c r="AJ83"/>
      <c r="AK83"/>
      <c r="AL83"/>
      <c r="AM83"/>
      <c r="AN83"/>
      <c r="AO83"/>
    </row>
    <row r="84" spans="1:41" s="6" customFormat="1" x14ac:dyDescent="0.25">
      <c r="A84"/>
      <c r="B84"/>
      <c r="C84"/>
      <c r="D84"/>
      <c r="E84"/>
      <c r="F84"/>
      <c r="H84" s="18"/>
      <c r="I84" s="18">
        <f>Tabla3915233141919294959697989919[[#This Row],[COMISIONES]]*0.21</f>
        <v>0</v>
      </c>
      <c r="J84" s="18"/>
      <c r="K84" s="18"/>
      <c r="L84" s="18"/>
      <c r="N84" s="18"/>
      <c r="O84" s="11">
        <f>Tabla3510182636414244454647484414[[#This Row],[COMISIONES]]*0.21</f>
        <v>0</v>
      </c>
      <c r="P84" s="18"/>
      <c r="Q84" s="18"/>
      <c r="R84" s="18"/>
      <c r="T84"/>
      <c r="U84" s="19">
        <f>Tabla6122028334210203050607080901020[[#This Row],[COMISIONES]]*0.21</f>
        <v>0</v>
      </c>
      <c r="V84"/>
      <c r="W84"/>
      <c r="X84"/>
      <c r="Z84" s="3"/>
      <c r="AA84" s="21">
        <f>Tabla356813212939717274757677787717[[#This Row],[COMISIONES]]*0.21</f>
        <v>0</v>
      </c>
      <c r="AB84" s="21"/>
      <c r="AC84" s="1">
        <v>6832.16</v>
      </c>
      <c r="AD84"/>
      <c r="AF84"/>
      <c r="AG84"/>
      <c r="AH84"/>
      <c r="AI84"/>
      <c r="AJ84"/>
      <c r="AK84"/>
      <c r="AL84"/>
      <c r="AM84"/>
      <c r="AN84"/>
      <c r="AO84"/>
    </row>
    <row r="85" spans="1:41" s="6" customFormat="1" x14ac:dyDescent="0.25">
      <c r="A85"/>
      <c r="B85"/>
      <c r="C85"/>
      <c r="D85"/>
      <c r="E85"/>
      <c r="F85"/>
      <c r="H85" s="18"/>
      <c r="I85" s="18">
        <f>Tabla3915233141919294959697989919[[#This Row],[COMISIONES]]*0.21</f>
        <v>0</v>
      </c>
      <c r="J85" s="18"/>
      <c r="K85" s="18"/>
      <c r="L85" s="18"/>
      <c r="N85" s="18"/>
      <c r="O85" s="11">
        <f>Tabla3510182636414244454647484414[[#This Row],[COMISIONES]]*0.21</f>
        <v>0</v>
      </c>
      <c r="P85" s="18"/>
      <c r="Q85" s="18"/>
      <c r="R85" s="18"/>
      <c r="T85"/>
      <c r="U85" s="19">
        <f>Tabla6122028334210203050607080901020[[#This Row],[COMISIONES]]*0.21</f>
        <v>0</v>
      </c>
      <c r="V85"/>
      <c r="W85"/>
      <c r="X85"/>
      <c r="Z85" s="3"/>
      <c r="AA85" s="21">
        <f>Tabla356813212939717274757677787717[[#This Row],[COMISIONES]]*0.21</f>
        <v>0</v>
      </c>
      <c r="AB85" s="1"/>
      <c r="AC85" s="1">
        <v>74273.95</v>
      </c>
      <c r="AD85"/>
      <c r="AF85"/>
      <c r="AG85"/>
      <c r="AH85"/>
      <c r="AI85"/>
      <c r="AJ85"/>
      <c r="AK85"/>
      <c r="AL85"/>
      <c r="AM85"/>
      <c r="AN85"/>
      <c r="AO85"/>
    </row>
    <row r="86" spans="1:41" s="6" customFormat="1" x14ac:dyDescent="0.25">
      <c r="A86"/>
      <c r="B86"/>
      <c r="C86"/>
      <c r="D86"/>
      <c r="E86"/>
      <c r="F86"/>
      <c r="H86" s="18"/>
      <c r="I86" s="18">
        <f>Tabla3915233141919294959697989919[[#This Row],[COMISIONES]]*0.21</f>
        <v>0</v>
      </c>
      <c r="J86" s="18"/>
      <c r="K86" s="18"/>
      <c r="L86" s="18"/>
      <c r="N86" s="18"/>
      <c r="O86" s="11">
        <f>Tabla3510182636414244454647484414[[#This Row],[COMISIONES]]*0.21</f>
        <v>0</v>
      </c>
      <c r="P86" s="18"/>
      <c r="Q86" s="18"/>
      <c r="R86" s="18"/>
      <c r="T86"/>
      <c r="U86" s="19">
        <f>Tabla6122028334210203050607080901020[[#This Row],[COMISIONES]]*0.21</f>
        <v>0</v>
      </c>
      <c r="V86"/>
      <c r="W86"/>
      <c r="X86"/>
      <c r="Z86" s="3"/>
      <c r="AA86" s="21">
        <f>Tabla356813212939717274757677787717[[#This Row],[COMISIONES]]*0.21</f>
        <v>0</v>
      </c>
      <c r="AB86" s="21"/>
      <c r="AC86" s="1">
        <v>825.27</v>
      </c>
      <c r="AD86"/>
      <c r="AF86"/>
      <c r="AG86"/>
      <c r="AH86"/>
      <c r="AI86"/>
      <c r="AJ86"/>
      <c r="AK86"/>
      <c r="AL86"/>
      <c r="AM86"/>
      <c r="AN86"/>
      <c r="AO86"/>
    </row>
    <row r="87" spans="1:41" s="6" customFormat="1" x14ac:dyDescent="0.25">
      <c r="A87"/>
      <c r="B87"/>
      <c r="C87"/>
      <c r="D87"/>
      <c r="E87"/>
      <c r="F87"/>
      <c r="H87" s="18"/>
      <c r="I87" s="18">
        <f>Tabla3915233141919294959697989919[[#This Row],[COMISIONES]]*0.21</f>
        <v>0</v>
      </c>
      <c r="J87" s="18"/>
      <c r="K87" s="18"/>
      <c r="L87" s="18"/>
      <c r="N87" s="18"/>
      <c r="O87" s="11">
        <f>Tabla3510182636414244454647484414[[#This Row],[COMISIONES]]*0.21</f>
        <v>0</v>
      </c>
      <c r="P87" s="18"/>
      <c r="Q87" s="18"/>
      <c r="R87" s="18"/>
      <c r="T87"/>
      <c r="U87" s="19">
        <f>Tabla6122028334210203050607080901020[[#This Row],[COMISIONES]]*0.21</f>
        <v>0</v>
      </c>
      <c r="V87"/>
      <c r="W87"/>
      <c r="X87"/>
      <c r="Z87" s="3"/>
      <c r="AA87" s="21">
        <f>Tabla356813212939717274757677787717[[#This Row],[COMISIONES]]*0.21</f>
        <v>0</v>
      </c>
      <c r="AB87" s="1"/>
      <c r="AC87" s="1">
        <v>188</v>
      </c>
      <c r="AD87" s="21"/>
      <c r="AF87"/>
      <c r="AG87"/>
      <c r="AH87"/>
      <c r="AI87"/>
      <c r="AJ87"/>
      <c r="AK87"/>
      <c r="AL87"/>
      <c r="AM87"/>
      <c r="AN87"/>
      <c r="AO87"/>
    </row>
    <row r="88" spans="1:41" s="6" customFormat="1" x14ac:dyDescent="0.25">
      <c r="A88"/>
      <c r="B88"/>
      <c r="C88"/>
      <c r="D88"/>
      <c r="E88"/>
      <c r="F88"/>
      <c r="H88" s="18"/>
      <c r="I88" s="18">
        <f>Tabla3915233141919294959697989919[[#This Row],[COMISIONES]]*0.21</f>
        <v>0</v>
      </c>
      <c r="J88" s="18"/>
      <c r="K88" s="18"/>
      <c r="L88" s="18"/>
      <c r="N88" s="18"/>
      <c r="O88" s="11">
        <f>Tabla3510182636414244454647484414[[#This Row],[COMISIONES]]*0.21</f>
        <v>0</v>
      </c>
      <c r="P88" s="18"/>
      <c r="Q88" s="18"/>
      <c r="R88" s="18"/>
      <c r="T88"/>
      <c r="U88" s="19">
        <f>Tabla6122028334210203050607080901020[[#This Row],[COMISIONES]]*0.21</f>
        <v>0</v>
      </c>
      <c r="V88"/>
      <c r="W88"/>
      <c r="X88"/>
      <c r="Z88" s="3"/>
      <c r="AA88" s="21">
        <f>Tabla356813212939717274757677787717[[#This Row],[COMISIONES]]*0.21</f>
        <v>0</v>
      </c>
      <c r="AB88" s="21"/>
      <c r="AC88" s="21">
        <v>16920.22</v>
      </c>
      <c r="AD88"/>
      <c r="AF88"/>
      <c r="AG88"/>
      <c r="AH88"/>
      <c r="AI88"/>
      <c r="AJ88"/>
      <c r="AK88"/>
      <c r="AL88"/>
      <c r="AM88"/>
      <c r="AN88"/>
      <c r="AO88"/>
    </row>
    <row r="89" spans="1:41" s="6" customFormat="1" x14ac:dyDescent="0.25">
      <c r="A89"/>
      <c r="B89"/>
      <c r="C89"/>
      <c r="D89"/>
      <c r="E89"/>
      <c r="F89"/>
      <c r="H89" s="18"/>
      <c r="I89" s="18">
        <f>Tabla3915233141919294959697989919[[#This Row],[COMISIONES]]*0.21</f>
        <v>0</v>
      </c>
      <c r="J89" s="18"/>
      <c r="K89" s="18"/>
      <c r="L89" s="18"/>
      <c r="N89" s="18"/>
      <c r="O89" s="11">
        <f>Tabla3510182636414244454647484414[[#This Row],[COMISIONES]]*0.21</f>
        <v>0</v>
      </c>
      <c r="P89" s="18"/>
      <c r="Q89" s="18"/>
      <c r="R89" s="18"/>
      <c r="T89"/>
      <c r="U89" s="19">
        <f>Tabla6122028334210203050607080901020[[#This Row],[COMISIONES]]*0.21</f>
        <v>0</v>
      </c>
      <c r="V89"/>
      <c r="W89"/>
      <c r="X89"/>
      <c r="Z89" s="3"/>
      <c r="AA89" s="21">
        <f>Tabla356813212939717274757677787717[[#This Row],[COMISIONES]]*0.21</f>
        <v>0</v>
      </c>
      <c r="AB89" s="19"/>
      <c r="AC89">
        <v>30635.62</v>
      </c>
      <c r="AD89"/>
      <c r="AF89"/>
      <c r="AG89"/>
      <c r="AH89"/>
      <c r="AI89"/>
      <c r="AJ89"/>
      <c r="AK89"/>
      <c r="AL89"/>
      <c r="AM89"/>
      <c r="AN89"/>
      <c r="AO89"/>
    </row>
    <row r="90" spans="1:41" s="6" customFormat="1" x14ac:dyDescent="0.25">
      <c r="A90"/>
      <c r="B90"/>
      <c r="C90"/>
      <c r="D90"/>
      <c r="E90"/>
      <c r="F90"/>
      <c r="H90" s="18"/>
      <c r="I90" s="18">
        <f>Tabla3915233141919294959697989919[[#This Row],[COMISIONES]]*0.21</f>
        <v>0</v>
      </c>
      <c r="J90" s="18"/>
      <c r="K90" s="18"/>
      <c r="L90" s="18"/>
      <c r="N90" s="18"/>
      <c r="O90" s="11">
        <f>Tabla3510182636414244454647484414[[#This Row],[COMISIONES]]*0.21</f>
        <v>0</v>
      </c>
      <c r="P90" s="18"/>
      <c r="Q90" s="18"/>
      <c r="R90" s="18"/>
      <c r="T90"/>
      <c r="U90" s="19">
        <f>Tabla6122028334210203050607080901020[[#This Row],[COMISIONES]]*0.21</f>
        <v>0</v>
      </c>
      <c r="V90"/>
      <c r="W90"/>
      <c r="X90"/>
      <c r="Z90" s="3"/>
      <c r="AA90" s="21">
        <f>Tabla356813212939717274757677787717[[#This Row],[COMISIONES]]*0.21</f>
        <v>0</v>
      </c>
      <c r="AB90" s="21"/>
      <c r="AC90" s="21">
        <v>340.4</v>
      </c>
      <c r="AD90"/>
      <c r="AF90"/>
      <c r="AG90"/>
      <c r="AH90"/>
      <c r="AI90"/>
      <c r="AJ90"/>
      <c r="AK90"/>
      <c r="AL90"/>
      <c r="AM90"/>
      <c r="AN90"/>
      <c r="AO90"/>
    </row>
    <row r="91" spans="1:41" s="6" customFormat="1" x14ac:dyDescent="0.25">
      <c r="A91"/>
      <c r="B91"/>
      <c r="C91"/>
      <c r="D91"/>
      <c r="E91"/>
      <c r="F91"/>
      <c r="H91" s="18"/>
      <c r="I91" s="18">
        <f>Tabla3915233141919294959697989919[[#This Row],[COMISIONES]]*0.21</f>
        <v>0</v>
      </c>
      <c r="J91" s="18"/>
      <c r="K91" s="18"/>
      <c r="L91" s="18"/>
      <c r="N91" s="18"/>
      <c r="O91" s="11">
        <f>Tabla3510182636414244454647484414[[#This Row],[COMISIONES]]*0.21</f>
        <v>0</v>
      </c>
      <c r="P91" s="18"/>
      <c r="Q91" s="18"/>
      <c r="R91" s="18"/>
      <c r="T91"/>
      <c r="U91" s="19">
        <f>Tabla6122028334210203050607080901020[[#This Row],[COMISIONES]]*0.21</f>
        <v>0</v>
      </c>
      <c r="V91"/>
      <c r="W91"/>
      <c r="X91"/>
      <c r="Z91" s="3"/>
      <c r="AA91" s="21"/>
      <c r="AB91" s="21">
        <f>Tabla356813212939717274757677787717[[#This Row],[COMISIONES]]*0.105</f>
        <v>0</v>
      </c>
      <c r="AC91" s="1">
        <v>425.93</v>
      </c>
      <c r="AD91"/>
      <c r="AF91"/>
      <c r="AG91"/>
      <c r="AH91"/>
      <c r="AI91"/>
      <c r="AJ91"/>
      <c r="AK91"/>
      <c r="AL91"/>
      <c r="AM91"/>
      <c r="AN91"/>
      <c r="AO91"/>
    </row>
    <row r="92" spans="1:41" s="6" customFormat="1" x14ac:dyDescent="0.25">
      <c r="A92"/>
      <c r="B92"/>
      <c r="C92"/>
      <c r="D92"/>
      <c r="E92"/>
      <c r="F92"/>
      <c r="H92" s="18"/>
      <c r="I92" s="18">
        <f>Tabla3915233141919294959697989919[[#This Row],[COMISIONES]]*0.21</f>
        <v>0</v>
      </c>
      <c r="J92" s="18"/>
      <c r="K92" s="18"/>
      <c r="L92" s="18"/>
      <c r="N92" s="18"/>
      <c r="O92" s="11">
        <f>Tabla3510182636414244454647484414[[#This Row],[COMISIONES]]*0.21</f>
        <v>0</v>
      </c>
      <c r="P92" s="18"/>
      <c r="Q92" s="18"/>
      <c r="R92" s="18"/>
      <c r="T92"/>
      <c r="U92" s="19">
        <f>Tabla6122028334210203050607080901020[[#This Row],[COMISIONES]]*0.21</f>
        <v>0</v>
      </c>
      <c r="V92"/>
      <c r="W92"/>
      <c r="X92"/>
      <c r="Z92" s="3"/>
      <c r="AA92" s="21">
        <f>Tabla356813212939717274757677787717[[#This Row],[COMISIONES]]*0.21</f>
        <v>0</v>
      </c>
      <c r="AB92" s="1"/>
      <c r="AC92" s="21">
        <v>38333.879999999997</v>
      </c>
      <c r="AD92" s="21"/>
      <c r="AF92"/>
      <c r="AG92"/>
      <c r="AH92"/>
      <c r="AI92"/>
      <c r="AJ92"/>
      <c r="AK92"/>
      <c r="AL92"/>
      <c r="AM92"/>
      <c r="AN92"/>
      <c r="AO92"/>
    </row>
    <row r="93" spans="1:41" s="6" customFormat="1" x14ac:dyDescent="0.25">
      <c r="A93"/>
      <c r="B93"/>
      <c r="C93"/>
      <c r="D93"/>
      <c r="E93"/>
      <c r="F93"/>
      <c r="H93" s="21"/>
      <c r="I93" s="21">
        <f>Tabla3915233141919294959697989919[[#This Row],[COMISIONES]]*0.21</f>
        <v>0</v>
      </c>
      <c r="J93" s="21"/>
      <c r="K93" s="21"/>
      <c r="L93" s="21"/>
      <c r="N93" s="18"/>
      <c r="O93" s="11">
        <f>Tabla3510182636414244454647484414[[#This Row],[COMISIONES]]*0.21</f>
        <v>0</v>
      </c>
      <c r="P93" s="18"/>
      <c r="Q93" s="18"/>
      <c r="R93" s="18"/>
      <c r="T93"/>
      <c r="U93" s="19">
        <f>Tabla6122028334210203050607080901020[[#This Row],[COMISIONES]]*0.21</f>
        <v>0</v>
      </c>
      <c r="V93"/>
      <c r="W93"/>
      <c r="X93"/>
      <c r="Z93" s="3"/>
      <c r="AA93" s="21">
        <f>Tabla356813212939717274757677787717[[#This Row],[COMISIONES]]*0.21</f>
        <v>0</v>
      </c>
      <c r="AB93" s="21"/>
      <c r="AC93" s="21">
        <v>64.27</v>
      </c>
      <c r="AD93" s="21"/>
      <c r="AF93"/>
      <c r="AG93"/>
      <c r="AH93"/>
      <c r="AI93"/>
      <c r="AJ93"/>
      <c r="AK93"/>
      <c r="AL93"/>
      <c r="AM93"/>
      <c r="AN93"/>
      <c r="AO93"/>
    </row>
    <row r="94" spans="1:41" s="6" customFormat="1" x14ac:dyDescent="0.25">
      <c r="A94"/>
      <c r="B94"/>
      <c r="C94"/>
      <c r="D94"/>
      <c r="E94"/>
      <c r="F94"/>
      <c r="H94" s="21"/>
      <c r="I94" s="21">
        <f>Tabla3915233141919294959697989919[[#This Row],[COMISIONES]]*0.21</f>
        <v>0</v>
      </c>
      <c r="J94" s="21"/>
      <c r="K94" s="21"/>
      <c r="L94" s="21"/>
      <c r="N94" s="18"/>
      <c r="O94" s="11">
        <f>Tabla3510182636414244454647484414[[#This Row],[COMISIONES]]*0.21</f>
        <v>0</v>
      </c>
      <c r="P94" s="18"/>
      <c r="Q94" s="18"/>
      <c r="R94" s="18"/>
      <c r="T94" s="17">
        <f>SUBTOTAL(109,Tabla6122028334210203050607080901020[COMISIONES])</f>
        <v>0</v>
      </c>
      <c r="U94" s="17">
        <f>SUBTOTAL(109,Tabla6122028334210203050607080901020[IVA 21])</f>
        <v>0</v>
      </c>
      <c r="V94" s="17">
        <f>SUBTOTAL(109,Tabla6122028334210203050607080901020[IVA 10,5])</f>
        <v>0</v>
      </c>
      <c r="W94" s="17">
        <f>SUBTOTAL(109,Tabla6122028334210203050607080901020[Ret IIBB Caba])</f>
        <v>0</v>
      </c>
      <c r="X94" s="17">
        <f>SUBTOTAL(109,Tabla6122028334210203050607080901020[PERC IVA])</f>
        <v>0</v>
      </c>
      <c r="Z94" s="3"/>
      <c r="AA94" s="21">
        <f>Tabla356813212939717274757677787717[[#This Row],[COMISIONES]]*0.21</f>
        <v>0</v>
      </c>
      <c r="AB94" s="21"/>
      <c r="AC94" s="21">
        <v>5784.9</v>
      </c>
      <c r="AD94" s="21"/>
      <c r="AF94"/>
      <c r="AG94"/>
      <c r="AH94"/>
      <c r="AI94"/>
      <c r="AJ94"/>
      <c r="AK94"/>
      <c r="AL94"/>
      <c r="AM94"/>
      <c r="AN94"/>
      <c r="AO94"/>
    </row>
    <row r="95" spans="1:41" s="6" customFormat="1" x14ac:dyDescent="0.25">
      <c r="A95"/>
      <c r="B95"/>
      <c r="C95"/>
      <c r="D95"/>
      <c r="E95"/>
      <c r="F95"/>
      <c r="H95" s="21"/>
      <c r="I95" s="21">
        <f>Tabla3915233141919294959697989919[[#This Row],[COMISIONES]]*0.21</f>
        <v>0</v>
      </c>
      <c r="J95" s="21"/>
      <c r="K95" s="21"/>
      <c r="L95" s="21"/>
      <c r="N95" s="18"/>
      <c r="O95" s="11">
        <f>Tabla3510182636414244454647484414[[#This Row],[COMISIONES]]*0.21</f>
        <v>0</v>
      </c>
      <c r="P95" s="18"/>
      <c r="Q95" s="18"/>
      <c r="R95" s="18"/>
      <c r="T95"/>
      <c r="U95"/>
      <c r="V95"/>
      <c r="W95"/>
      <c r="X95"/>
      <c r="Z95" s="3"/>
      <c r="AA95" s="21"/>
      <c r="AB95" s="21">
        <f>Tabla356813212939717274757677787717[[#This Row],[COMISIONES]]*0.105</f>
        <v>0</v>
      </c>
      <c r="AC95" s="21">
        <v>46.36</v>
      </c>
      <c r="AD95" s="21"/>
      <c r="AF95"/>
      <c r="AG95"/>
      <c r="AH95"/>
      <c r="AI95"/>
      <c r="AJ95"/>
      <c r="AK95"/>
      <c r="AL95"/>
      <c r="AM95"/>
      <c r="AN95"/>
      <c r="AO95"/>
    </row>
    <row r="96" spans="1:41" s="6" customFormat="1" x14ac:dyDescent="0.25">
      <c r="A96"/>
      <c r="B96"/>
      <c r="C96"/>
      <c r="D96"/>
      <c r="E96"/>
      <c r="F96"/>
      <c r="H96" s="21"/>
      <c r="I96" s="21">
        <f>Tabla3915233141919294959697989919[[#This Row],[COMISIONES]]*0.21</f>
        <v>0</v>
      </c>
      <c r="J96" s="21"/>
      <c r="K96" s="21"/>
      <c r="L96" s="21"/>
      <c r="N96" s="18"/>
      <c r="O96" s="11">
        <f>Tabla3510182636414244454647484414[[#This Row],[COMISIONES]]*0.21</f>
        <v>0</v>
      </c>
      <c r="P96" s="18"/>
      <c r="Q96" s="18"/>
      <c r="R96" s="18"/>
      <c r="T96"/>
      <c r="U96"/>
      <c r="V96"/>
      <c r="W96"/>
      <c r="X96"/>
      <c r="Z96" s="3"/>
      <c r="AA96" s="21">
        <f>Tabla356813212939717274757677787717[[#This Row],[COMISIONES]]*0.21</f>
        <v>0</v>
      </c>
      <c r="AB96" s="1">
        <f>Tabla356813212939717274757677787717[[#This Row],[COMISIONES]]*0.105</f>
        <v>0</v>
      </c>
      <c r="AC96" s="1">
        <v>4172.59</v>
      </c>
      <c r="AD96"/>
      <c r="AF96"/>
      <c r="AG96"/>
      <c r="AH96"/>
      <c r="AI96"/>
      <c r="AJ96"/>
      <c r="AK96"/>
      <c r="AL96"/>
      <c r="AM96"/>
      <c r="AN96"/>
      <c r="AO96"/>
    </row>
    <row r="97" spans="1:41" s="6" customFormat="1" x14ac:dyDescent="0.25">
      <c r="A97"/>
      <c r="B97"/>
      <c r="C97"/>
      <c r="D97"/>
      <c r="E97"/>
      <c r="F97"/>
      <c r="H97" s="21"/>
      <c r="I97" s="21">
        <f>Tabla3915233141919294959697989919[[#This Row],[COMISIONES]]*0.21</f>
        <v>0</v>
      </c>
      <c r="J97" s="21"/>
      <c r="K97" s="21"/>
      <c r="L97" s="21"/>
      <c r="N97" s="18"/>
      <c r="O97" s="11">
        <f>Tabla3510182636414244454647484414[[#This Row],[COMISIONES]]*0.21</f>
        <v>0</v>
      </c>
      <c r="P97" s="18"/>
      <c r="Q97" s="18"/>
      <c r="R97" s="18"/>
      <c r="T97"/>
      <c r="U97"/>
      <c r="V97"/>
      <c r="W97"/>
      <c r="X97"/>
      <c r="Z97" s="3"/>
      <c r="AA97" s="21">
        <f>Tabla356813212939717274757677787717[[#This Row],[COMISIONES]]*0.21</f>
        <v>0</v>
      </c>
      <c r="AB97" s="1">
        <f>Tabla356813212939717274757677787717[[#This Row],[COMISIONES]]*0.105</f>
        <v>0</v>
      </c>
      <c r="AC97" s="1">
        <v>25127.97</v>
      </c>
      <c r="AD97"/>
      <c r="AF97"/>
      <c r="AG97"/>
      <c r="AH97"/>
      <c r="AI97"/>
      <c r="AJ97"/>
      <c r="AK97"/>
      <c r="AL97"/>
      <c r="AM97"/>
      <c r="AN97"/>
      <c r="AO97"/>
    </row>
    <row r="98" spans="1:41" s="6" customFormat="1" x14ac:dyDescent="0.25">
      <c r="A98"/>
      <c r="B98"/>
      <c r="C98"/>
      <c r="D98"/>
      <c r="E98"/>
      <c r="F98"/>
      <c r="H98" s="21"/>
      <c r="I98" s="21">
        <f>Tabla3915233141919294959697989919[[#This Row],[COMISIONES]]*0.21</f>
        <v>0</v>
      </c>
      <c r="J98" s="21"/>
      <c r="K98" s="21"/>
      <c r="L98" s="21"/>
      <c r="N98" s="18"/>
      <c r="O98" s="11">
        <f>Tabla3510182636414244454647484414[[#This Row],[COMISIONES]]*0.21</f>
        <v>0</v>
      </c>
      <c r="P98" s="18"/>
      <c r="Q98" s="18"/>
      <c r="R98" s="18"/>
      <c r="T98"/>
      <c r="U98"/>
      <c r="V98"/>
      <c r="W98"/>
      <c r="X98"/>
      <c r="Z98" s="3"/>
      <c r="AA98" s="21">
        <f>Tabla356813212939717274757677787717[[#This Row],[COMISIONES]]*0.21</f>
        <v>0</v>
      </c>
      <c r="AB98" s="21">
        <f>Tabla356813212939717274757677787717[[#This Row],[COMISIONES]]*0.105</f>
        <v>0</v>
      </c>
      <c r="AC98" s="21">
        <v>279.2</v>
      </c>
      <c r="AD98"/>
      <c r="AF98"/>
      <c r="AG98"/>
      <c r="AH98"/>
      <c r="AI98"/>
      <c r="AJ98"/>
      <c r="AK98"/>
      <c r="AL98"/>
      <c r="AM98"/>
      <c r="AN98"/>
      <c r="AO98"/>
    </row>
    <row r="99" spans="1:41" s="6" customFormat="1" x14ac:dyDescent="0.25">
      <c r="A99"/>
      <c r="B99"/>
      <c r="C99"/>
      <c r="D99"/>
      <c r="E99"/>
      <c r="F99"/>
      <c r="H99" s="21"/>
      <c r="I99" s="21">
        <f>Tabla3915233141919294959697989919[[#This Row],[COMISIONES]]*0.21</f>
        <v>0</v>
      </c>
      <c r="J99" s="21"/>
      <c r="K99" s="21"/>
      <c r="L99" s="21"/>
      <c r="N99" s="18"/>
      <c r="O99" s="11">
        <f>Tabla3510182636414244454647484414[[#This Row],[COMISIONES]]*0.21</f>
        <v>0</v>
      </c>
      <c r="P99" s="18"/>
      <c r="Q99" s="18"/>
      <c r="R99" s="18"/>
      <c r="T99"/>
      <c r="U99"/>
      <c r="V99"/>
      <c r="W99"/>
      <c r="X99"/>
      <c r="Z99" s="3"/>
      <c r="AA99" s="21">
        <f>Tabla356813212939717274757677787717[[#This Row],[COMISIONES]]*0.21</f>
        <v>0</v>
      </c>
      <c r="AB99" s="21">
        <f>Tabla356813212939717274757677787717[[#This Row],[COMISIONES]]*0.105</f>
        <v>0</v>
      </c>
      <c r="AC99" s="21">
        <v>44.9</v>
      </c>
      <c r="AD99"/>
      <c r="AF99"/>
      <c r="AG99"/>
      <c r="AH99"/>
      <c r="AI99"/>
      <c r="AJ99"/>
      <c r="AK99"/>
      <c r="AL99"/>
      <c r="AM99"/>
      <c r="AN99"/>
      <c r="AO99"/>
    </row>
    <row r="100" spans="1:41" s="6" customFormat="1" x14ac:dyDescent="0.25">
      <c r="A100"/>
      <c r="B100"/>
      <c r="C100"/>
      <c r="D100"/>
      <c r="E100"/>
      <c r="F100"/>
      <c r="H100" s="21"/>
      <c r="I100" s="21">
        <f>Tabla3915233141919294959697989919[[#This Row],[COMISIONES]]*0.21</f>
        <v>0</v>
      </c>
      <c r="J100" s="21"/>
      <c r="K100" s="21"/>
      <c r="L100" s="21"/>
      <c r="N100" s="18"/>
      <c r="O100" s="11">
        <f>Tabla3510182636414244454647484414[[#This Row],[COMISIONES]]*0.21</f>
        <v>0</v>
      </c>
      <c r="P100" s="18"/>
      <c r="Q100" s="18"/>
      <c r="R100" s="18"/>
      <c r="T100"/>
      <c r="U100"/>
      <c r="V100"/>
      <c r="W100"/>
      <c r="X100"/>
      <c r="Z100" s="3"/>
      <c r="AA100" s="21">
        <f>Tabla356813212939717274757677787717[[#This Row],[COMISIONES]]*0.21</f>
        <v>0</v>
      </c>
      <c r="AB100" s="21">
        <f>Tabla356813212939717274757677787717[[#This Row],[COMISIONES]]*0.105</f>
        <v>0</v>
      </c>
      <c r="AC100" s="21">
        <v>4041.11</v>
      </c>
      <c r="AD100"/>
      <c r="AF100"/>
      <c r="AG100"/>
      <c r="AH100"/>
      <c r="AI100"/>
      <c r="AJ100"/>
      <c r="AK100"/>
      <c r="AL100"/>
      <c r="AM100"/>
      <c r="AN100"/>
      <c r="AO100"/>
    </row>
    <row r="101" spans="1:41" s="6" customFormat="1" x14ac:dyDescent="0.25">
      <c r="A101"/>
      <c r="B101"/>
      <c r="C101"/>
      <c r="D101"/>
      <c r="E101"/>
      <c r="F101"/>
      <c r="H101" s="21"/>
      <c r="I101" s="21">
        <f>Tabla3915233141919294959697989919[[#This Row],[COMISIONES]]*0.21</f>
        <v>0</v>
      </c>
      <c r="J101" s="21"/>
      <c r="K101" s="21"/>
      <c r="L101" s="21"/>
      <c r="N101" s="18"/>
      <c r="O101" s="11">
        <f>Tabla3510182636414244454647484414[[#This Row],[COMISIONES]]*0.21</f>
        <v>0</v>
      </c>
      <c r="P101" s="18"/>
      <c r="Q101" s="18"/>
      <c r="R101" s="18"/>
      <c r="T101"/>
      <c r="U101"/>
      <c r="V101"/>
      <c r="W101"/>
      <c r="X101"/>
      <c r="Z101" s="3"/>
      <c r="AA101" s="21">
        <f>Tabla356813212939717274757677787717[[#This Row],[COMISIONES]]*0.21</f>
        <v>0</v>
      </c>
      <c r="AB101" s="21">
        <f>Tabla356813212939717274757677787717[[#This Row],[COMISIONES]]*0.105</f>
        <v>0</v>
      </c>
      <c r="AC101" s="21">
        <v>492.14</v>
      </c>
      <c r="AD101" s="21"/>
      <c r="AF101"/>
      <c r="AG101"/>
      <c r="AH101"/>
      <c r="AI101"/>
      <c r="AJ101"/>
      <c r="AK101"/>
      <c r="AL101"/>
      <c r="AM101"/>
      <c r="AN101"/>
      <c r="AO101"/>
    </row>
    <row r="102" spans="1:41" s="6" customFormat="1" x14ac:dyDescent="0.25">
      <c r="A102"/>
      <c r="B102"/>
      <c r="C102"/>
      <c r="D102"/>
      <c r="E102"/>
      <c r="F102"/>
      <c r="H102" s="20">
        <f>SUBTOTAL(109,Tabla3915233141919294959697989919[COMISIONES])</f>
        <v>0</v>
      </c>
      <c r="I102" s="20">
        <f>SUBTOTAL(109,Tabla3915233141919294959697989919[IVA 21])</f>
        <v>0</v>
      </c>
      <c r="J102" s="20">
        <f>SUBTOTAL(109,Tabla3915233141919294959697989919[IVA 10,5])</f>
        <v>0</v>
      </c>
      <c r="K102" s="20">
        <f>SUBTOTAL(109,Tabla3915233141919294959697989919[Ret IIBB Caba])</f>
        <v>0</v>
      </c>
      <c r="L102" s="20">
        <f>SUBTOTAL(109,Tabla3915233141919294959697989919[PERC IVA])</f>
        <v>0</v>
      </c>
      <c r="N102" s="18"/>
      <c r="O102" s="11">
        <f>Tabla3510182636414244454647484414[[#This Row],[COMISIONES]]*0.21</f>
        <v>0</v>
      </c>
      <c r="P102" s="18"/>
      <c r="Q102" s="18"/>
      <c r="R102" s="18"/>
      <c r="T102"/>
      <c r="U102"/>
      <c r="V102"/>
      <c r="W102"/>
      <c r="X102"/>
      <c r="Z102" s="3"/>
      <c r="AA102" s="21">
        <f>Tabla356813212939717274757677787717[[#This Row],[COMISIONES]]*0.21</f>
        <v>0</v>
      </c>
      <c r="AB102" s="21">
        <f>Tabla356813212939717274757677787717[[#This Row],[COMISIONES]]*0.105</f>
        <v>0</v>
      </c>
      <c r="AC102" s="11">
        <v>44292.79</v>
      </c>
      <c r="AD102" s="21"/>
      <c r="AF102"/>
      <c r="AG102"/>
      <c r="AH102"/>
      <c r="AI102"/>
      <c r="AJ102"/>
      <c r="AK102"/>
      <c r="AL102"/>
      <c r="AM102"/>
      <c r="AN102"/>
      <c r="AO102"/>
    </row>
    <row r="103" spans="1:41" s="6" customFormat="1" x14ac:dyDescent="0.25">
      <c r="A103"/>
      <c r="B103"/>
      <c r="C103"/>
      <c r="D103"/>
      <c r="E103"/>
      <c r="F103"/>
      <c r="H103"/>
      <c r="I103"/>
      <c r="J103"/>
      <c r="K103"/>
      <c r="L103"/>
      <c r="N103" s="18"/>
      <c r="O103" s="11">
        <f>Tabla3510182636414244454647484414[[#This Row],[COMISIONES]]*0.21</f>
        <v>0</v>
      </c>
      <c r="P103" s="18"/>
      <c r="Q103" s="18"/>
      <c r="R103" s="18"/>
      <c r="T103"/>
      <c r="U103"/>
      <c r="V103"/>
      <c r="W103"/>
      <c r="X103"/>
      <c r="Z103" s="3"/>
      <c r="AA103" s="21">
        <f>Tabla356813212939717274757677787717[[#This Row],[COMISIONES]]*0.21</f>
        <v>0</v>
      </c>
      <c r="AB103" s="21">
        <f>Tabla356813212939717274757677787717[[#This Row],[COMISIONES]]*0.105</f>
        <v>0</v>
      </c>
      <c r="AC103" s="21">
        <v>445.01</v>
      </c>
      <c r="AD103" s="21"/>
      <c r="AF103"/>
      <c r="AG103"/>
      <c r="AH103"/>
      <c r="AI103"/>
      <c r="AJ103"/>
      <c r="AK103"/>
      <c r="AL103"/>
      <c r="AM103"/>
      <c r="AN103"/>
      <c r="AO103"/>
    </row>
    <row r="104" spans="1:41" s="6" customFormat="1" x14ac:dyDescent="0.25">
      <c r="A104"/>
      <c r="B104"/>
      <c r="C104"/>
      <c r="D104"/>
      <c r="E104"/>
      <c r="F104"/>
      <c r="H104"/>
      <c r="I104"/>
      <c r="J104"/>
      <c r="K104"/>
      <c r="L104"/>
      <c r="N104" s="18"/>
      <c r="O104" s="11">
        <f>Tabla3510182636414244454647484414[[#This Row],[COMISIONES]]*0.21</f>
        <v>0</v>
      </c>
      <c r="P104" s="18"/>
      <c r="Q104" s="18"/>
      <c r="R104" s="18"/>
      <c r="T104"/>
      <c r="U104"/>
      <c r="V104"/>
      <c r="W104"/>
      <c r="X104"/>
      <c r="Z104" s="3"/>
      <c r="AA104" s="21">
        <f>Tabla356813212939717274757677787717[[#This Row],[COMISIONES]]*0.21</f>
        <v>0</v>
      </c>
      <c r="AB104" s="21">
        <f>Tabla356813212939717274757677787717[[#This Row],[COMISIONES]]*0.105</f>
        <v>0</v>
      </c>
      <c r="AC104" s="1">
        <v>40050.78</v>
      </c>
      <c r="AD104" s="21"/>
      <c r="AF104"/>
      <c r="AG104"/>
      <c r="AH104"/>
      <c r="AI104"/>
      <c r="AJ104"/>
      <c r="AK104"/>
      <c r="AL104"/>
      <c r="AM104"/>
      <c r="AN104"/>
      <c r="AO104"/>
    </row>
    <row r="105" spans="1:41" s="6" customFormat="1" x14ac:dyDescent="0.25">
      <c r="A105"/>
      <c r="B105"/>
      <c r="C105"/>
      <c r="D105"/>
      <c r="E105"/>
      <c r="F105"/>
      <c r="H105"/>
      <c r="I105"/>
      <c r="J105"/>
      <c r="K105"/>
      <c r="L105"/>
      <c r="N105" s="18"/>
      <c r="O105" s="11">
        <f>Tabla3510182636414244454647484414[[#This Row],[COMISIONES]]*0.21</f>
        <v>0</v>
      </c>
      <c r="P105" s="18"/>
      <c r="Q105" s="18"/>
      <c r="R105" s="18"/>
      <c r="T105"/>
      <c r="U105"/>
      <c r="V105"/>
      <c r="W105"/>
      <c r="X105"/>
      <c r="Z105" s="3"/>
      <c r="AA105" s="21">
        <f>Tabla356813212939717274757677787717[[#This Row],[COMISIONES]]*0.21</f>
        <v>0</v>
      </c>
      <c r="AB105" s="21">
        <f>Tabla356813212939717274757677787717[[#This Row],[COMISIONES]]*0.105</f>
        <v>0</v>
      </c>
      <c r="AC105" s="1">
        <v>32.39</v>
      </c>
      <c r="AD105"/>
      <c r="AF105"/>
      <c r="AG105"/>
      <c r="AH105"/>
      <c r="AI105"/>
      <c r="AJ105"/>
      <c r="AK105"/>
      <c r="AL105"/>
      <c r="AM105"/>
      <c r="AN105"/>
      <c r="AO105"/>
    </row>
    <row r="106" spans="1:41" s="6" customFormat="1" x14ac:dyDescent="0.25">
      <c r="A106"/>
      <c r="B106"/>
      <c r="C106"/>
      <c r="D106"/>
      <c r="E106"/>
      <c r="F106"/>
      <c r="H106"/>
      <c r="I106"/>
      <c r="J106"/>
      <c r="K106"/>
      <c r="L106"/>
      <c r="N106" s="18"/>
      <c r="O106" s="11">
        <f>Tabla3510182636414244454647484414[[#This Row],[COMISIONES]]*0.21</f>
        <v>0</v>
      </c>
      <c r="P106" s="18"/>
      <c r="Q106" s="18"/>
      <c r="R106" s="18"/>
      <c r="T106"/>
      <c r="U106"/>
      <c r="V106"/>
      <c r="W106"/>
      <c r="X106"/>
      <c r="Z106" s="3"/>
      <c r="AA106" s="21">
        <f>Tabla356813212939717274757677787717[[#This Row],[COMISIONES]]*0.21</f>
        <v>0</v>
      </c>
      <c r="AB106" s="21">
        <f>Tabla356813212939717274757677787717[[#This Row],[COMISIONES]]*0.105</f>
        <v>0</v>
      </c>
      <c r="AC106" s="1">
        <v>2915.04</v>
      </c>
      <c r="AD106" s="21"/>
      <c r="AF106"/>
      <c r="AG106"/>
      <c r="AH106"/>
      <c r="AI106"/>
      <c r="AJ106"/>
      <c r="AK106"/>
      <c r="AL106"/>
      <c r="AM106"/>
      <c r="AN106"/>
      <c r="AO106"/>
    </row>
    <row r="107" spans="1:41" s="6" customFormat="1" x14ac:dyDescent="0.25">
      <c r="A107"/>
      <c r="B107"/>
      <c r="C107"/>
      <c r="D107"/>
      <c r="E107"/>
      <c r="F107"/>
      <c r="H107"/>
      <c r="I107"/>
      <c r="J107"/>
      <c r="K107"/>
      <c r="L107"/>
      <c r="N107" s="18"/>
      <c r="O107" s="11">
        <f>Tabla3510182636414244454647484414[[#This Row],[COMISIONES]]*0.21</f>
        <v>0</v>
      </c>
      <c r="P107" s="18"/>
      <c r="Q107" s="18"/>
      <c r="R107" s="18"/>
      <c r="T107"/>
      <c r="U107"/>
      <c r="V107"/>
      <c r="W107"/>
      <c r="X107"/>
      <c r="Z107" s="3"/>
      <c r="AA107" s="21">
        <f>Tabla356813212939717274757677787717[[#This Row],[COMISIONES]]*0.21</f>
        <v>0</v>
      </c>
      <c r="AB107" s="21">
        <f>Tabla356813212939717274757677787717[[#This Row],[COMISIONES]]*0.105</f>
        <v>0</v>
      </c>
      <c r="AC107" s="1">
        <v>43623.74</v>
      </c>
      <c r="AD107"/>
      <c r="AF107"/>
      <c r="AG107"/>
      <c r="AH107"/>
      <c r="AI107"/>
      <c r="AJ107"/>
      <c r="AK107"/>
      <c r="AL107"/>
      <c r="AM107"/>
      <c r="AN107"/>
      <c r="AO107"/>
    </row>
    <row r="108" spans="1:41" s="6" customFormat="1" x14ac:dyDescent="0.25">
      <c r="A108"/>
      <c r="B108"/>
      <c r="C108"/>
      <c r="D108"/>
      <c r="E108"/>
      <c r="F108"/>
      <c r="H108"/>
      <c r="I108"/>
      <c r="J108"/>
      <c r="K108"/>
      <c r="L108"/>
      <c r="N108" s="18"/>
      <c r="O108" s="11">
        <f>Tabla3510182636414244454647484414[[#This Row],[COMISIONES]]*0.21</f>
        <v>0</v>
      </c>
      <c r="P108" s="18"/>
      <c r="Q108" s="18"/>
      <c r="R108" s="18"/>
      <c r="T108"/>
      <c r="U108"/>
      <c r="V108"/>
      <c r="W108"/>
      <c r="X108"/>
      <c r="Z108" s="3"/>
      <c r="AA108" s="21">
        <f>Tabla356813212939717274757677787717[[#This Row],[COMISIONES]]*0.21</f>
        <v>0</v>
      </c>
      <c r="AB108" s="21">
        <f>Tabla356813212939717274757677787717[[#This Row],[COMISIONES]]*0.105</f>
        <v>0</v>
      </c>
      <c r="AC108" s="1">
        <v>484.71</v>
      </c>
      <c r="AD108"/>
      <c r="AF108"/>
      <c r="AG108"/>
      <c r="AH108"/>
      <c r="AI108"/>
      <c r="AJ108"/>
      <c r="AK108"/>
      <c r="AL108"/>
      <c r="AM108"/>
      <c r="AN108"/>
      <c r="AO108"/>
    </row>
    <row r="109" spans="1:41" s="6" customFormat="1" x14ac:dyDescent="0.25">
      <c r="A109"/>
      <c r="B109"/>
      <c r="C109"/>
      <c r="D109"/>
      <c r="E109"/>
      <c r="F109"/>
      <c r="H109"/>
      <c r="I109"/>
      <c r="J109"/>
      <c r="K109"/>
      <c r="L109"/>
      <c r="N109" s="18"/>
      <c r="O109" s="11">
        <f>Tabla3510182636414244454647484414[[#This Row],[COMISIONES]]*0.21</f>
        <v>0</v>
      </c>
      <c r="P109" s="18"/>
      <c r="Q109" s="18"/>
      <c r="R109" s="18"/>
      <c r="T109"/>
      <c r="U109"/>
      <c r="V109"/>
      <c r="W109"/>
      <c r="X109"/>
      <c r="Z109" s="3"/>
      <c r="AA109" s="21">
        <f>Tabla356813212939717274757677787717[[#This Row],[COMISIONES]]*0.21</f>
        <v>0</v>
      </c>
      <c r="AB109" s="21">
        <f>Tabla356813212939717274757677787717[[#This Row],[COMISIONES]]*0.105</f>
        <v>0</v>
      </c>
      <c r="AC109" s="1">
        <v>391.89</v>
      </c>
      <c r="AD109"/>
      <c r="AF109"/>
      <c r="AG109"/>
      <c r="AH109"/>
      <c r="AI109"/>
      <c r="AJ109"/>
      <c r="AK109"/>
      <c r="AL109"/>
      <c r="AM109"/>
      <c r="AN109"/>
      <c r="AO109"/>
    </row>
    <row r="110" spans="1:41" s="6" customFormat="1" x14ac:dyDescent="0.25">
      <c r="A110"/>
      <c r="B110"/>
      <c r="C110"/>
      <c r="D110"/>
      <c r="E110"/>
      <c r="F110"/>
      <c r="H110"/>
      <c r="I110"/>
      <c r="J110"/>
      <c r="K110"/>
      <c r="L110"/>
      <c r="N110" s="18"/>
      <c r="O110" s="11">
        <f>Tabla3510182636414244454647484414[[#This Row],[COMISIONES]]*0.21</f>
        <v>0</v>
      </c>
      <c r="P110" s="18"/>
      <c r="Q110" s="18"/>
      <c r="R110" s="18"/>
      <c r="T110"/>
      <c r="U110"/>
      <c r="V110"/>
      <c r="W110"/>
      <c r="X110"/>
      <c r="Z110" s="3"/>
      <c r="AA110" s="21">
        <f>Tabla356813212939717274757677787717[[#This Row],[COMISIONES]]*0.21</f>
        <v>0</v>
      </c>
      <c r="AB110" s="21">
        <f>Tabla356813212939717274757677787717[[#This Row],[COMISIONES]]*0.105</f>
        <v>0</v>
      </c>
      <c r="AC110" s="1">
        <v>35270.370000000003</v>
      </c>
      <c r="AD110" s="21"/>
      <c r="AF110"/>
      <c r="AG110"/>
      <c r="AH110"/>
      <c r="AI110"/>
      <c r="AJ110"/>
      <c r="AK110"/>
      <c r="AL110"/>
      <c r="AM110"/>
      <c r="AN110"/>
      <c r="AO110"/>
    </row>
    <row r="111" spans="1:41" s="6" customFormat="1" x14ac:dyDescent="0.25">
      <c r="A111"/>
      <c r="B111"/>
      <c r="C111"/>
      <c r="D111"/>
      <c r="E111"/>
      <c r="F111"/>
      <c r="H111"/>
      <c r="I111"/>
      <c r="J111"/>
      <c r="K111"/>
      <c r="L111"/>
      <c r="N111" s="18"/>
      <c r="O111" s="11">
        <f>Tabla3510182636414244454647484414[[#This Row],[COMISIONES]]*0.21</f>
        <v>0</v>
      </c>
      <c r="P111" s="18"/>
      <c r="Q111" s="18"/>
      <c r="R111" s="18"/>
      <c r="T111"/>
      <c r="U111"/>
      <c r="V111"/>
      <c r="W111"/>
      <c r="X111"/>
      <c r="Z111" s="3"/>
      <c r="AA111" s="21">
        <f>Tabla356813212939717274757677787717[[#This Row],[COMISIONES]]*0.21</f>
        <v>0</v>
      </c>
      <c r="AB111" s="21">
        <f>Tabla356813212939717274757677787717[[#This Row],[COMISIONES]]*0.105</f>
        <v>0</v>
      </c>
      <c r="AC111" s="1">
        <v>19.309999999999999</v>
      </c>
      <c r="AD111" s="21"/>
      <c r="AF111"/>
      <c r="AG111"/>
      <c r="AH111"/>
      <c r="AI111"/>
      <c r="AJ111"/>
      <c r="AK111"/>
      <c r="AL111"/>
      <c r="AM111"/>
      <c r="AN111"/>
      <c r="AO111"/>
    </row>
    <row r="112" spans="1:41" s="6" customFormat="1" x14ac:dyDescent="0.25">
      <c r="A112"/>
      <c r="B112"/>
      <c r="C112"/>
      <c r="D112"/>
      <c r="E112"/>
      <c r="F112"/>
      <c r="H112"/>
      <c r="I112"/>
      <c r="J112"/>
      <c r="K112"/>
      <c r="L112"/>
      <c r="N112" s="18"/>
      <c r="O112" s="11">
        <f>Tabla3510182636414244454647484414[[#This Row],[COMISIONES]]*0.21</f>
        <v>0</v>
      </c>
      <c r="P112" s="18"/>
      <c r="Q112" s="18"/>
      <c r="R112" s="18"/>
      <c r="T112"/>
      <c r="U112"/>
      <c r="V112"/>
      <c r="W112"/>
      <c r="X112"/>
      <c r="Z112" s="3"/>
      <c r="AA112" s="21">
        <f>Tabla356813212939717274757677787717[[#This Row],[COMISIONES]]*0.21</f>
        <v>0</v>
      </c>
      <c r="AB112" s="21">
        <f>Tabla356813212939717274757677787717[[#This Row],[COMISIONES]]*0.105</f>
        <v>0</v>
      </c>
      <c r="AC112" s="21">
        <v>1738.01</v>
      </c>
      <c r="AD112" s="21"/>
      <c r="AF112"/>
      <c r="AG112"/>
      <c r="AH112"/>
      <c r="AI112"/>
      <c r="AJ112"/>
      <c r="AK112"/>
      <c r="AL112"/>
      <c r="AM112"/>
      <c r="AN112"/>
      <c r="AO112"/>
    </row>
    <row r="113" spans="1:41" s="6" customFormat="1" x14ac:dyDescent="0.25">
      <c r="A113"/>
      <c r="B113"/>
      <c r="C113"/>
      <c r="D113"/>
      <c r="E113"/>
      <c r="F113"/>
      <c r="H113"/>
      <c r="I113"/>
      <c r="J113"/>
      <c r="K113"/>
      <c r="L113"/>
      <c r="N113" s="18"/>
      <c r="O113" s="11">
        <f>Tabla3510182636414244454647484414[[#This Row],[COMISIONES]]*0.21</f>
        <v>0</v>
      </c>
      <c r="P113" s="18"/>
      <c r="Q113" s="18"/>
      <c r="R113" s="18"/>
      <c r="T113"/>
      <c r="U113"/>
      <c r="V113"/>
      <c r="W113"/>
      <c r="X113"/>
      <c r="Z113" s="3"/>
      <c r="AA113" s="21">
        <f>Tabla356813212939717274757677787717[[#This Row],[COMISIONES]]*0.21</f>
        <v>0</v>
      </c>
      <c r="AB113" s="21">
        <f>Tabla356813212939717274757677787717[[#This Row],[COMISIONES]]*0.105</f>
        <v>0</v>
      </c>
      <c r="AC113" s="21">
        <v>309.07</v>
      </c>
      <c r="AD113" s="21"/>
      <c r="AF113"/>
      <c r="AG113"/>
      <c r="AH113"/>
      <c r="AI113"/>
      <c r="AJ113"/>
      <c r="AK113"/>
      <c r="AL113"/>
      <c r="AM113"/>
      <c r="AN113"/>
      <c r="AO113"/>
    </row>
    <row r="114" spans="1:41" s="6" customFormat="1" x14ac:dyDescent="0.25">
      <c r="A114"/>
      <c r="B114"/>
      <c r="C114"/>
      <c r="D114"/>
      <c r="E114"/>
      <c r="F114"/>
      <c r="H114"/>
      <c r="I114"/>
      <c r="J114"/>
      <c r="K114"/>
      <c r="L114"/>
      <c r="N114" s="18"/>
      <c r="O114" s="11">
        <f>Tabla3510182636414244454647484414[[#This Row],[COMISIONES]]*0.21</f>
        <v>0</v>
      </c>
      <c r="P114" s="18"/>
      <c r="Q114" s="18"/>
      <c r="R114" s="18"/>
      <c r="T114"/>
      <c r="U114"/>
      <c r="V114"/>
      <c r="W114"/>
      <c r="X114"/>
      <c r="Z114" s="3"/>
      <c r="AA114" s="21">
        <f>Tabla356813212939717274757677787717[[#This Row],[COMISIONES]]*0.21</f>
        <v>0</v>
      </c>
      <c r="AB114" s="21">
        <f>Tabla356813212939717274757677787717[[#This Row],[COMISIONES]]*0.105</f>
        <v>0</v>
      </c>
      <c r="AC114" s="1">
        <v>27816.7</v>
      </c>
      <c r="AD114" s="21"/>
      <c r="AF114"/>
      <c r="AG114"/>
      <c r="AH114"/>
      <c r="AI114"/>
      <c r="AJ114"/>
      <c r="AK114"/>
      <c r="AL114"/>
      <c r="AM114"/>
      <c r="AN114"/>
      <c r="AO114"/>
    </row>
    <row r="115" spans="1:41" s="6" customFormat="1" x14ac:dyDescent="0.25">
      <c r="A115"/>
      <c r="B115"/>
      <c r="C115"/>
      <c r="D115"/>
      <c r="E115"/>
      <c r="F115"/>
      <c r="H115"/>
      <c r="I115"/>
      <c r="J115"/>
      <c r="K115"/>
      <c r="L115"/>
      <c r="N115" s="18"/>
      <c r="O115" s="11">
        <f>Tabla3510182636414244454647484414[[#This Row],[COMISIONES]]*0.21</f>
        <v>0</v>
      </c>
      <c r="P115" s="18"/>
      <c r="Q115" s="18"/>
      <c r="R115" s="18"/>
      <c r="T115"/>
      <c r="U115"/>
      <c r="V115"/>
      <c r="W115"/>
      <c r="X115"/>
      <c r="Z115" s="21"/>
      <c r="AA115" s="21">
        <f>Tabla356813212939717274757677787717[[#This Row],[COMISIONES]]*0.21</f>
        <v>0</v>
      </c>
      <c r="AB115" s="21">
        <f>Tabla356813212939717274757677787717[[#This Row],[COMISIONES]]*0.105</f>
        <v>0</v>
      </c>
      <c r="AC115" s="1">
        <v>40405.699999999997</v>
      </c>
      <c r="AD115" s="21"/>
      <c r="AF115"/>
      <c r="AG115"/>
      <c r="AH115"/>
      <c r="AI115"/>
      <c r="AJ115"/>
      <c r="AK115"/>
      <c r="AL115"/>
      <c r="AM115"/>
      <c r="AN115"/>
      <c r="AO115"/>
    </row>
    <row r="116" spans="1:41" s="6" customFormat="1" x14ac:dyDescent="0.25">
      <c r="A116"/>
      <c r="B116"/>
      <c r="C116"/>
      <c r="D116"/>
      <c r="E116"/>
      <c r="F116"/>
      <c r="H116"/>
      <c r="I116"/>
      <c r="J116"/>
      <c r="K116"/>
      <c r="L116"/>
      <c r="N116" s="18"/>
      <c r="O116" s="11">
        <f>Tabla3510182636414244454647484414[[#This Row],[COMISIONES]]*0.21</f>
        <v>0</v>
      </c>
      <c r="P116" s="18"/>
      <c r="Q116" s="18"/>
      <c r="R116" s="18"/>
      <c r="T116"/>
      <c r="U116"/>
      <c r="V116"/>
      <c r="W116"/>
      <c r="X116"/>
      <c r="Z116" s="3"/>
      <c r="AA116" s="21">
        <f>Tabla356813212939717274757677787717[[#This Row],[COMISIONES]]*0.21</f>
        <v>0</v>
      </c>
      <c r="AB116" s="21">
        <f>Tabla356813212939717274757677787717[[#This Row],[COMISIONES]]*0.105</f>
        <v>0</v>
      </c>
      <c r="AC116" s="1">
        <v>448.95</v>
      </c>
      <c r="AD116" s="21"/>
      <c r="AF116"/>
      <c r="AG116"/>
      <c r="AH116"/>
      <c r="AI116"/>
      <c r="AJ116"/>
      <c r="AK116"/>
      <c r="AL116"/>
      <c r="AM116"/>
      <c r="AN116"/>
      <c r="AO116"/>
    </row>
    <row r="117" spans="1:41" s="6" customFormat="1" x14ac:dyDescent="0.25">
      <c r="A117"/>
      <c r="B117"/>
      <c r="C117"/>
      <c r="D117"/>
      <c r="E117"/>
      <c r="F117"/>
      <c r="H117"/>
      <c r="I117"/>
      <c r="J117"/>
      <c r="K117"/>
      <c r="L117"/>
      <c r="N117" s="18"/>
      <c r="O117" s="11">
        <f>Tabla3510182636414244454647484414[[#This Row],[COMISIONES]]*0.21</f>
        <v>0</v>
      </c>
      <c r="P117" s="18"/>
      <c r="Q117" s="18"/>
      <c r="R117" s="18"/>
      <c r="T117"/>
      <c r="U117"/>
      <c r="V117"/>
      <c r="W117"/>
      <c r="X117"/>
      <c r="Z117" s="3"/>
      <c r="AA117" s="21">
        <f>Tabla356813212939717274757677787717[[#This Row],[COMISIONES]]*0.21</f>
        <v>0</v>
      </c>
      <c r="AB117" s="21">
        <f>Tabla356813212939717274757677787717[[#This Row],[COMISIONES]]*0.105</f>
        <v>0</v>
      </c>
      <c r="AC117" s="1">
        <v>24.59</v>
      </c>
      <c r="AD117"/>
      <c r="AF117"/>
      <c r="AG117"/>
      <c r="AH117"/>
      <c r="AI117"/>
      <c r="AJ117"/>
      <c r="AK117"/>
      <c r="AL117"/>
      <c r="AM117"/>
      <c r="AN117"/>
      <c r="AO117"/>
    </row>
    <row r="118" spans="1:41" s="6" customFormat="1" x14ac:dyDescent="0.25">
      <c r="A118"/>
      <c r="B118"/>
      <c r="C118"/>
      <c r="D118"/>
      <c r="E118"/>
      <c r="F118"/>
      <c r="H118"/>
      <c r="I118"/>
      <c r="J118"/>
      <c r="K118"/>
      <c r="L118"/>
      <c r="N118" s="18"/>
      <c r="O118" s="11">
        <f>Tabla3510182636414244454647484414[[#This Row],[COMISIONES]]*0.21</f>
        <v>0</v>
      </c>
      <c r="P118" s="18"/>
      <c r="Q118" s="18"/>
      <c r="R118" s="18"/>
      <c r="T118"/>
      <c r="U118"/>
      <c r="V118"/>
      <c r="W118"/>
      <c r="X118"/>
      <c r="Z118" s="3"/>
      <c r="AA118" s="21">
        <f>Tabla356813212939717274757677787717[[#This Row],[COMISIONES]]*0.21</f>
        <v>0</v>
      </c>
      <c r="AB118" s="21">
        <f>Tabla356813212939717274757677787717[[#This Row],[COMISIONES]]*0.105</f>
        <v>0</v>
      </c>
      <c r="AC118" s="1">
        <v>2213.5100000000002</v>
      </c>
      <c r="AD118"/>
      <c r="AF118"/>
      <c r="AG118"/>
      <c r="AH118"/>
      <c r="AI118"/>
      <c r="AJ118"/>
      <c r="AK118"/>
      <c r="AL118"/>
      <c r="AM118"/>
      <c r="AN118"/>
      <c r="AO118"/>
    </row>
    <row r="119" spans="1:41" s="6" customFormat="1" x14ac:dyDescent="0.25">
      <c r="A119"/>
      <c r="B119"/>
      <c r="C119"/>
      <c r="D119"/>
      <c r="E119"/>
      <c r="F119"/>
      <c r="H119"/>
      <c r="I119"/>
      <c r="J119"/>
      <c r="K119"/>
      <c r="L119"/>
      <c r="N119" s="18"/>
      <c r="O119" s="11">
        <f>Tabla3510182636414244454647484414[[#This Row],[COMISIONES]]*0.21</f>
        <v>0</v>
      </c>
      <c r="P119" s="18"/>
      <c r="Q119" s="18"/>
      <c r="R119" s="18"/>
      <c r="T119"/>
      <c r="U119"/>
      <c r="V119"/>
      <c r="W119"/>
      <c r="X119"/>
      <c r="Z119" s="3"/>
      <c r="AA119" s="21">
        <f>Tabla356813212939717274757677787717[[#This Row],[COMISIONES]]*0.21</f>
        <v>0</v>
      </c>
      <c r="AB119" s="21">
        <f>Tabla356813212939717274757677787717[[#This Row],[COMISIONES]]*0.105</f>
        <v>0</v>
      </c>
      <c r="AC119" s="21">
        <v>70.81</v>
      </c>
      <c r="AD119" s="21"/>
      <c r="AF119"/>
      <c r="AG119"/>
      <c r="AH119"/>
      <c r="AI119"/>
      <c r="AJ119"/>
      <c r="AK119"/>
      <c r="AL119"/>
      <c r="AM119"/>
      <c r="AN119"/>
      <c r="AO119"/>
    </row>
    <row r="120" spans="1:41" s="6" customFormat="1" x14ac:dyDescent="0.25">
      <c r="A120"/>
      <c r="B120"/>
      <c r="C120"/>
      <c r="D120"/>
      <c r="E120"/>
      <c r="F120"/>
      <c r="H120"/>
      <c r="I120"/>
      <c r="J120"/>
      <c r="K120"/>
      <c r="L120"/>
      <c r="N120" s="18"/>
      <c r="O120" s="11">
        <f>Tabla3510182636414244454647484414[[#This Row],[COMISIONES]]*0.21</f>
        <v>0</v>
      </c>
      <c r="P120" s="18"/>
      <c r="Q120" s="18"/>
      <c r="R120" s="18"/>
      <c r="T120"/>
      <c r="U120"/>
      <c r="V120"/>
      <c r="W120"/>
      <c r="X120"/>
      <c r="Z120" s="3"/>
      <c r="AA120" s="21">
        <f>Tabla356813212939717274757677787717[[#This Row],[COMISIONES]]*0.21</f>
        <v>0</v>
      </c>
      <c r="AB120" s="21">
        <f>Tabla356813212939717274757677787717[[#This Row],[COMISIONES]]*0.105</f>
        <v>0</v>
      </c>
      <c r="AC120" s="21">
        <v>6372.71</v>
      </c>
      <c r="AD120" s="21"/>
      <c r="AF120"/>
      <c r="AG120"/>
      <c r="AH120"/>
      <c r="AI120"/>
      <c r="AJ120"/>
      <c r="AK120"/>
      <c r="AL120"/>
      <c r="AM120"/>
      <c r="AN120"/>
      <c r="AO120"/>
    </row>
    <row r="121" spans="1:41" s="6" customFormat="1" x14ac:dyDescent="0.25">
      <c r="A121"/>
      <c r="B121"/>
      <c r="C121"/>
      <c r="D121"/>
      <c r="E121"/>
      <c r="F121"/>
      <c r="H121"/>
      <c r="I121"/>
      <c r="J121"/>
      <c r="K121"/>
      <c r="L121"/>
      <c r="N121" s="18"/>
      <c r="O121" s="11">
        <f>Tabla3510182636414244454647484414[[#This Row],[COMISIONES]]*0.21</f>
        <v>0</v>
      </c>
      <c r="P121" s="18"/>
      <c r="Q121" s="18"/>
      <c r="R121" s="18"/>
      <c r="T121"/>
      <c r="U121"/>
      <c r="V121"/>
      <c r="W121"/>
      <c r="X121"/>
      <c r="Z121" s="3"/>
      <c r="AA121" s="21">
        <f>Tabla356813212939717274757677787717[[#This Row],[COMISIONES]]*0.21</f>
        <v>0</v>
      </c>
      <c r="AB121" s="21">
        <f>Tabla356813212939717274757677787717[[#This Row],[COMISIONES]]*0.105</f>
        <v>0</v>
      </c>
      <c r="AC121" s="21">
        <v>29874.1</v>
      </c>
      <c r="AD121" s="21"/>
      <c r="AF121"/>
      <c r="AG121"/>
      <c r="AH121"/>
      <c r="AI121"/>
      <c r="AJ121"/>
      <c r="AK121"/>
      <c r="AL121"/>
      <c r="AM121"/>
      <c r="AN121"/>
      <c r="AO121"/>
    </row>
    <row r="122" spans="1:41" s="6" customFormat="1" x14ac:dyDescent="0.25">
      <c r="A122"/>
      <c r="B122"/>
      <c r="C122"/>
      <c r="D122"/>
      <c r="E122"/>
      <c r="F122"/>
      <c r="H122"/>
      <c r="I122"/>
      <c r="J122"/>
      <c r="K122"/>
      <c r="L122"/>
      <c r="N122" s="18"/>
      <c r="O122" s="11">
        <f>Tabla3510182636414244454647484414[[#This Row],[COMISIONES]]*0.21</f>
        <v>0</v>
      </c>
      <c r="P122" s="18"/>
      <c r="Q122" s="18"/>
      <c r="R122" s="18"/>
      <c r="T122"/>
      <c r="U122"/>
      <c r="V122"/>
      <c r="W122"/>
      <c r="X122"/>
      <c r="Z122" s="3"/>
      <c r="AA122" s="21">
        <f>Tabla356813212939717274757677787717[[#This Row],[COMISIONES]]*0.21</f>
        <v>0</v>
      </c>
      <c r="AB122" s="21">
        <f>Tabla356813212939717274757677787717[[#This Row],[COMISIONES]]*0.105</f>
        <v>0</v>
      </c>
      <c r="AC122" s="21">
        <v>331.93</v>
      </c>
      <c r="AD122" s="21"/>
      <c r="AF122"/>
      <c r="AG122"/>
      <c r="AH122"/>
      <c r="AI122"/>
      <c r="AJ122"/>
      <c r="AK122"/>
      <c r="AL122"/>
      <c r="AM122"/>
      <c r="AN122"/>
      <c r="AO122"/>
    </row>
    <row r="123" spans="1:41" s="6" customFormat="1" x14ac:dyDescent="0.25">
      <c r="A123"/>
      <c r="B123"/>
      <c r="C123"/>
      <c r="D123"/>
      <c r="E123"/>
      <c r="F123"/>
      <c r="H123"/>
      <c r="I123"/>
      <c r="J123"/>
      <c r="K123"/>
      <c r="L123"/>
      <c r="N123" s="18"/>
      <c r="O123" s="18"/>
      <c r="P123" s="18"/>
      <c r="Q123" s="18"/>
      <c r="R123" s="18"/>
      <c r="T123"/>
      <c r="U123"/>
      <c r="V123"/>
      <c r="W123"/>
      <c r="X123"/>
      <c r="Z123" s="3"/>
      <c r="AA123" s="21">
        <f>Tabla356813212939717274757677787717[[#This Row],[COMISIONES]]*0.21</f>
        <v>0</v>
      </c>
      <c r="AB123" s="21">
        <f>Tabla356813212939717274757677787717[[#This Row],[COMISIONES]]*0.105</f>
        <v>0</v>
      </c>
      <c r="AC123" s="21">
        <v>296.76</v>
      </c>
      <c r="AD123" s="21"/>
      <c r="AF123"/>
      <c r="AG123"/>
      <c r="AH123"/>
      <c r="AI123"/>
      <c r="AJ123"/>
      <c r="AK123"/>
      <c r="AL123"/>
      <c r="AM123"/>
      <c r="AN123"/>
      <c r="AO123"/>
    </row>
    <row r="124" spans="1:41" s="6" customFormat="1" x14ac:dyDescent="0.25">
      <c r="A124"/>
      <c r="B124"/>
      <c r="C124"/>
      <c r="D124"/>
      <c r="E124"/>
      <c r="F124"/>
      <c r="H124"/>
      <c r="I124"/>
      <c r="J124"/>
      <c r="K124"/>
      <c r="L124"/>
      <c r="N124" s="18"/>
      <c r="O124" s="18"/>
      <c r="P124" s="18"/>
      <c r="Q124" s="18"/>
      <c r="R124" s="18"/>
      <c r="T124"/>
      <c r="U124"/>
      <c r="V124"/>
      <c r="W124"/>
      <c r="X124"/>
      <c r="Z124" s="3"/>
      <c r="AA124" s="21">
        <f>Tabla356813212939717274757677787717[[#This Row],[COMISIONES]]*0.21</f>
        <v>0</v>
      </c>
      <c r="AB124" s="21">
        <f>Tabla356813212939717274757677787717[[#This Row],[COMISIONES]]*0.105</f>
        <v>0</v>
      </c>
      <c r="AC124" s="21">
        <v>26708.43</v>
      </c>
      <c r="AD124" s="21"/>
      <c r="AF124"/>
      <c r="AG124"/>
      <c r="AH124"/>
      <c r="AI124"/>
      <c r="AJ124"/>
      <c r="AK124"/>
      <c r="AL124"/>
      <c r="AM124"/>
      <c r="AN124"/>
      <c r="AO124"/>
    </row>
    <row r="125" spans="1:41" s="6" customFormat="1" x14ac:dyDescent="0.25">
      <c r="A125"/>
      <c r="B125"/>
      <c r="C125"/>
      <c r="D125"/>
      <c r="E125"/>
      <c r="F125"/>
      <c r="H125"/>
      <c r="I125"/>
      <c r="J125"/>
      <c r="K125"/>
      <c r="L125"/>
      <c r="N125" s="18"/>
      <c r="O125" s="18"/>
      <c r="P125" s="18"/>
      <c r="Q125" s="18"/>
      <c r="R125" s="18"/>
      <c r="T125"/>
      <c r="U125"/>
      <c r="V125"/>
      <c r="W125"/>
      <c r="X125"/>
      <c r="Z125" s="3"/>
      <c r="AA125" s="21">
        <f>Tabla356813212939717274757677787717[[#This Row],[COMISIONES]]*0.21</f>
        <v>0</v>
      </c>
      <c r="AB125" s="21">
        <f>Tabla356813212939717274757677787717[[#This Row],[COMISIONES]]*0.105</f>
        <v>0</v>
      </c>
      <c r="AC125" s="21"/>
      <c r="AD125" s="21"/>
      <c r="AF125"/>
      <c r="AG125"/>
      <c r="AH125"/>
      <c r="AI125"/>
      <c r="AJ125"/>
      <c r="AK125"/>
      <c r="AL125"/>
      <c r="AM125"/>
      <c r="AN125"/>
      <c r="AO125"/>
    </row>
    <row r="126" spans="1:41" s="6" customFormat="1" x14ac:dyDescent="0.25">
      <c r="A126"/>
      <c r="B126"/>
      <c r="C126"/>
      <c r="D126"/>
      <c r="E126"/>
      <c r="F126"/>
      <c r="H126"/>
      <c r="I126"/>
      <c r="J126"/>
      <c r="K126"/>
      <c r="L126"/>
      <c r="N126" s="18"/>
      <c r="O126" s="18"/>
      <c r="P126" s="18"/>
      <c r="Q126" s="18"/>
      <c r="R126" s="18"/>
      <c r="T126"/>
      <c r="U126"/>
      <c r="V126"/>
      <c r="W126"/>
      <c r="X126"/>
      <c r="Z126" s="3"/>
      <c r="AA126" s="21">
        <f>Tabla356813212939717274757677787717[[#This Row],[COMISIONES]]*0.21</f>
        <v>0</v>
      </c>
      <c r="AB126" s="21">
        <f>Tabla356813212939717274757677787717[[#This Row],[COMISIONES]]*0.105</f>
        <v>0</v>
      </c>
      <c r="AC126" s="21"/>
      <c r="AD126" s="21"/>
      <c r="AF126"/>
      <c r="AG126"/>
      <c r="AH126"/>
      <c r="AI126"/>
      <c r="AJ126"/>
      <c r="AK126"/>
      <c r="AL126"/>
      <c r="AM126"/>
      <c r="AN126"/>
      <c r="AO126"/>
    </row>
    <row r="127" spans="1:41" s="6" customFormat="1" x14ac:dyDescent="0.25">
      <c r="A127"/>
      <c r="B127"/>
      <c r="C127"/>
      <c r="D127"/>
      <c r="E127"/>
      <c r="F127"/>
      <c r="H127"/>
      <c r="I127"/>
      <c r="J127"/>
      <c r="K127"/>
      <c r="L127"/>
      <c r="N127" s="18"/>
      <c r="O127" s="18"/>
      <c r="P127" s="18"/>
      <c r="Q127" s="18"/>
      <c r="R127" s="18"/>
      <c r="T127"/>
      <c r="U127"/>
      <c r="V127"/>
      <c r="W127"/>
      <c r="X127"/>
      <c r="Z127" s="3"/>
      <c r="AA127" s="21">
        <f>Tabla356813212939717274757677787717[[#This Row],[COMISIONES]]*0.21</f>
        <v>0</v>
      </c>
      <c r="AB127" s="21">
        <f>Tabla356813212939717274757677787717[[#This Row],[COMISIONES]]*0.105</f>
        <v>0</v>
      </c>
      <c r="AC127" s="21"/>
      <c r="AD127" s="21"/>
      <c r="AF127"/>
      <c r="AG127"/>
      <c r="AH127"/>
      <c r="AI127"/>
      <c r="AJ127"/>
      <c r="AK127"/>
      <c r="AL127"/>
      <c r="AM127"/>
      <c r="AN127"/>
      <c r="AO127"/>
    </row>
    <row r="128" spans="1:41" s="6" customFormat="1" x14ac:dyDescent="0.25">
      <c r="A128"/>
      <c r="B128"/>
      <c r="C128"/>
      <c r="D128"/>
      <c r="E128"/>
      <c r="F128"/>
      <c r="H128"/>
      <c r="I128"/>
      <c r="J128"/>
      <c r="K128"/>
      <c r="L128"/>
      <c r="N128" s="18"/>
      <c r="O128" s="18"/>
      <c r="P128" s="18"/>
      <c r="Q128" s="18"/>
      <c r="R128" s="18"/>
      <c r="T128"/>
      <c r="U128"/>
      <c r="V128"/>
      <c r="W128"/>
      <c r="X128"/>
      <c r="Z128" s="3"/>
      <c r="AA128" s="21">
        <f>Tabla356813212939717274757677787717[[#This Row],[COMISIONES]]*0.21</f>
        <v>0</v>
      </c>
      <c r="AB128" s="21">
        <f>Tabla356813212939717274757677787717[[#This Row],[COMISIONES]]*0.105</f>
        <v>0</v>
      </c>
      <c r="AC128" s="21"/>
      <c r="AD128" s="21"/>
      <c r="AF128"/>
      <c r="AG128"/>
      <c r="AH128"/>
      <c r="AI128"/>
      <c r="AJ128"/>
      <c r="AK128"/>
      <c r="AL128"/>
      <c r="AM128"/>
      <c r="AN128"/>
      <c r="AO128"/>
    </row>
    <row r="129" spans="1:41" s="6" customFormat="1" x14ac:dyDescent="0.25">
      <c r="A129"/>
      <c r="B129"/>
      <c r="C129"/>
      <c r="D129"/>
      <c r="E129"/>
      <c r="F129"/>
      <c r="H129"/>
      <c r="I129"/>
      <c r="J129"/>
      <c r="K129"/>
      <c r="L129"/>
      <c r="N129" s="18"/>
      <c r="O129" s="18"/>
      <c r="P129" s="18"/>
      <c r="Q129" s="18"/>
      <c r="R129" s="18"/>
      <c r="T129"/>
      <c r="U129"/>
      <c r="V129"/>
      <c r="W129"/>
      <c r="X129"/>
      <c r="Z129" s="21"/>
      <c r="AA129" s="21">
        <f>Tabla356813212939717274757677787717[[#This Row],[COMISIONES]]*0.21</f>
        <v>0</v>
      </c>
      <c r="AB129" s="21">
        <f>Tabla356813212939717274757677787717[[#This Row],[COMISIONES]]*0.105</f>
        <v>0</v>
      </c>
      <c r="AC129" s="21"/>
      <c r="AD129" s="21"/>
      <c r="AF129"/>
      <c r="AG129"/>
      <c r="AH129"/>
      <c r="AI129"/>
      <c r="AJ129"/>
      <c r="AK129"/>
      <c r="AL129"/>
      <c r="AM129"/>
      <c r="AN129"/>
      <c r="AO129"/>
    </row>
    <row r="130" spans="1:41" s="6" customFormat="1" x14ac:dyDescent="0.25">
      <c r="A130"/>
      <c r="B130"/>
      <c r="C130"/>
      <c r="D130"/>
      <c r="E130"/>
      <c r="F130"/>
      <c r="H130"/>
      <c r="I130"/>
      <c r="J130"/>
      <c r="K130"/>
      <c r="L130"/>
      <c r="N130" s="18"/>
      <c r="O130" s="18"/>
      <c r="P130" s="18"/>
      <c r="Q130" s="18"/>
      <c r="R130" s="18"/>
      <c r="T130"/>
      <c r="U130"/>
      <c r="V130"/>
      <c r="W130"/>
      <c r="X130"/>
      <c r="Z130" s="21"/>
      <c r="AA130" s="21">
        <f>Tabla356813212939717274757677787717[[#This Row],[COMISIONES]]*0.21</f>
        <v>0</v>
      </c>
      <c r="AB130" s="21">
        <f>Tabla356813212939717274757677787717[[#This Row],[COMISIONES]]*0.105</f>
        <v>0</v>
      </c>
      <c r="AC130" s="21"/>
      <c r="AD130" s="21"/>
      <c r="AF130"/>
      <c r="AG130"/>
      <c r="AH130"/>
      <c r="AI130"/>
      <c r="AJ130"/>
      <c r="AK130"/>
      <c r="AL130"/>
      <c r="AM130"/>
      <c r="AN130"/>
      <c r="AO130"/>
    </row>
    <row r="131" spans="1:41" s="6" customFormat="1" x14ac:dyDescent="0.25">
      <c r="A131"/>
      <c r="B131"/>
      <c r="C131"/>
      <c r="D131"/>
      <c r="E131"/>
      <c r="F131"/>
      <c r="H131"/>
      <c r="I131"/>
      <c r="J131"/>
      <c r="K131"/>
      <c r="L131"/>
      <c r="N131" s="18"/>
      <c r="O131" s="18"/>
      <c r="P131" s="18"/>
      <c r="Q131" s="18"/>
      <c r="R131" s="18"/>
      <c r="T131"/>
      <c r="U131"/>
      <c r="V131"/>
      <c r="W131"/>
      <c r="X131"/>
      <c r="Z131" s="21"/>
      <c r="AA131" s="21">
        <f>Tabla356813212939717274757677787717[[#This Row],[COMISIONES]]*0.21</f>
        <v>0</v>
      </c>
      <c r="AB131" s="21">
        <f>Tabla356813212939717274757677787717[[#This Row],[COMISIONES]]*0.105</f>
        <v>0</v>
      </c>
      <c r="AC131" s="21"/>
      <c r="AD131" s="21"/>
      <c r="AF131"/>
      <c r="AG131"/>
      <c r="AH131"/>
      <c r="AI131"/>
      <c r="AJ131"/>
      <c r="AK131"/>
      <c r="AL131"/>
      <c r="AM131"/>
      <c r="AN131"/>
      <c r="AO131"/>
    </row>
    <row r="132" spans="1:41" s="6" customFormat="1" x14ac:dyDescent="0.25">
      <c r="A132"/>
      <c r="B132"/>
      <c r="C132"/>
      <c r="D132"/>
      <c r="E132"/>
      <c r="F132"/>
      <c r="H132"/>
      <c r="I132"/>
      <c r="J132"/>
      <c r="K132"/>
      <c r="L132"/>
      <c r="N132" s="18"/>
      <c r="O132" s="18"/>
      <c r="P132" s="18"/>
      <c r="Q132" s="18"/>
      <c r="R132" s="18"/>
      <c r="T132"/>
      <c r="U132"/>
      <c r="V132"/>
      <c r="W132"/>
      <c r="X132"/>
      <c r="Z132" s="21"/>
      <c r="AA132" s="21">
        <f>Tabla356813212939717274757677787717[[#This Row],[COMISIONES]]*0.21</f>
        <v>0</v>
      </c>
      <c r="AB132" s="21">
        <f>Tabla356813212939717274757677787717[[#This Row],[COMISIONES]]*0.105</f>
        <v>0</v>
      </c>
      <c r="AC132" s="21"/>
      <c r="AD132" s="21"/>
      <c r="AF132"/>
      <c r="AG132"/>
      <c r="AH132"/>
      <c r="AI132"/>
      <c r="AJ132"/>
      <c r="AK132"/>
      <c r="AL132"/>
      <c r="AM132"/>
      <c r="AN132"/>
      <c r="AO132"/>
    </row>
    <row r="133" spans="1:41" s="6" customFormat="1" x14ac:dyDescent="0.25">
      <c r="A133"/>
      <c r="B133"/>
      <c r="C133"/>
      <c r="D133"/>
      <c r="E133"/>
      <c r="F133"/>
      <c r="H133"/>
      <c r="I133"/>
      <c r="J133"/>
      <c r="K133"/>
      <c r="L133"/>
      <c r="N133" s="18"/>
      <c r="O133" s="18"/>
      <c r="P133" s="18"/>
      <c r="Q133" s="18"/>
      <c r="R133" s="18"/>
      <c r="T133"/>
      <c r="U133"/>
      <c r="V133"/>
      <c r="W133"/>
      <c r="X133"/>
      <c r="Z133" s="21"/>
      <c r="AA133" s="21">
        <f>Tabla356813212939717274757677787717[[#This Row],[COMISIONES]]*0.21</f>
        <v>0</v>
      </c>
      <c r="AB133" s="21">
        <f>Tabla356813212939717274757677787717[[#This Row],[COMISIONES]]*0.105</f>
        <v>0</v>
      </c>
      <c r="AC133" s="21"/>
      <c r="AD133" s="21"/>
      <c r="AF133"/>
      <c r="AG133"/>
      <c r="AH133"/>
      <c r="AI133"/>
      <c r="AJ133"/>
      <c r="AK133"/>
      <c r="AL133"/>
      <c r="AM133"/>
      <c r="AN133"/>
      <c r="AO133"/>
    </row>
    <row r="134" spans="1:41" s="6" customFormat="1" x14ac:dyDescent="0.25">
      <c r="A134"/>
      <c r="B134"/>
      <c r="C134"/>
      <c r="D134"/>
      <c r="E134"/>
      <c r="F134"/>
      <c r="H134"/>
      <c r="I134"/>
      <c r="J134"/>
      <c r="K134"/>
      <c r="L134"/>
      <c r="N134" s="18"/>
      <c r="O134" s="18">
        <f>Tabla3510182636414244454647484414[[#This Row],[COMISIONES]]*0.21</f>
        <v>0</v>
      </c>
      <c r="P134" s="18"/>
      <c r="Q134" s="18"/>
      <c r="R134" s="18"/>
      <c r="T134"/>
      <c r="U134"/>
      <c r="V134"/>
      <c r="W134"/>
      <c r="X134"/>
      <c r="Z134" s="21"/>
      <c r="AA134" s="21">
        <f>Tabla356813212939717274757677787717[[#This Row],[COMISIONES]]*0.21</f>
        <v>0</v>
      </c>
      <c r="AB134" s="21">
        <f>Tabla356813212939717274757677787717[[#This Row],[COMISIONES]]*0.105</f>
        <v>0</v>
      </c>
      <c r="AC134" s="21"/>
      <c r="AD134" s="21"/>
      <c r="AF134"/>
      <c r="AG134"/>
      <c r="AH134"/>
      <c r="AI134"/>
      <c r="AJ134"/>
      <c r="AK134"/>
      <c r="AL134"/>
      <c r="AM134"/>
      <c r="AN134"/>
      <c r="AO134"/>
    </row>
    <row r="135" spans="1:41" s="6" customFormat="1" x14ac:dyDescent="0.25">
      <c r="A135"/>
      <c r="B135"/>
      <c r="C135"/>
      <c r="D135"/>
      <c r="E135"/>
      <c r="F135"/>
      <c r="H135"/>
      <c r="I135"/>
      <c r="J135"/>
      <c r="K135"/>
      <c r="L135"/>
      <c r="N135" s="24">
        <f>SUBTOTAL(109,Tabla3510182636414244454647484414[COMISIONES])</f>
        <v>5619.83</v>
      </c>
      <c r="O135" s="24">
        <f>SUBTOTAL(109,Tabla3510182636414244454647484414[IVA 21])</f>
        <v>1379.13</v>
      </c>
      <c r="P135" s="24">
        <f>SUBTOTAL(109,Tabla3510182636414244454647484414[IVA 10,5])</f>
        <v>483.49</v>
      </c>
      <c r="Q135" s="24">
        <f>SUBTOTAL(109,Tabla3510182636414244454647484414[Ret IIBB Caba])</f>
        <v>18270.27</v>
      </c>
      <c r="R135" s="24">
        <f>SUBTOTAL(109,Tabla3510182636414244454647484414[PERC IVA])</f>
        <v>266.09000000000003</v>
      </c>
      <c r="T135"/>
      <c r="U135"/>
      <c r="V135"/>
      <c r="W135"/>
      <c r="X135"/>
      <c r="Z135" s="21"/>
      <c r="AA135" s="21">
        <f>Tabla356813212939717274757677787717[[#This Row],[COMISIONES]]*0.21</f>
        <v>0</v>
      </c>
      <c r="AB135" s="21">
        <f>Tabla356813212939717274757677787717[[#This Row],[COMISIONES]]*0.105</f>
        <v>0</v>
      </c>
      <c r="AC135" s="21"/>
      <c r="AD135" s="21"/>
      <c r="AF135"/>
      <c r="AG135"/>
      <c r="AH135"/>
      <c r="AI135"/>
      <c r="AJ135"/>
      <c r="AK135"/>
      <c r="AL135"/>
      <c r="AM135"/>
      <c r="AN135"/>
      <c r="AO135"/>
    </row>
    <row r="136" spans="1:41" s="6" customFormat="1" x14ac:dyDescent="0.25">
      <c r="A136"/>
      <c r="B136"/>
      <c r="C136"/>
      <c r="D136"/>
      <c r="E136"/>
      <c r="F136"/>
      <c r="H136"/>
      <c r="I136"/>
      <c r="J136"/>
      <c r="K136"/>
      <c r="L136"/>
      <c r="N136"/>
      <c r="O136"/>
      <c r="P136"/>
      <c r="Q136"/>
      <c r="R136"/>
      <c r="T136"/>
      <c r="U136"/>
      <c r="V136"/>
      <c r="W136"/>
      <c r="X136"/>
      <c r="Z136" s="21"/>
      <c r="AA136" s="21">
        <f>Tabla356813212939717274757677787717[[#This Row],[COMISIONES]]*0.21</f>
        <v>0</v>
      </c>
      <c r="AB136" s="21">
        <f>Tabla356813212939717274757677787717[[#This Row],[COMISIONES]]*0.105</f>
        <v>0</v>
      </c>
      <c r="AC136" s="21"/>
      <c r="AD136" s="21"/>
      <c r="AF136"/>
      <c r="AG136"/>
      <c r="AH136"/>
      <c r="AI136"/>
      <c r="AJ136"/>
      <c r="AK136"/>
      <c r="AL136"/>
      <c r="AM136"/>
      <c r="AN136"/>
      <c r="AO136"/>
    </row>
    <row r="137" spans="1:41" s="6" customFormat="1" x14ac:dyDescent="0.25">
      <c r="A137"/>
      <c r="B137"/>
      <c r="C137"/>
      <c r="D137"/>
      <c r="E137"/>
      <c r="F137"/>
      <c r="H137"/>
      <c r="I137"/>
      <c r="J137"/>
      <c r="K137"/>
      <c r="L137"/>
      <c r="N137"/>
      <c r="O137"/>
      <c r="P137"/>
      <c r="Q137"/>
      <c r="R137"/>
      <c r="T137"/>
      <c r="U137"/>
      <c r="V137"/>
      <c r="W137"/>
      <c r="X137"/>
      <c r="Z137" s="21"/>
      <c r="AA137" s="21">
        <f>Tabla356813212939717274757677787717[[#This Row],[COMISIONES]]*0.21</f>
        <v>0</v>
      </c>
      <c r="AB137" s="21">
        <f>Tabla356813212939717274757677787717[[#This Row],[COMISIONES]]*0.105</f>
        <v>0</v>
      </c>
      <c r="AC137" s="21"/>
      <c r="AD137" s="21"/>
      <c r="AF137"/>
      <c r="AG137"/>
      <c r="AH137"/>
      <c r="AI137"/>
      <c r="AJ137"/>
      <c r="AK137"/>
      <c r="AL137"/>
      <c r="AM137"/>
      <c r="AN137"/>
      <c r="AO137"/>
    </row>
    <row r="138" spans="1:41" s="6" customFormat="1" x14ac:dyDescent="0.25">
      <c r="A138"/>
      <c r="B138"/>
      <c r="C138"/>
      <c r="D138"/>
      <c r="E138"/>
      <c r="F138"/>
      <c r="H138"/>
      <c r="I138"/>
      <c r="J138"/>
      <c r="K138"/>
      <c r="L138"/>
      <c r="N138"/>
      <c r="O138"/>
      <c r="P138"/>
      <c r="Q138"/>
      <c r="R138"/>
      <c r="T138"/>
      <c r="U138"/>
      <c r="V138"/>
      <c r="W138"/>
      <c r="X138"/>
      <c r="Z138" s="21"/>
      <c r="AA138" s="21">
        <f>Tabla356813212939717274757677787717[[#This Row],[COMISIONES]]*0.21</f>
        <v>0</v>
      </c>
      <c r="AB138" s="21">
        <f>Tabla356813212939717274757677787717[[#This Row],[COMISIONES]]*0.105</f>
        <v>0</v>
      </c>
      <c r="AC138" s="21"/>
      <c r="AD138" s="21"/>
      <c r="AF138"/>
      <c r="AG138"/>
      <c r="AH138"/>
      <c r="AI138"/>
      <c r="AJ138"/>
      <c r="AK138"/>
      <c r="AL138"/>
      <c r="AM138"/>
      <c r="AN138"/>
      <c r="AO138"/>
    </row>
    <row r="139" spans="1:41" s="6" customFormat="1" x14ac:dyDescent="0.25">
      <c r="A139"/>
      <c r="B139"/>
      <c r="C139"/>
      <c r="D139"/>
      <c r="E139"/>
      <c r="F139"/>
      <c r="H139"/>
      <c r="I139"/>
      <c r="J139"/>
      <c r="K139"/>
      <c r="L139"/>
      <c r="N139"/>
      <c r="O139"/>
      <c r="P139"/>
      <c r="Q139"/>
      <c r="R139"/>
      <c r="T139"/>
      <c r="U139"/>
      <c r="V139"/>
      <c r="W139"/>
      <c r="X139"/>
      <c r="Z139" s="21"/>
      <c r="AA139" s="21">
        <f>Tabla356813212939717274757677787717[[#This Row],[COMISIONES]]*0.21</f>
        <v>0</v>
      </c>
      <c r="AB139" s="21">
        <f>Tabla356813212939717274757677787717[[#This Row],[COMISIONES]]*0.105</f>
        <v>0</v>
      </c>
      <c r="AC139" s="21"/>
      <c r="AD139" s="21"/>
      <c r="AF139"/>
      <c r="AG139"/>
      <c r="AH139"/>
      <c r="AI139"/>
      <c r="AJ139"/>
      <c r="AK139"/>
      <c r="AL139"/>
      <c r="AM139"/>
      <c r="AN139"/>
      <c r="AO139"/>
    </row>
    <row r="140" spans="1:41" s="6" customFormat="1" x14ac:dyDescent="0.25">
      <c r="A140"/>
      <c r="B140"/>
      <c r="C140"/>
      <c r="D140"/>
      <c r="E140"/>
      <c r="F140"/>
      <c r="H140"/>
      <c r="I140"/>
      <c r="J140"/>
      <c r="K140"/>
      <c r="L140"/>
      <c r="N140"/>
      <c r="O140"/>
      <c r="P140"/>
      <c r="Q140"/>
      <c r="R140"/>
      <c r="T140"/>
      <c r="U140"/>
      <c r="V140"/>
      <c r="W140"/>
      <c r="X140"/>
      <c r="Z140" s="21"/>
      <c r="AA140" s="21">
        <f>Tabla356813212939717274757677787717[[#This Row],[COMISIONES]]*0.21</f>
        <v>0</v>
      </c>
      <c r="AB140" s="21">
        <f>Tabla356813212939717274757677787717[[#This Row],[COMISIONES]]*0.105</f>
        <v>0</v>
      </c>
      <c r="AC140" s="21"/>
      <c r="AD140" s="21"/>
      <c r="AF140"/>
      <c r="AG140"/>
      <c r="AH140"/>
      <c r="AI140"/>
      <c r="AJ140"/>
      <c r="AK140"/>
      <c r="AL140"/>
      <c r="AM140"/>
      <c r="AN140"/>
      <c r="AO140"/>
    </row>
    <row r="141" spans="1:41" s="6" customFormat="1" x14ac:dyDescent="0.25">
      <c r="A141"/>
      <c r="B141"/>
      <c r="C141"/>
      <c r="D141"/>
      <c r="E141"/>
      <c r="F141"/>
      <c r="H141"/>
      <c r="I141"/>
      <c r="J141"/>
      <c r="K141"/>
      <c r="L141"/>
      <c r="N141"/>
      <c r="O141"/>
      <c r="P141"/>
      <c r="Q141"/>
      <c r="R141"/>
      <c r="T141"/>
      <c r="U141"/>
      <c r="V141"/>
      <c r="W141"/>
      <c r="X141"/>
      <c r="Z141" s="21"/>
      <c r="AA141" s="21">
        <f>Tabla356813212939717274757677787717[[#This Row],[COMISIONES]]*0.21</f>
        <v>0</v>
      </c>
      <c r="AB141" s="21">
        <f>Tabla356813212939717274757677787717[[#This Row],[COMISIONES]]*0.105</f>
        <v>0</v>
      </c>
      <c r="AC141" s="21"/>
      <c r="AD141" s="21"/>
      <c r="AF141"/>
      <c r="AG141"/>
      <c r="AH141"/>
      <c r="AI141"/>
      <c r="AJ141"/>
      <c r="AK141"/>
      <c r="AL141"/>
      <c r="AM141"/>
      <c r="AN141"/>
      <c r="AO141"/>
    </row>
    <row r="142" spans="1:41" s="6" customFormat="1" x14ac:dyDescent="0.25">
      <c r="A142"/>
      <c r="B142"/>
      <c r="C142"/>
      <c r="D142"/>
      <c r="E142"/>
      <c r="F142"/>
      <c r="H142"/>
      <c r="I142"/>
      <c r="J142"/>
      <c r="K142"/>
      <c r="L142"/>
      <c r="N142"/>
      <c r="O142"/>
      <c r="P142"/>
      <c r="Q142"/>
      <c r="R142"/>
      <c r="T142"/>
      <c r="U142"/>
      <c r="V142"/>
      <c r="W142"/>
      <c r="X142"/>
      <c r="Z142" s="21"/>
      <c r="AA142" s="21">
        <f>Tabla356813212939717274757677787717[[#This Row],[COMISIONES]]*0.21</f>
        <v>0</v>
      </c>
      <c r="AB142" s="21">
        <f>Tabla356813212939717274757677787717[[#This Row],[COMISIONES]]*0.105</f>
        <v>0</v>
      </c>
      <c r="AC142" s="21"/>
      <c r="AD142" s="21"/>
      <c r="AF142"/>
      <c r="AG142"/>
      <c r="AH142"/>
      <c r="AI142"/>
      <c r="AJ142"/>
      <c r="AK142"/>
      <c r="AL142"/>
      <c r="AM142"/>
      <c r="AN142"/>
      <c r="AO142"/>
    </row>
    <row r="143" spans="1:41" s="6" customFormat="1" x14ac:dyDescent="0.25">
      <c r="A143"/>
      <c r="B143"/>
      <c r="C143"/>
      <c r="D143"/>
      <c r="E143"/>
      <c r="F143"/>
      <c r="H143"/>
      <c r="I143"/>
      <c r="J143"/>
      <c r="K143"/>
      <c r="L143"/>
      <c r="N143"/>
      <c r="O143"/>
      <c r="P143"/>
      <c r="Q143"/>
      <c r="R143"/>
      <c r="T143"/>
      <c r="U143"/>
      <c r="V143"/>
      <c r="W143"/>
      <c r="X143"/>
      <c r="Z143" s="21"/>
      <c r="AA143" s="21">
        <f>Tabla356813212939717274757677787717[[#This Row],[COMISIONES]]*0.21</f>
        <v>0</v>
      </c>
      <c r="AB143" s="21">
        <f>Tabla356813212939717274757677787717[[#This Row],[COMISIONES]]*0.105</f>
        <v>0</v>
      </c>
      <c r="AC143" s="21"/>
      <c r="AD143" s="21"/>
      <c r="AF143"/>
      <c r="AG143"/>
      <c r="AH143"/>
      <c r="AI143"/>
      <c r="AJ143"/>
      <c r="AK143"/>
      <c r="AL143"/>
      <c r="AM143"/>
      <c r="AN143"/>
      <c r="AO143"/>
    </row>
    <row r="144" spans="1:41" s="6" customFormat="1" x14ac:dyDescent="0.25">
      <c r="A144"/>
      <c r="B144"/>
      <c r="C144"/>
      <c r="D144"/>
      <c r="E144"/>
      <c r="F144"/>
      <c r="H144"/>
      <c r="I144"/>
      <c r="J144"/>
      <c r="K144"/>
      <c r="L144"/>
      <c r="N144"/>
      <c r="O144"/>
      <c r="P144"/>
      <c r="Q144"/>
      <c r="R144"/>
      <c r="T144"/>
      <c r="U144"/>
      <c r="V144"/>
      <c r="W144"/>
      <c r="X144"/>
      <c r="Z144" s="21"/>
      <c r="AA144" s="21">
        <f>Tabla356813212939717274757677787717[[#This Row],[COMISIONES]]*0.21</f>
        <v>0</v>
      </c>
      <c r="AB144" s="21">
        <f>Tabla356813212939717274757677787717[[#This Row],[COMISIONES]]*0.105</f>
        <v>0</v>
      </c>
      <c r="AC144" s="21"/>
      <c r="AD144" s="21"/>
      <c r="AF144"/>
      <c r="AG144"/>
      <c r="AH144"/>
      <c r="AI144"/>
      <c r="AJ144"/>
      <c r="AK144"/>
      <c r="AL144"/>
      <c r="AM144"/>
      <c r="AN144"/>
      <c r="AO144"/>
    </row>
    <row r="145" spans="1:41" s="6" customFormat="1" x14ac:dyDescent="0.25">
      <c r="A145"/>
      <c r="B145"/>
      <c r="C145"/>
      <c r="D145"/>
      <c r="E145"/>
      <c r="F145"/>
      <c r="H145"/>
      <c r="I145"/>
      <c r="J145"/>
      <c r="K145"/>
      <c r="L145"/>
      <c r="N145"/>
      <c r="O145"/>
      <c r="P145"/>
      <c r="Q145"/>
      <c r="R145"/>
      <c r="T145"/>
      <c r="U145"/>
      <c r="V145"/>
      <c r="W145"/>
      <c r="X145"/>
      <c r="Z145" s="21"/>
      <c r="AA145" s="21">
        <f>Tabla356813212939717274757677787717[[#This Row],[COMISIONES]]*0.21</f>
        <v>0</v>
      </c>
      <c r="AB145" s="21">
        <f>Tabla356813212939717274757677787717[[#This Row],[COMISIONES]]*0.105</f>
        <v>0</v>
      </c>
      <c r="AC145" s="21"/>
      <c r="AD145" s="21"/>
      <c r="AF145"/>
      <c r="AG145"/>
      <c r="AH145"/>
      <c r="AI145"/>
      <c r="AJ145"/>
      <c r="AK145"/>
      <c r="AL145"/>
      <c r="AM145"/>
      <c r="AN145"/>
      <c r="AO145"/>
    </row>
    <row r="146" spans="1:41" s="6" customFormat="1" x14ac:dyDescent="0.25">
      <c r="A146"/>
      <c r="B146"/>
      <c r="C146"/>
      <c r="D146"/>
      <c r="E146"/>
      <c r="F146"/>
      <c r="H146"/>
      <c r="I146"/>
      <c r="J146"/>
      <c r="K146"/>
      <c r="L146"/>
      <c r="N146"/>
      <c r="O146"/>
      <c r="P146"/>
      <c r="Q146"/>
      <c r="R146"/>
      <c r="T146"/>
      <c r="U146"/>
      <c r="V146"/>
      <c r="W146"/>
      <c r="X146"/>
      <c r="Z146" s="21"/>
      <c r="AA146" s="21">
        <f>Tabla356813212939717274757677787717[[#This Row],[COMISIONES]]*0.21</f>
        <v>0</v>
      </c>
      <c r="AB146" s="21">
        <f>Tabla356813212939717274757677787717[[#This Row],[COMISIONES]]*0.105</f>
        <v>0</v>
      </c>
      <c r="AC146" s="21"/>
      <c r="AD146" s="21"/>
      <c r="AF146"/>
      <c r="AG146"/>
      <c r="AH146"/>
      <c r="AI146"/>
      <c r="AJ146"/>
      <c r="AK146"/>
      <c r="AL146"/>
      <c r="AM146"/>
      <c r="AN146"/>
      <c r="AO146"/>
    </row>
    <row r="147" spans="1:41" s="6" customFormat="1" x14ac:dyDescent="0.25">
      <c r="A147"/>
      <c r="B147"/>
      <c r="C147"/>
      <c r="D147"/>
      <c r="E147"/>
      <c r="F147"/>
      <c r="H147"/>
      <c r="I147"/>
      <c r="J147"/>
      <c r="K147"/>
      <c r="L147"/>
      <c r="N147"/>
      <c r="O147"/>
      <c r="P147"/>
      <c r="Q147"/>
      <c r="R147"/>
      <c r="T147"/>
      <c r="U147"/>
      <c r="V147"/>
      <c r="W147"/>
      <c r="X147"/>
      <c r="Z147" s="21"/>
      <c r="AA147" s="21">
        <f>Tabla356813212939717274757677787717[[#This Row],[COMISIONES]]*0.21</f>
        <v>0</v>
      </c>
      <c r="AB147" s="21">
        <f>Tabla356813212939717274757677787717[[#This Row],[COMISIONES]]*0.105</f>
        <v>0</v>
      </c>
      <c r="AC147" s="21"/>
      <c r="AD147" s="21"/>
      <c r="AF147"/>
      <c r="AG147"/>
      <c r="AH147"/>
      <c r="AI147"/>
      <c r="AJ147"/>
      <c r="AK147"/>
      <c r="AL147"/>
      <c r="AM147"/>
      <c r="AN147"/>
      <c r="AO147"/>
    </row>
    <row r="148" spans="1:41" s="6" customFormat="1" x14ac:dyDescent="0.25">
      <c r="A148"/>
      <c r="B148"/>
      <c r="C148"/>
      <c r="D148"/>
      <c r="E148"/>
      <c r="F148"/>
      <c r="H148"/>
      <c r="I148"/>
      <c r="J148"/>
      <c r="K148"/>
      <c r="L148"/>
      <c r="N148"/>
      <c r="O148"/>
      <c r="P148"/>
      <c r="Q148"/>
      <c r="R148"/>
      <c r="T148"/>
      <c r="U148"/>
      <c r="V148"/>
      <c r="W148"/>
      <c r="X148"/>
      <c r="Z148" s="21"/>
      <c r="AA148" s="21">
        <f>Tabla356813212939717274757677787717[[#This Row],[COMISIONES]]*0.21</f>
        <v>0</v>
      </c>
      <c r="AB148" s="21">
        <f>Tabla356813212939717274757677787717[[#This Row],[COMISIONES]]*0.105</f>
        <v>0</v>
      </c>
      <c r="AC148" s="21"/>
      <c r="AD148" s="21"/>
      <c r="AF148"/>
      <c r="AG148"/>
      <c r="AH148"/>
      <c r="AI148"/>
      <c r="AJ148"/>
      <c r="AK148"/>
      <c r="AL148"/>
      <c r="AM148"/>
      <c r="AN148"/>
      <c r="AO148"/>
    </row>
    <row r="149" spans="1:41" s="6" customFormat="1" x14ac:dyDescent="0.25">
      <c r="A149"/>
      <c r="B149"/>
      <c r="C149"/>
      <c r="D149"/>
      <c r="E149"/>
      <c r="F149"/>
      <c r="H149"/>
      <c r="I149"/>
      <c r="J149"/>
      <c r="K149"/>
      <c r="L149"/>
      <c r="N149"/>
      <c r="O149"/>
      <c r="P149"/>
      <c r="Q149"/>
      <c r="R149"/>
      <c r="T149"/>
      <c r="U149"/>
      <c r="V149"/>
      <c r="W149"/>
      <c r="X149"/>
      <c r="Z149" s="21"/>
      <c r="AA149" s="21">
        <f>Tabla356813212939717274757677787717[[#This Row],[COMISIONES]]*0.21</f>
        <v>0</v>
      </c>
      <c r="AB149" s="21">
        <f>Tabla356813212939717274757677787717[[#This Row],[COMISIONES]]*0.105</f>
        <v>0</v>
      </c>
      <c r="AC149" s="21"/>
      <c r="AD149" s="21"/>
      <c r="AF149"/>
      <c r="AG149"/>
      <c r="AH149"/>
      <c r="AI149"/>
      <c r="AJ149"/>
      <c r="AK149"/>
      <c r="AL149"/>
      <c r="AM149"/>
      <c r="AN149"/>
      <c r="AO149"/>
    </row>
    <row r="150" spans="1:41" s="6" customFormat="1" x14ac:dyDescent="0.25">
      <c r="A150"/>
      <c r="B150"/>
      <c r="C150"/>
      <c r="D150"/>
      <c r="E150"/>
      <c r="F150"/>
      <c r="H150"/>
      <c r="I150"/>
      <c r="J150"/>
      <c r="K150"/>
      <c r="L150"/>
      <c r="N150"/>
      <c r="O150"/>
      <c r="P150"/>
      <c r="Q150"/>
      <c r="R150"/>
      <c r="T150"/>
      <c r="U150"/>
      <c r="V150"/>
      <c r="W150"/>
      <c r="X150"/>
      <c r="Z150" s="21"/>
      <c r="AA150" s="21">
        <f>Tabla356813212939717274757677787717[[#This Row],[COMISIONES]]*0.21</f>
        <v>0</v>
      </c>
      <c r="AB150" s="21">
        <f>Tabla356813212939717274757677787717[[#This Row],[COMISIONES]]*0.105</f>
        <v>0</v>
      </c>
      <c r="AC150" s="21"/>
      <c r="AD150" s="21"/>
      <c r="AF150"/>
      <c r="AG150"/>
      <c r="AH150"/>
      <c r="AI150"/>
      <c r="AJ150"/>
      <c r="AK150"/>
      <c r="AL150"/>
      <c r="AM150"/>
      <c r="AN150"/>
      <c r="AO150"/>
    </row>
    <row r="151" spans="1:41" s="6" customFormat="1" x14ac:dyDescent="0.25">
      <c r="A151"/>
      <c r="B151"/>
      <c r="C151"/>
      <c r="D151"/>
      <c r="E151"/>
      <c r="F151"/>
      <c r="H151"/>
      <c r="I151"/>
      <c r="J151"/>
      <c r="K151"/>
      <c r="L151"/>
      <c r="N151"/>
      <c r="O151"/>
      <c r="P151"/>
      <c r="Q151"/>
      <c r="R151"/>
      <c r="T151"/>
      <c r="U151"/>
      <c r="V151"/>
      <c r="W151"/>
      <c r="X151"/>
      <c r="Z151" s="21"/>
      <c r="AA151" s="21">
        <f>Tabla356813212939717274757677787717[[#This Row],[COMISIONES]]*0.21</f>
        <v>0</v>
      </c>
      <c r="AB151" s="21">
        <f>Tabla356813212939717274757677787717[[#This Row],[COMISIONES]]*0.105</f>
        <v>0</v>
      </c>
      <c r="AC151" s="21"/>
      <c r="AD151" s="21"/>
      <c r="AF151"/>
      <c r="AG151"/>
      <c r="AH151"/>
      <c r="AI151"/>
      <c r="AJ151"/>
      <c r="AK151"/>
      <c r="AL151"/>
      <c r="AM151"/>
      <c r="AN151"/>
      <c r="AO151"/>
    </row>
    <row r="152" spans="1:41" s="6" customFormat="1" x14ac:dyDescent="0.25">
      <c r="A152"/>
      <c r="B152"/>
      <c r="C152"/>
      <c r="D152"/>
      <c r="E152"/>
      <c r="F152"/>
      <c r="H152"/>
      <c r="I152"/>
      <c r="J152"/>
      <c r="K152"/>
      <c r="L152"/>
      <c r="N152"/>
      <c r="O152"/>
      <c r="P152"/>
      <c r="Q152"/>
      <c r="R152"/>
      <c r="T152"/>
      <c r="U152"/>
      <c r="V152"/>
      <c r="W152"/>
      <c r="X152"/>
      <c r="Z152" s="21"/>
      <c r="AA152" s="21">
        <f>Tabla356813212939717274757677787717[[#This Row],[COMISIONES]]*0.21</f>
        <v>0</v>
      </c>
      <c r="AB152" s="21">
        <f>Tabla356813212939717274757677787717[[#This Row],[COMISIONES]]*0.105</f>
        <v>0</v>
      </c>
      <c r="AC152" s="21"/>
      <c r="AD152" s="21"/>
      <c r="AF152"/>
      <c r="AG152"/>
      <c r="AH152"/>
      <c r="AI152"/>
      <c r="AJ152"/>
      <c r="AK152"/>
      <c r="AL152"/>
      <c r="AM152"/>
      <c r="AN152"/>
      <c r="AO152"/>
    </row>
    <row r="153" spans="1:41" s="6" customFormat="1" x14ac:dyDescent="0.25">
      <c r="A153"/>
      <c r="B153"/>
      <c r="C153"/>
      <c r="D153"/>
      <c r="E153"/>
      <c r="F153"/>
      <c r="H153"/>
      <c r="I153"/>
      <c r="J153"/>
      <c r="K153"/>
      <c r="L153"/>
      <c r="N153"/>
      <c r="O153"/>
      <c r="P153"/>
      <c r="Q153"/>
      <c r="R153"/>
      <c r="T153"/>
      <c r="U153"/>
      <c r="V153"/>
      <c r="W153"/>
      <c r="X153"/>
      <c r="Z153" s="21"/>
      <c r="AA153" s="21">
        <f>Tabla356813212939717274757677787717[[#This Row],[COMISIONES]]*0.21</f>
        <v>0</v>
      </c>
      <c r="AB153" s="21">
        <f>Tabla356813212939717274757677787717[[#This Row],[COMISIONES]]*0.105</f>
        <v>0</v>
      </c>
      <c r="AC153" s="21"/>
      <c r="AD153" s="21"/>
      <c r="AF153"/>
      <c r="AG153"/>
      <c r="AH153"/>
      <c r="AI153"/>
      <c r="AJ153"/>
      <c r="AK153"/>
      <c r="AL153"/>
      <c r="AM153"/>
      <c r="AN153"/>
      <c r="AO153"/>
    </row>
    <row r="154" spans="1:41" s="6" customFormat="1" x14ac:dyDescent="0.25">
      <c r="A154"/>
      <c r="B154"/>
      <c r="C154"/>
      <c r="D154"/>
      <c r="E154"/>
      <c r="F154"/>
      <c r="H154"/>
      <c r="I154"/>
      <c r="J154"/>
      <c r="K154"/>
      <c r="L154"/>
      <c r="N154"/>
      <c r="O154"/>
      <c r="P154"/>
      <c r="Q154"/>
      <c r="R154"/>
      <c r="T154"/>
      <c r="U154"/>
      <c r="V154"/>
      <c r="W154"/>
      <c r="X154"/>
      <c r="Z154" s="21"/>
      <c r="AA154" s="21">
        <f>Tabla356813212939717274757677787717[[#This Row],[COMISIONES]]*0.21</f>
        <v>0</v>
      </c>
      <c r="AB154" s="21">
        <f>Tabla356813212939717274757677787717[[#This Row],[COMISIONES]]*0.105</f>
        <v>0</v>
      </c>
      <c r="AC154" s="21"/>
      <c r="AD154" s="21"/>
      <c r="AF154"/>
      <c r="AG154"/>
      <c r="AH154"/>
      <c r="AI154"/>
      <c r="AJ154"/>
      <c r="AK154"/>
      <c r="AL154"/>
      <c r="AM154"/>
      <c r="AN154"/>
      <c r="AO154"/>
    </row>
    <row r="155" spans="1:41" s="6" customFormat="1" x14ac:dyDescent="0.25">
      <c r="A155"/>
      <c r="B155"/>
      <c r="C155"/>
      <c r="D155"/>
      <c r="E155"/>
      <c r="F155"/>
      <c r="H155"/>
      <c r="I155"/>
      <c r="J155"/>
      <c r="K155"/>
      <c r="L155"/>
      <c r="N155"/>
      <c r="O155"/>
      <c r="P155"/>
      <c r="Q155"/>
      <c r="R155"/>
      <c r="T155"/>
      <c r="U155"/>
      <c r="V155"/>
      <c r="W155"/>
      <c r="X155"/>
      <c r="Z155" s="21"/>
      <c r="AA155" s="21">
        <f>Tabla356813212939717274757677787717[[#This Row],[COMISIONES]]*0.21</f>
        <v>0</v>
      </c>
      <c r="AB155" s="21">
        <f>Tabla356813212939717274757677787717[[#This Row],[COMISIONES]]*0.105</f>
        <v>0</v>
      </c>
      <c r="AC155" s="21"/>
      <c r="AD155" s="21"/>
      <c r="AF155"/>
      <c r="AG155"/>
      <c r="AH155"/>
      <c r="AI155"/>
      <c r="AJ155"/>
      <c r="AK155"/>
      <c r="AL155"/>
      <c r="AM155"/>
      <c r="AN155"/>
      <c r="AO155"/>
    </row>
    <row r="156" spans="1:41" s="6" customFormat="1" x14ac:dyDescent="0.25">
      <c r="A156"/>
      <c r="B156"/>
      <c r="C156"/>
      <c r="D156"/>
      <c r="E156"/>
      <c r="F156"/>
      <c r="H156"/>
      <c r="I156"/>
      <c r="J156"/>
      <c r="K156"/>
      <c r="L156"/>
      <c r="N156"/>
      <c r="O156"/>
      <c r="P156"/>
      <c r="Q156"/>
      <c r="R156"/>
      <c r="T156"/>
      <c r="U156"/>
      <c r="V156"/>
      <c r="W156"/>
      <c r="X156"/>
      <c r="Z156" s="21"/>
      <c r="AA156" s="21">
        <f>Tabla356813212939717274757677787717[[#This Row],[COMISIONES]]*0.21</f>
        <v>0</v>
      </c>
      <c r="AB156" s="21">
        <f>Tabla356813212939717274757677787717[[#This Row],[COMISIONES]]*0.105</f>
        <v>0</v>
      </c>
      <c r="AC156" s="21"/>
      <c r="AD156" s="21"/>
      <c r="AF156"/>
      <c r="AG156"/>
      <c r="AH156"/>
      <c r="AI156"/>
      <c r="AJ156"/>
      <c r="AK156"/>
      <c r="AL156"/>
      <c r="AM156"/>
      <c r="AN156"/>
      <c r="AO156"/>
    </row>
    <row r="157" spans="1:41" s="6" customFormat="1" x14ac:dyDescent="0.25">
      <c r="A157"/>
      <c r="B157"/>
      <c r="C157"/>
      <c r="D157"/>
      <c r="E157"/>
      <c r="F157"/>
      <c r="H157"/>
      <c r="I157"/>
      <c r="J157"/>
      <c r="K157"/>
      <c r="L157"/>
      <c r="N157"/>
      <c r="O157"/>
      <c r="P157"/>
      <c r="Q157"/>
      <c r="R157"/>
      <c r="T157"/>
      <c r="U157"/>
      <c r="V157"/>
      <c r="W157"/>
      <c r="X157"/>
      <c r="Z157" s="21"/>
      <c r="AA157" s="21">
        <f>Tabla356813212939717274757677787717[[#This Row],[COMISIONES]]*0.21</f>
        <v>0</v>
      </c>
      <c r="AB157" s="21">
        <f>Tabla356813212939717274757677787717[[#This Row],[COMISIONES]]*0.105</f>
        <v>0</v>
      </c>
      <c r="AC157" s="21"/>
      <c r="AD157" s="21"/>
      <c r="AF157"/>
      <c r="AG157"/>
      <c r="AH157"/>
      <c r="AI157"/>
      <c r="AJ157"/>
      <c r="AK157"/>
      <c r="AL157"/>
      <c r="AM157"/>
      <c r="AN157"/>
      <c r="AO157"/>
    </row>
    <row r="158" spans="1:41" s="6" customFormat="1" x14ac:dyDescent="0.25">
      <c r="A158"/>
      <c r="B158"/>
      <c r="C158"/>
      <c r="D158"/>
      <c r="E158"/>
      <c r="F158"/>
      <c r="H158"/>
      <c r="I158"/>
      <c r="J158"/>
      <c r="K158"/>
      <c r="L158"/>
      <c r="N158"/>
      <c r="O158"/>
      <c r="P158"/>
      <c r="Q158"/>
      <c r="R158"/>
      <c r="T158"/>
      <c r="U158"/>
      <c r="V158"/>
      <c r="W158"/>
      <c r="X158"/>
      <c r="Z158" s="21"/>
      <c r="AA158" s="21">
        <f>Tabla356813212939717274757677787717[[#This Row],[COMISIONES]]*0.21</f>
        <v>0</v>
      </c>
      <c r="AB158" s="21">
        <f>Tabla356813212939717274757677787717[[#This Row],[COMISIONES]]*0.105</f>
        <v>0</v>
      </c>
      <c r="AC158" s="21"/>
      <c r="AD158" s="21"/>
      <c r="AF158"/>
      <c r="AG158"/>
      <c r="AH158"/>
      <c r="AI158"/>
      <c r="AJ158"/>
      <c r="AK158"/>
      <c r="AL158"/>
      <c r="AM158"/>
      <c r="AN158"/>
      <c r="AO158"/>
    </row>
    <row r="159" spans="1:41" s="6" customFormat="1" x14ac:dyDescent="0.25">
      <c r="A159"/>
      <c r="B159"/>
      <c r="C159"/>
      <c r="D159"/>
      <c r="E159"/>
      <c r="F159"/>
      <c r="H159"/>
      <c r="I159"/>
      <c r="J159"/>
      <c r="K159"/>
      <c r="L159"/>
      <c r="N159"/>
      <c r="O159"/>
      <c r="P159"/>
      <c r="Q159"/>
      <c r="R159"/>
      <c r="T159"/>
      <c r="U159"/>
      <c r="V159"/>
      <c r="W159"/>
      <c r="X159"/>
      <c r="Z159" s="21"/>
      <c r="AA159" s="21">
        <f>Tabla356813212939717274757677787717[[#This Row],[COMISIONES]]*0.21</f>
        <v>0</v>
      </c>
      <c r="AB159" s="21">
        <f>Tabla356813212939717274757677787717[[#This Row],[COMISIONES]]*0.105</f>
        <v>0</v>
      </c>
      <c r="AC159" s="21"/>
      <c r="AD159" s="21"/>
      <c r="AF159"/>
      <c r="AG159"/>
      <c r="AH159"/>
      <c r="AI159"/>
      <c r="AJ159"/>
      <c r="AK159"/>
      <c r="AL159"/>
      <c r="AM159"/>
      <c r="AN159"/>
      <c r="AO159"/>
    </row>
    <row r="160" spans="1:41" s="6" customFormat="1" x14ac:dyDescent="0.25">
      <c r="A160"/>
      <c r="B160"/>
      <c r="C160"/>
      <c r="D160"/>
      <c r="E160"/>
      <c r="F160"/>
      <c r="H160"/>
      <c r="I160"/>
      <c r="J160"/>
      <c r="K160"/>
      <c r="L160"/>
      <c r="N160"/>
      <c r="O160"/>
      <c r="P160"/>
      <c r="Q160"/>
      <c r="R160"/>
      <c r="T160"/>
      <c r="U160"/>
      <c r="V160"/>
      <c r="W160"/>
      <c r="X160"/>
      <c r="Z160" s="21"/>
      <c r="AA160" s="21">
        <f>Tabla356813212939717274757677787717[[#This Row],[COMISIONES]]*0.21</f>
        <v>0</v>
      </c>
      <c r="AB160" s="21">
        <f>Tabla356813212939717274757677787717[[#This Row],[COMISIONES]]*0.105</f>
        <v>0</v>
      </c>
      <c r="AC160" s="21"/>
      <c r="AD160" s="21"/>
      <c r="AF160"/>
      <c r="AG160"/>
      <c r="AH160"/>
      <c r="AI160"/>
      <c r="AJ160"/>
      <c r="AK160"/>
      <c r="AL160"/>
      <c r="AM160"/>
      <c r="AN160"/>
      <c r="AO160"/>
    </row>
    <row r="161" spans="1:41" s="6" customFormat="1" x14ac:dyDescent="0.25">
      <c r="A161"/>
      <c r="B161"/>
      <c r="C161"/>
      <c r="D161"/>
      <c r="E161"/>
      <c r="F161"/>
      <c r="H161"/>
      <c r="I161"/>
      <c r="J161"/>
      <c r="K161"/>
      <c r="L161"/>
      <c r="N161"/>
      <c r="O161"/>
      <c r="P161"/>
      <c r="Q161"/>
      <c r="R161"/>
      <c r="T161"/>
      <c r="U161"/>
      <c r="V161"/>
      <c r="W161"/>
      <c r="X161"/>
      <c r="Z161" s="21"/>
      <c r="AA161" s="21">
        <f>Tabla356813212939717274757677787717[[#This Row],[COMISIONES]]*0.21</f>
        <v>0</v>
      </c>
      <c r="AB161" s="21">
        <f>Tabla356813212939717274757677787717[[#This Row],[COMISIONES]]*0.105</f>
        <v>0</v>
      </c>
      <c r="AC161" s="21"/>
      <c r="AD161" s="21"/>
      <c r="AF161"/>
      <c r="AG161"/>
      <c r="AH161"/>
      <c r="AI161"/>
      <c r="AJ161"/>
      <c r="AK161"/>
      <c r="AL161"/>
      <c r="AM161"/>
      <c r="AN161"/>
      <c r="AO161"/>
    </row>
    <row r="162" spans="1:41" s="6" customFormat="1" x14ac:dyDescent="0.25">
      <c r="A162"/>
      <c r="B162"/>
      <c r="C162"/>
      <c r="D162"/>
      <c r="E162"/>
      <c r="F162"/>
      <c r="H162"/>
      <c r="I162"/>
      <c r="J162"/>
      <c r="K162"/>
      <c r="L162"/>
      <c r="N162"/>
      <c r="O162"/>
      <c r="P162"/>
      <c r="Q162"/>
      <c r="R162"/>
      <c r="T162"/>
      <c r="U162"/>
      <c r="V162"/>
      <c r="W162"/>
      <c r="X162"/>
      <c r="Z162" s="21"/>
      <c r="AA162" s="21">
        <f>Tabla356813212939717274757677787717[[#This Row],[COMISIONES]]*0.21</f>
        <v>0</v>
      </c>
      <c r="AB162" s="21">
        <f>Tabla356813212939717274757677787717[[#This Row],[COMISIONES]]*0.105</f>
        <v>0</v>
      </c>
      <c r="AC162" s="21"/>
      <c r="AD162" s="21"/>
      <c r="AF162"/>
      <c r="AG162"/>
      <c r="AH162"/>
      <c r="AI162"/>
      <c r="AJ162"/>
      <c r="AK162"/>
      <c r="AL162"/>
      <c r="AM162"/>
      <c r="AN162"/>
      <c r="AO162"/>
    </row>
    <row r="163" spans="1:41" s="6" customFormat="1" x14ac:dyDescent="0.25">
      <c r="A163"/>
      <c r="B163"/>
      <c r="C163"/>
      <c r="D163"/>
      <c r="E163"/>
      <c r="F163"/>
      <c r="H163"/>
      <c r="I163"/>
      <c r="J163"/>
      <c r="K163"/>
      <c r="L163"/>
      <c r="N163"/>
      <c r="O163"/>
      <c r="P163"/>
      <c r="Q163"/>
      <c r="R163"/>
      <c r="T163"/>
      <c r="U163"/>
      <c r="V163"/>
      <c r="W163"/>
      <c r="X163"/>
      <c r="Z163" s="21"/>
      <c r="AA163" s="21">
        <f>Tabla356813212939717274757677787717[[#This Row],[COMISIONES]]*0.21</f>
        <v>0</v>
      </c>
      <c r="AB163" s="21">
        <f>Tabla356813212939717274757677787717[[#This Row],[COMISIONES]]*0.105</f>
        <v>0</v>
      </c>
      <c r="AC163" s="21"/>
      <c r="AD163" s="21"/>
      <c r="AF163"/>
      <c r="AG163"/>
      <c r="AH163"/>
      <c r="AI163"/>
      <c r="AJ163"/>
      <c r="AK163"/>
      <c r="AL163"/>
      <c r="AM163"/>
      <c r="AN163"/>
      <c r="AO163"/>
    </row>
    <row r="164" spans="1:41" s="6" customFormat="1" x14ac:dyDescent="0.25">
      <c r="A164"/>
      <c r="B164"/>
      <c r="C164"/>
      <c r="D164"/>
      <c r="E164"/>
      <c r="F164"/>
      <c r="H164"/>
      <c r="I164"/>
      <c r="J164"/>
      <c r="K164"/>
      <c r="L164"/>
      <c r="N164"/>
      <c r="O164"/>
      <c r="P164"/>
      <c r="Q164"/>
      <c r="R164"/>
      <c r="T164"/>
      <c r="U164"/>
      <c r="V164"/>
      <c r="W164"/>
      <c r="X164"/>
      <c r="Z164" s="21"/>
      <c r="AA164" s="21">
        <f>Tabla356813212939717274757677787717[[#This Row],[COMISIONES]]*0.21</f>
        <v>0</v>
      </c>
      <c r="AB164" s="21">
        <f>Tabla356813212939717274757677787717[[#This Row],[COMISIONES]]*0.105</f>
        <v>0</v>
      </c>
      <c r="AC164" s="21"/>
      <c r="AD164" s="21"/>
      <c r="AF164"/>
      <c r="AG164"/>
      <c r="AH164"/>
      <c r="AI164"/>
      <c r="AJ164"/>
      <c r="AK164"/>
      <c r="AL164"/>
      <c r="AM164"/>
      <c r="AN164"/>
      <c r="AO164"/>
    </row>
    <row r="165" spans="1:41" s="6" customFormat="1" x14ac:dyDescent="0.25">
      <c r="A165"/>
      <c r="B165"/>
      <c r="C165"/>
      <c r="D165"/>
      <c r="E165"/>
      <c r="F165"/>
      <c r="H165"/>
      <c r="I165"/>
      <c r="J165"/>
      <c r="K165"/>
      <c r="L165"/>
      <c r="N165"/>
      <c r="O165"/>
      <c r="P165"/>
      <c r="Q165"/>
      <c r="R165"/>
      <c r="T165"/>
      <c r="U165"/>
      <c r="V165"/>
      <c r="W165"/>
      <c r="X165"/>
      <c r="Z165" s="21"/>
      <c r="AA165" s="21">
        <f>Tabla356813212939717274757677787717[[#This Row],[COMISIONES]]*0.21</f>
        <v>0</v>
      </c>
      <c r="AB165" s="21">
        <f>Tabla356813212939717274757677787717[[#This Row],[COMISIONES]]*0.105</f>
        <v>0</v>
      </c>
      <c r="AC165" s="21"/>
      <c r="AD165" s="21"/>
      <c r="AF165"/>
      <c r="AG165"/>
      <c r="AH165"/>
      <c r="AI165"/>
      <c r="AJ165"/>
      <c r="AK165"/>
      <c r="AL165"/>
      <c r="AM165"/>
      <c r="AN165"/>
      <c r="AO165"/>
    </row>
    <row r="166" spans="1:41" s="6" customFormat="1" x14ac:dyDescent="0.25">
      <c r="A166"/>
      <c r="B166"/>
      <c r="C166"/>
      <c r="D166"/>
      <c r="E166"/>
      <c r="F166"/>
      <c r="H166"/>
      <c r="I166"/>
      <c r="J166"/>
      <c r="K166"/>
      <c r="L166"/>
      <c r="N166"/>
      <c r="O166"/>
      <c r="P166"/>
      <c r="Q166"/>
      <c r="R166"/>
      <c r="T166"/>
      <c r="U166"/>
      <c r="V166"/>
      <c r="W166"/>
      <c r="X166"/>
      <c r="Z166" s="21"/>
      <c r="AA166" s="21">
        <f>Tabla356813212939717274757677787717[[#This Row],[COMISIONES]]*0.21</f>
        <v>0</v>
      </c>
      <c r="AB166" s="21">
        <f>Tabla356813212939717274757677787717[[#This Row],[COMISIONES]]*0.105</f>
        <v>0</v>
      </c>
      <c r="AC166" s="21"/>
      <c r="AD166" s="21"/>
      <c r="AF166"/>
      <c r="AG166"/>
      <c r="AH166"/>
      <c r="AI166"/>
      <c r="AJ166"/>
      <c r="AK166"/>
      <c r="AL166"/>
      <c r="AM166"/>
      <c r="AN166"/>
      <c r="AO166"/>
    </row>
    <row r="167" spans="1:41" s="6" customFormat="1" x14ac:dyDescent="0.25">
      <c r="A167"/>
      <c r="B167"/>
      <c r="C167"/>
      <c r="D167"/>
      <c r="E167"/>
      <c r="F167"/>
      <c r="H167"/>
      <c r="I167"/>
      <c r="J167"/>
      <c r="K167"/>
      <c r="L167"/>
      <c r="N167"/>
      <c r="O167"/>
      <c r="P167"/>
      <c r="Q167"/>
      <c r="R167"/>
      <c r="T167"/>
      <c r="U167"/>
      <c r="V167"/>
      <c r="W167"/>
      <c r="X167"/>
      <c r="Z167" s="21"/>
      <c r="AA167" s="21">
        <f>Tabla356813212939717274757677787717[[#This Row],[COMISIONES]]*0.21</f>
        <v>0</v>
      </c>
      <c r="AB167" s="21">
        <f>Tabla356813212939717274757677787717[[#This Row],[COMISIONES]]*0.105</f>
        <v>0</v>
      </c>
      <c r="AC167" s="21"/>
      <c r="AD167" s="21"/>
      <c r="AF167"/>
      <c r="AG167"/>
      <c r="AH167"/>
      <c r="AI167"/>
      <c r="AJ167"/>
      <c r="AK167"/>
      <c r="AL167"/>
      <c r="AM167"/>
      <c r="AN167"/>
      <c r="AO167"/>
    </row>
    <row r="168" spans="1:41" s="6" customFormat="1" x14ac:dyDescent="0.25">
      <c r="A168"/>
      <c r="B168"/>
      <c r="C168"/>
      <c r="D168"/>
      <c r="E168"/>
      <c r="F168"/>
      <c r="H168"/>
      <c r="I168"/>
      <c r="J168"/>
      <c r="K168"/>
      <c r="L168"/>
      <c r="N168"/>
      <c r="O168"/>
      <c r="P168"/>
      <c r="Q168"/>
      <c r="R168"/>
      <c r="T168"/>
      <c r="U168"/>
      <c r="V168"/>
      <c r="W168"/>
      <c r="X168"/>
      <c r="Z168" s="21"/>
      <c r="AA168" s="21">
        <f>Tabla356813212939717274757677787717[[#This Row],[COMISIONES]]*0.21</f>
        <v>0</v>
      </c>
      <c r="AB168" s="21">
        <f>Tabla356813212939717274757677787717[[#This Row],[COMISIONES]]*0.105</f>
        <v>0</v>
      </c>
      <c r="AC168" s="21"/>
      <c r="AD168" s="21"/>
      <c r="AF168"/>
      <c r="AG168"/>
      <c r="AH168"/>
      <c r="AI168"/>
      <c r="AJ168"/>
      <c r="AK168"/>
      <c r="AL168"/>
      <c r="AM168"/>
      <c r="AN168"/>
      <c r="AO168"/>
    </row>
    <row r="169" spans="1:41" s="6" customFormat="1" x14ac:dyDescent="0.25">
      <c r="A169"/>
      <c r="B169"/>
      <c r="C169"/>
      <c r="D169"/>
      <c r="E169"/>
      <c r="F169"/>
      <c r="H169"/>
      <c r="I169"/>
      <c r="J169"/>
      <c r="K169"/>
      <c r="L169"/>
      <c r="N169"/>
      <c r="O169"/>
      <c r="P169"/>
      <c r="Q169"/>
      <c r="R169"/>
      <c r="T169"/>
      <c r="U169"/>
      <c r="V169"/>
      <c r="W169"/>
      <c r="X169"/>
      <c r="Z169" s="4">
        <f>SUBTOTAL(109,Tabla356813212939717274757677787717[COMISIONES])</f>
        <v>696054.94095238089</v>
      </c>
      <c r="AA169" s="4">
        <f>SUBTOTAL(109,Tabla356813212939717274757677787717[IVA 21])</f>
        <v>98736.680799999987</v>
      </c>
      <c r="AB169" s="4">
        <f>SUBTOTAL(109,Tabla356813212939717274757677787717[IVA 10,5])</f>
        <v>23717.429699999997</v>
      </c>
      <c r="AC169" s="4">
        <f>SUBTOTAL(109,Tabla356813212939717274757677787717[Ret IIBB Caba])</f>
        <v>1295910.6699999997</v>
      </c>
      <c r="AD169" s="4">
        <f>SUBTOTAL(109,Tabla356813212939717274757677787717[PERC IVA])</f>
        <v>0</v>
      </c>
      <c r="AF169"/>
      <c r="AG169"/>
      <c r="AH169"/>
      <c r="AI169"/>
      <c r="AJ169"/>
      <c r="AK169"/>
      <c r="AL169"/>
      <c r="AM169"/>
      <c r="AN169"/>
      <c r="AO169"/>
    </row>
  </sheetData>
  <mergeCells count="13">
    <mergeCell ref="G2:H2"/>
    <mergeCell ref="J2:K2"/>
    <mergeCell ref="G12:H12"/>
    <mergeCell ref="B14:F14"/>
    <mergeCell ref="H14:L14"/>
    <mergeCell ref="T64:X64"/>
    <mergeCell ref="T14:X14"/>
    <mergeCell ref="AK14:AO14"/>
    <mergeCell ref="T32:X32"/>
    <mergeCell ref="Z14:AD14"/>
    <mergeCell ref="AF14:AJ14"/>
    <mergeCell ref="N14:R14"/>
    <mergeCell ref="H54:L54"/>
  </mergeCells>
  <pageMargins left="0.7" right="0.7" top="0.75" bottom="0.75" header="0.3" footer="0.3"/>
  <pageSetup paperSize="9" orientation="portrait" horizontalDpi="300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BFCC-0001-4072-8A8B-5129D12D14FE}">
  <dimension ref="A1:AO169"/>
  <sheetViews>
    <sheetView showGridLines="0" zoomScale="115" zoomScaleNormal="115" workbookViewId="0">
      <selection activeCell="I11" sqref="I11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4" bestFit="1" customWidth="1"/>
    <col min="4" max="4" width="12.140625" bestFit="1" customWidth="1"/>
    <col min="5" max="5" width="11.5703125" customWidth="1"/>
    <col min="6" max="6" width="13" bestFit="1" customWidth="1"/>
    <col min="7" max="7" width="2.42578125" style="6" customWidth="1"/>
    <col min="8" max="8" width="12.7109375" customWidth="1"/>
    <col min="9" max="9" width="13.5703125" customWidth="1"/>
    <col min="10" max="10" width="12.28515625" bestFit="1" customWidth="1"/>
    <col min="11" max="11" width="12.85546875" customWidth="1"/>
    <col min="13" max="13" width="2.5703125" style="6" customWidth="1"/>
    <col min="14" max="14" width="12.7109375" customWidth="1"/>
    <col min="17" max="17" width="12.85546875" customWidth="1"/>
    <col min="19" max="19" width="2.5703125" style="6" customWidth="1"/>
    <col min="20" max="20" width="12.7109375" customWidth="1"/>
    <col min="23" max="23" width="12.85546875" customWidth="1"/>
    <col min="24" max="24" width="13.5703125" customWidth="1"/>
    <col min="25" max="25" width="2.5703125" style="6" customWidth="1"/>
    <col min="26" max="26" width="15.42578125" bestFit="1" customWidth="1"/>
    <col min="27" max="27" width="13.28515625" customWidth="1"/>
    <col min="29" max="29" width="15.7109375" bestFit="1" customWidth="1"/>
    <col min="31" max="31" width="2.5703125" style="6" customWidth="1"/>
    <col min="32" max="32" width="15.42578125" bestFit="1" customWidth="1"/>
    <col min="33" max="33" width="12.28515625" bestFit="1" customWidth="1"/>
    <col min="35" max="35" width="15.7109375" bestFit="1" customWidth="1"/>
  </cols>
  <sheetData>
    <row r="1" spans="1:41" x14ac:dyDescent="0.25">
      <c r="G1"/>
      <c r="M1"/>
      <c r="S1"/>
      <c r="Y1"/>
      <c r="AE1"/>
    </row>
    <row r="2" spans="1:41" ht="18.75" x14ac:dyDescent="0.25">
      <c r="C2" s="15" t="s">
        <v>2</v>
      </c>
      <c r="D2" s="16" t="s">
        <v>0</v>
      </c>
      <c r="E2" s="16" t="s">
        <v>1</v>
      </c>
      <c r="F2" s="16" t="s">
        <v>3</v>
      </c>
      <c r="G2" s="53" t="s">
        <v>4</v>
      </c>
      <c r="H2" s="54"/>
      <c r="J2" s="55">
        <v>45536</v>
      </c>
      <c r="K2" s="55"/>
      <c r="M2"/>
      <c r="S2"/>
      <c r="Y2"/>
      <c r="AE2"/>
    </row>
    <row r="3" spans="1:41" x14ac:dyDescent="0.25">
      <c r="B3" s="25" t="str">
        <f>+B14</f>
        <v>Extracto Santander</v>
      </c>
      <c r="C3" s="14">
        <v>1970.27</v>
      </c>
      <c r="D3" s="14">
        <v>413.12459999999999</v>
      </c>
      <c r="E3" s="14">
        <v>0.31604999999999994</v>
      </c>
      <c r="F3" s="14"/>
      <c r="G3" s="32"/>
      <c r="H3" s="33"/>
      <c r="J3" s="2"/>
      <c r="K3" s="3"/>
      <c r="M3"/>
      <c r="N3" t="s">
        <v>5</v>
      </c>
      <c r="S3"/>
      <c r="Y3"/>
      <c r="AE3"/>
    </row>
    <row r="4" spans="1:41" x14ac:dyDescent="0.25">
      <c r="B4" s="25" t="str">
        <f>+H14</f>
        <v>CABAL 22/3</v>
      </c>
      <c r="C4" s="14"/>
      <c r="D4" s="14"/>
      <c r="E4" s="14"/>
      <c r="F4" s="14"/>
      <c r="G4" s="32"/>
      <c r="H4" s="33"/>
      <c r="J4" s="2"/>
      <c r="K4" s="3"/>
      <c r="M4"/>
      <c r="S4"/>
      <c r="Y4"/>
      <c r="AE4"/>
    </row>
    <row r="5" spans="1:41" x14ac:dyDescent="0.25">
      <c r="B5" s="25" t="str">
        <f>+N14</f>
        <v>BBVA VISA</v>
      </c>
      <c r="C5" s="14">
        <v>5619.83</v>
      </c>
      <c r="D5" s="14">
        <v>1180.1642999999999</v>
      </c>
      <c r="E5" s="14"/>
      <c r="F5" s="14">
        <v>10708.88</v>
      </c>
      <c r="G5" s="32"/>
      <c r="H5" s="33">
        <v>271.55</v>
      </c>
      <c r="M5"/>
      <c r="S5"/>
      <c r="Y5"/>
      <c r="AE5"/>
    </row>
    <row r="6" spans="1:41" x14ac:dyDescent="0.25">
      <c r="B6" s="25" t="str">
        <f>+T14</f>
        <v>GALICIA EXTRACTO (31/03)</v>
      </c>
      <c r="C6" s="14">
        <v>38000</v>
      </c>
      <c r="D6" s="14">
        <v>7980</v>
      </c>
      <c r="E6" s="14"/>
      <c r="F6" s="14">
        <v>732383.52</v>
      </c>
      <c r="G6" s="32"/>
      <c r="H6" s="34">
        <v>1140</v>
      </c>
      <c r="M6"/>
      <c r="S6"/>
      <c r="Y6"/>
      <c r="AE6"/>
    </row>
    <row r="7" spans="1:41" x14ac:dyDescent="0.25">
      <c r="B7" s="25" t="str">
        <f>+Z14</f>
        <v>SANTANDER - GETNET</v>
      </c>
      <c r="C7" s="31">
        <f>D7*100/21</f>
        <v>628853.95238095231</v>
      </c>
      <c r="D7" s="14">
        <v>132059.32999999999</v>
      </c>
      <c r="E7" s="14"/>
      <c r="F7" s="14">
        <v>1605489.6</v>
      </c>
      <c r="G7" s="32"/>
      <c r="H7" s="33">
        <v>17838.760000000002</v>
      </c>
      <c r="M7"/>
      <c r="S7"/>
      <c r="Y7"/>
      <c r="AE7"/>
    </row>
    <row r="8" spans="1:41" x14ac:dyDescent="0.25">
      <c r="B8" s="25" t="s">
        <v>14</v>
      </c>
      <c r="C8" s="14">
        <v>96710</v>
      </c>
      <c r="D8" s="14">
        <v>20309.099999999999</v>
      </c>
      <c r="E8" s="14"/>
      <c r="F8" s="14">
        <v>7034.05</v>
      </c>
      <c r="G8"/>
      <c r="H8" s="35">
        <v>3141.51</v>
      </c>
      <c r="I8" s="36"/>
      <c r="M8"/>
      <c r="S8"/>
      <c r="Y8"/>
      <c r="AE8"/>
    </row>
    <row r="9" spans="1:41" x14ac:dyDescent="0.25">
      <c r="B9" s="28" t="s">
        <v>17</v>
      </c>
      <c r="C9" s="14">
        <f>D9*100/21</f>
        <v>533387.33333333337</v>
      </c>
      <c r="D9" s="14">
        <v>112011.34</v>
      </c>
      <c r="E9" s="14"/>
      <c r="F9" s="14">
        <v>468437.82</v>
      </c>
      <c r="G9" s="32"/>
      <c r="H9" s="33">
        <v>4467.8500000000004</v>
      </c>
      <c r="M9"/>
      <c r="S9"/>
      <c r="Y9"/>
      <c r="AE9"/>
    </row>
    <row r="10" spans="1:41" x14ac:dyDescent="0.25">
      <c r="B10" s="28" t="s">
        <v>15</v>
      </c>
      <c r="C10" s="14"/>
      <c r="D10" s="14"/>
      <c r="E10" s="14"/>
      <c r="F10" s="14"/>
      <c r="G10" s="32"/>
      <c r="H10" s="33"/>
      <c r="J10" s="3">
        <f>E7*100/10.5</f>
        <v>0</v>
      </c>
      <c r="M10"/>
      <c r="S10"/>
      <c r="Y10"/>
      <c r="AE10"/>
    </row>
    <row r="11" spans="1:41" x14ac:dyDescent="0.25">
      <c r="B11" s="28" t="s">
        <v>13</v>
      </c>
      <c r="C11" s="14">
        <v>3966.94</v>
      </c>
      <c r="D11" s="14">
        <v>833.05740000000003</v>
      </c>
      <c r="E11" s="14"/>
      <c r="F11" s="14">
        <v>465.52</v>
      </c>
      <c r="G11" s="32"/>
      <c r="H11" s="33">
        <v>119.01</v>
      </c>
      <c r="M11"/>
      <c r="S11"/>
      <c r="Y11"/>
      <c r="AE11"/>
    </row>
    <row r="12" spans="1:41" x14ac:dyDescent="0.25">
      <c r="A12" s="26"/>
      <c r="B12" s="26"/>
      <c r="C12" s="27">
        <f>SUM(C3:C11)</f>
        <v>1308508.3257142855</v>
      </c>
      <c r="D12" s="27">
        <f t="shared" ref="D12:F12" si="0">SUM(D3:D11)</f>
        <v>274786.11629999999</v>
      </c>
      <c r="E12" s="27">
        <f t="shared" si="0"/>
        <v>0.31604999999999994</v>
      </c>
      <c r="F12" s="27">
        <f t="shared" si="0"/>
        <v>2824519.3899999997</v>
      </c>
      <c r="G12" s="56">
        <f>SUM(G3:H11)</f>
        <v>26978.679999999997</v>
      </c>
      <c r="H12" s="56"/>
      <c r="M12"/>
      <c r="S12"/>
      <c r="Y12"/>
      <c r="AE12"/>
    </row>
    <row r="13" spans="1:41" x14ac:dyDescent="0.25">
      <c r="A13" s="26"/>
      <c r="B13" s="26"/>
      <c r="G13"/>
      <c r="M13"/>
      <c r="S13"/>
      <c r="Y13"/>
      <c r="AE13"/>
    </row>
    <row r="14" spans="1:41" ht="16.5" customHeight="1" x14ac:dyDescent="0.3">
      <c r="B14" s="52" t="s">
        <v>10</v>
      </c>
      <c r="C14" s="52"/>
      <c r="D14" s="52"/>
      <c r="E14" s="52"/>
      <c r="F14" s="52"/>
      <c r="H14" s="52" t="s">
        <v>8</v>
      </c>
      <c r="I14" s="52"/>
      <c r="J14" s="52"/>
      <c r="K14" s="52"/>
      <c r="L14" s="52"/>
      <c r="N14" s="52" t="s">
        <v>11</v>
      </c>
      <c r="O14" s="52"/>
      <c r="P14" s="52"/>
      <c r="Q14" s="52"/>
      <c r="R14" s="52"/>
      <c r="T14" s="52" t="s">
        <v>6</v>
      </c>
      <c r="U14" s="52"/>
      <c r="V14" s="52"/>
      <c r="W14" s="52"/>
      <c r="X14" s="52"/>
      <c r="Z14" s="52" t="s">
        <v>16</v>
      </c>
      <c r="AA14" s="52"/>
      <c r="AB14" s="52"/>
      <c r="AC14" s="52"/>
      <c r="AD14" s="52"/>
      <c r="AF14" s="52" t="s">
        <v>17</v>
      </c>
      <c r="AG14" s="52"/>
      <c r="AH14" s="52"/>
      <c r="AI14" s="52"/>
      <c r="AJ14" s="52"/>
      <c r="AK14" s="52" t="s">
        <v>13</v>
      </c>
      <c r="AL14" s="52"/>
      <c r="AM14" s="52"/>
      <c r="AN14" s="52"/>
      <c r="AO14" s="52"/>
    </row>
    <row r="15" spans="1:41" s="5" customFormat="1" x14ac:dyDescent="0.25">
      <c r="B15" s="10" t="s">
        <v>2</v>
      </c>
      <c r="C15" s="9" t="s">
        <v>0</v>
      </c>
      <c r="D15" s="9" t="s">
        <v>1</v>
      </c>
      <c r="E15" s="9" t="s">
        <v>3</v>
      </c>
      <c r="F15" s="9" t="s">
        <v>4</v>
      </c>
      <c r="G15" s="7"/>
      <c r="H15" s="12" t="s">
        <v>2</v>
      </c>
      <c r="I15" s="13" t="s">
        <v>0</v>
      </c>
      <c r="J15" s="13" t="s">
        <v>1</v>
      </c>
      <c r="K15" s="13" t="s">
        <v>3</v>
      </c>
      <c r="L15" s="13" t="s">
        <v>4</v>
      </c>
      <c r="M15" s="7"/>
      <c r="N15" s="12" t="s">
        <v>2</v>
      </c>
      <c r="O15" s="13" t="s">
        <v>0</v>
      </c>
      <c r="P15" s="13" t="s">
        <v>1</v>
      </c>
      <c r="Q15" s="13" t="s">
        <v>3</v>
      </c>
      <c r="R15" s="13" t="s">
        <v>4</v>
      </c>
      <c r="S15" s="7"/>
      <c r="T15" s="12" t="s">
        <v>2</v>
      </c>
      <c r="U15" s="13" t="s">
        <v>0</v>
      </c>
      <c r="V15" s="13" t="s">
        <v>1</v>
      </c>
      <c r="W15" s="13" t="s">
        <v>3</v>
      </c>
      <c r="X15" s="13" t="s">
        <v>4</v>
      </c>
      <c r="Y15" s="7"/>
      <c r="Z15" s="12" t="s">
        <v>2</v>
      </c>
      <c r="AA15" s="13" t="s">
        <v>0</v>
      </c>
      <c r="AB15" s="13" t="s">
        <v>1</v>
      </c>
      <c r="AC15" s="13" t="s">
        <v>3</v>
      </c>
      <c r="AD15" s="13" t="s">
        <v>4</v>
      </c>
      <c r="AE15" s="7"/>
      <c r="AF15" s="12" t="s">
        <v>2</v>
      </c>
      <c r="AG15" s="13" t="s">
        <v>0</v>
      </c>
      <c r="AH15" s="13" t="s">
        <v>1</v>
      </c>
      <c r="AI15" s="13" t="s">
        <v>3</v>
      </c>
      <c r="AJ15" s="13" t="s">
        <v>4</v>
      </c>
      <c r="AK15" s="12" t="s">
        <v>2</v>
      </c>
      <c r="AL15" s="13" t="s">
        <v>0</v>
      </c>
      <c r="AM15" s="13" t="s">
        <v>1</v>
      </c>
      <c r="AN15" s="13" t="s">
        <v>3</v>
      </c>
      <c r="AO15" s="13" t="s">
        <v>4</v>
      </c>
    </row>
    <row r="16" spans="1:41" x14ac:dyDescent="0.25">
      <c r="B16" s="2">
        <v>3.01</v>
      </c>
      <c r="C16" s="2"/>
      <c r="D16" s="3">
        <f>Tabla1316243221222335262728221222[[#This Row],[COMISIONES]]*0.105</f>
        <v>0.31604999999999994</v>
      </c>
      <c r="E16" s="3"/>
      <c r="F16" s="1"/>
      <c r="G16" s="8"/>
      <c r="H16" s="3"/>
      <c r="I16" s="11">
        <f>Tabla3917253531323345363738331323[[#This Row],[COMISIONES]]*0.21</f>
        <v>0</v>
      </c>
      <c r="J16" s="11"/>
      <c r="K16" s="11"/>
      <c r="L16" s="3"/>
      <c r="M16" s="8"/>
      <c r="N16" s="3">
        <v>5619.83</v>
      </c>
      <c r="O16" s="11">
        <f>Tabla351018263641424445464748441424[[#This Row],[COMISIONES]]*0.21</f>
        <v>1180.1642999999999</v>
      </c>
      <c r="P16" s="11"/>
      <c r="Q16" s="1">
        <v>10708.88</v>
      </c>
      <c r="R16">
        <v>168.59</v>
      </c>
      <c r="S16" s="8"/>
      <c r="T16" s="11">
        <v>38000</v>
      </c>
      <c r="U16" s="11">
        <f>Tabla3561119273751525455565758551525[[#This Row],[COMISIONES]]*0.21</f>
        <v>7980</v>
      </c>
      <c r="V16" s="11"/>
      <c r="W16" s="11">
        <v>732383.52</v>
      </c>
      <c r="X16" s="11">
        <v>1140</v>
      </c>
      <c r="Y16" s="8"/>
      <c r="Z16" s="3"/>
      <c r="AA16" s="11">
        <f>Tabla35681321293971727475767778771727[[#This Row],[COMISIONES]]*0.21</f>
        <v>0</v>
      </c>
      <c r="AB16" s="3"/>
      <c r="AC16" s="1"/>
      <c r="AE16" s="8"/>
      <c r="AF16" s="3"/>
      <c r="AG16" s="11">
        <f>Tabla3568131422304081828485868788881828[[#This Row],[COMISIONES]]*0.21</f>
        <v>0</v>
      </c>
      <c r="AH16" s="11"/>
      <c r="AI16" s="1"/>
      <c r="AJ16" s="11"/>
      <c r="AK16" s="11">
        <v>3966.94</v>
      </c>
      <c r="AL16" s="11">
        <f>Tabla35611192734431121315161718191112131[[#This Row],[COMISIONES]]*0.21</f>
        <v>833.05740000000003</v>
      </c>
      <c r="AM16" s="11"/>
      <c r="AN16" s="11">
        <v>232.76</v>
      </c>
      <c r="AO16" s="11">
        <v>119.01</v>
      </c>
    </row>
    <row r="17" spans="2:41" x14ac:dyDescent="0.25">
      <c r="B17" s="3">
        <v>1967.26</v>
      </c>
      <c r="C17" s="2">
        <f>Tabla1316243221222335262728221222[[#This Row],[COMISIONES]]*0.21</f>
        <v>413.12459999999999</v>
      </c>
      <c r="D17" s="3"/>
      <c r="E17" s="3"/>
      <c r="F17" s="3"/>
      <c r="G17" s="8"/>
      <c r="H17" s="11"/>
      <c r="I17" s="11">
        <f>Tabla3917253531323345363738331323[[#This Row],[COMISIONES]]*0.21</f>
        <v>0</v>
      </c>
      <c r="J17" s="11"/>
      <c r="K17" s="11"/>
      <c r="L17" s="11"/>
      <c r="M17" s="8"/>
      <c r="N17" s="11"/>
      <c r="O17" s="11">
        <f>Tabla351018263641424445464748441424[[#This Row],[COMISIONES]]*0.21</f>
        <v>0</v>
      </c>
      <c r="P17" s="11"/>
      <c r="Q17" s="1"/>
      <c r="R17">
        <v>102.96</v>
      </c>
      <c r="S17" s="8"/>
      <c r="T17" s="11"/>
      <c r="U17" s="11"/>
      <c r="V17" s="11">
        <f>Tabla3561119273751525455565758551525[[#This Row],[COMISIONES]]*0.105</f>
        <v>0</v>
      </c>
      <c r="W17" s="11"/>
      <c r="X17" s="11"/>
      <c r="Y17" s="8"/>
      <c r="Z17" s="3"/>
      <c r="AA17" s="11">
        <f>Tabla35681321293971727475767778771727[[#This Row],[COMISIONES]]*0.21</f>
        <v>0</v>
      </c>
      <c r="AB17" s="3"/>
      <c r="AC17" s="1"/>
      <c r="AE17" s="8"/>
      <c r="AF17" s="11"/>
      <c r="AG17" s="11">
        <f>Tabla3568131422304081828485868788881828[[#This Row],[COMISIONES]]*0.21</f>
        <v>0</v>
      </c>
      <c r="AH17" s="11"/>
      <c r="AI17" s="11"/>
      <c r="AJ17" s="11"/>
      <c r="AK17" s="11"/>
      <c r="AL17" s="11">
        <f>Tabla35611192734431121315161718191112131[[#This Row],[COMISIONES]]*0.21</f>
        <v>0</v>
      </c>
      <c r="AM17" s="11"/>
      <c r="AN17" s="11">
        <v>232.76</v>
      </c>
      <c r="AO17" s="11" t="s">
        <v>18</v>
      </c>
    </row>
    <row r="18" spans="2:41" x14ac:dyDescent="0.25">
      <c r="B18" s="3"/>
      <c r="C18" s="2">
        <f>Tabla1316243221222335262728221222[[#This Row],[COMISIONES]]*0.21</f>
        <v>0</v>
      </c>
      <c r="D18" s="3">
        <f>Tabla1316243221222335262728221222[[#This Row],[COMISIONES]]*0.105</f>
        <v>0</v>
      </c>
      <c r="E18" s="3"/>
      <c r="F18" s="3"/>
      <c r="H18" s="11"/>
      <c r="I18" s="11">
        <f>Tabla3917253531323345363738331323[[#This Row],[COMISIONES]]*0.21</f>
        <v>0</v>
      </c>
      <c r="J18" s="11"/>
      <c r="K18" s="11"/>
      <c r="L18" s="11"/>
      <c r="N18" s="1"/>
      <c r="O18" s="11">
        <f>Tabla351018263641424445464748441424[[#This Row],[COMISIONES]]*0.21</f>
        <v>0</v>
      </c>
      <c r="P18" s="11"/>
      <c r="Q18" s="11"/>
      <c r="R18" s="23"/>
      <c r="T18" s="11"/>
      <c r="U18" s="11">
        <f>Tabla3561119273751525455565758551525[[#This Row],[COMISIONES]]*0.21</f>
        <v>0</v>
      </c>
      <c r="V18" s="11"/>
      <c r="W18" s="11"/>
      <c r="X18" s="11"/>
      <c r="Z18" s="3"/>
      <c r="AA18" s="11">
        <f>Tabla35681321293971727475767778771727[[#This Row],[COMISIONES]]*0.21</f>
        <v>0</v>
      </c>
      <c r="AB18" s="3"/>
      <c r="AF18" s="11"/>
      <c r="AG18" s="11">
        <f>Tabla3568131422304081828485868788881828[[#This Row],[COMISIONES]]*0.21</f>
        <v>0</v>
      </c>
      <c r="AH18" s="11"/>
      <c r="AI18" s="11"/>
      <c r="AJ18" s="11"/>
      <c r="AK18" s="11"/>
      <c r="AL18" s="11">
        <f>Tabla35611192734431121315161718191112131[[#This Row],[COMISIONES]]*0.21</f>
        <v>0</v>
      </c>
      <c r="AM18" s="11"/>
      <c r="AN18" s="11"/>
      <c r="AO18" s="11"/>
    </row>
    <row r="19" spans="2:41" x14ac:dyDescent="0.25">
      <c r="B19" s="3"/>
      <c r="C19" s="2">
        <f>Tabla1316243221222335262728221222[[#This Row],[COMISIONES]]*0.21</f>
        <v>0</v>
      </c>
      <c r="D19" s="3">
        <f>Tabla1316243221222335262728221222[[#This Row],[COMISIONES]]*0.105</f>
        <v>0</v>
      </c>
      <c r="E19" s="3"/>
      <c r="F19" s="3"/>
      <c r="G19" s="8"/>
      <c r="H19" s="11"/>
      <c r="I19" s="11">
        <f>Tabla3917253531323345363738331323[[#This Row],[COMISIONES]]*0.21</f>
        <v>0</v>
      </c>
      <c r="J19" s="11"/>
      <c r="K19" s="11"/>
      <c r="L19" s="11"/>
      <c r="M19" s="8"/>
      <c r="N19" s="1"/>
      <c r="O19" s="11">
        <f>Tabla351018263641424445464748441424[[#This Row],[COMISIONES]]*0.21</f>
        <v>0</v>
      </c>
      <c r="P19" s="11"/>
      <c r="Q19" s="11"/>
      <c r="R19" s="23"/>
      <c r="S19" s="8"/>
      <c r="T19" s="11"/>
      <c r="U19" s="11">
        <f>Tabla3561119273751525455565758551525[[#This Row],[COMISIONES]]*0.21</f>
        <v>0</v>
      </c>
      <c r="V19" s="11"/>
      <c r="W19" s="11"/>
      <c r="X19" s="11"/>
      <c r="Y19" s="8"/>
      <c r="Z19" s="3"/>
      <c r="AA19" s="11">
        <f>Tabla35681321293971727475767778771727[[#This Row],[COMISIONES]]*0.21</f>
        <v>0</v>
      </c>
      <c r="AB19" s="3"/>
      <c r="AC19" s="1"/>
      <c r="AE19" s="8"/>
      <c r="AF19" s="11"/>
      <c r="AG19" s="11">
        <f>Tabla3568131422304081828485868788881828[[#This Row],[COMISIONES]]*0.21</f>
        <v>0</v>
      </c>
      <c r="AH19" s="11"/>
      <c r="AI19" s="11"/>
      <c r="AJ19" s="11"/>
      <c r="AK19" s="11"/>
      <c r="AL19" s="11">
        <f>Tabla35611192734431121315161718191112131[[#This Row],[COMISIONES]]*0.21</f>
        <v>0</v>
      </c>
      <c r="AM19" s="11"/>
      <c r="AN19" s="11"/>
      <c r="AO19" s="11"/>
    </row>
    <row r="20" spans="2:41" x14ac:dyDescent="0.25">
      <c r="B20" s="3"/>
      <c r="C20" s="2">
        <f>Tabla1316243221222335262728221222[[#This Row],[COMISIONES]]*0.21</f>
        <v>0</v>
      </c>
      <c r="D20" s="3">
        <f>Tabla1316243221222335262728221222[[#This Row],[COMISIONES]]*0.105</f>
        <v>0</v>
      </c>
      <c r="E20" s="3"/>
      <c r="F20" s="3"/>
      <c r="H20" s="11"/>
      <c r="I20" s="11">
        <f>Tabla3917253531323345363738331323[[#This Row],[COMISIONES]]*0.21</f>
        <v>0</v>
      </c>
      <c r="J20" s="11"/>
      <c r="K20" s="11"/>
      <c r="L20" s="11"/>
      <c r="N20" s="1"/>
      <c r="O20" s="11">
        <f>Tabla351018263641424445464748441424[[#This Row],[COMISIONES]]*0.21</f>
        <v>0</v>
      </c>
      <c r="P20" s="11"/>
      <c r="Q20" s="11"/>
      <c r="R20" s="23"/>
      <c r="T20" s="11"/>
      <c r="U20" s="11">
        <f>Tabla3561119273751525455565758551525[[#This Row],[COMISIONES]]*0.21</f>
        <v>0</v>
      </c>
      <c r="V20" s="11"/>
      <c r="W20" s="11"/>
      <c r="X20" s="11"/>
      <c r="Z20" s="3"/>
      <c r="AA20" s="11">
        <f>Tabla35681321293971727475767778771727[[#This Row],[COMISIONES]]*0.21</f>
        <v>0</v>
      </c>
      <c r="AB20" s="11"/>
      <c r="AC20" s="1"/>
      <c r="AF20" s="11"/>
      <c r="AG20" s="11">
        <f>Tabla3568131422304081828485868788881828[[#This Row],[COMISIONES]]*0.21</f>
        <v>0</v>
      </c>
      <c r="AH20" s="11"/>
      <c r="AI20" s="11"/>
      <c r="AJ20" s="11"/>
      <c r="AK20" s="11"/>
      <c r="AL20" s="11">
        <f>Tabla35611192734431121315161718191112131[[#This Row],[COMISIONES]]*0.21</f>
        <v>0</v>
      </c>
      <c r="AM20" s="11"/>
      <c r="AN20" s="11"/>
      <c r="AO20" s="11"/>
    </row>
    <row r="21" spans="2:41" x14ac:dyDescent="0.25">
      <c r="B21" s="3"/>
      <c r="C21" s="2">
        <f>Tabla1316243221222335262728221222[[#This Row],[COMISIONES]]*0.21</f>
        <v>0</v>
      </c>
      <c r="D21" s="3">
        <f>Tabla1316243221222335262728221222[[#This Row],[COMISIONES]]*0.105</f>
        <v>0</v>
      </c>
      <c r="E21" s="3"/>
      <c r="F21" s="3"/>
      <c r="H21" s="11"/>
      <c r="I21" s="11">
        <f>Tabla3917253531323345363738331323[[#This Row],[COMISIONES]]*0.21</f>
        <v>0</v>
      </c>
      <c r="J21" s="11"/>
      <c r="K21" s="11"/>
      <c r="L21" s="11"/>
      <c r="N21" s="11"/>
      <c r="O21" s="11">
        <f>Tabla351018263641424445464748441424[[#This Row],[COMISIONES]]*0.21</f>
        <v>0</v>
      </c>
      <c r="P21" s="11"/>
      <c r="Q21" s="11"/>
      <c r="R21" s="11"/>
      <c r="T21" s="11"/>
      <c r="U21" s="11">
        <f>Tabla3561119273751525455565758551525[[#This Row],[COMISIONES]]*0.21</f>
        <v>0</v>
      </c>
      <c r="V21" s="11"/>
      <c r="W21" s="11"/>
      <c r="X21" s="11"/>
      <c r="Z21" s="3"/>
      <c r="AA21" s="11">
        <f>Tabla35681321293971727475767778771727[[#This Row],[COMISIONES]]*0.21</f>
        <v>0</v>
      </c>
      <c r="AB21" s="11"/>
      <c r="AC21" s="1"/>
      <c r="AF21" s="11"/>
      <c r="AG21" s="11">
        <f>Tabla3568131422304081828485868788881828[[#This Row],[COMISIONES]]*0.21</f>
        <v>0</v>
      </c>
      <c r="AH21" s="11"/>
      <c r="AI21" s="11"/>
      <c r="AJ21" s="11"/>
      <c r="AK21" s="11"/>
      <c r="AL21" s="11">
        <f>Tabla35611192734431121315161718191112131[[#This Row],[COMISIONES]]*0.21</f>
        <v>0</v>
      </c>
      <c r="AM21" s="11"/>
      <c r="AN21" s="11"/>
      <c r="AO21" s="11"/>
    </row>
    <row r="22" spans="2:41" x14ac:dyDescent="0.25">
      <c r="B22" s="3"/>
      <c r="C22" s="2">
        <f>Tabla1316243221222335262728221222[[#This Row],[COMISIONES]]*0.21</f>
        <v>0</v>
      </c>
      <c r="D22" s="3">
        <f>Tabla1316243221222335262728221222[[#This Row],[COMISIONES]]*0.105</f>
        <v>0</v>
      </c>
      <c r="E22" s="3"/>
      <c r="F22" s="3"/>
      <c r="H22" s="11"/>
      <c r="I22" s="11">
        <f>Tabla3917253531323345363738331323[[#This Row],[COMISIONES]]*0.21</f>
        <v>0</v>
      </c>
      <c r="J22" s="11"/>
      <c r="K22" s="11"/>
      <c r="L22" s="11"/>
      <c r="N22" s="11"/>
      <c r="O22" s="11">
        <f>Tabla351018263641424445464748441424[[#This Row],[COMISIONES]]*0.21</f>
        <v>0</v>
      </c>
      <c r="P22" s="11"/>
      <c r="Q22" s="11"/>
      <c r="R22" s="11"/>
      <c r="T22" s="11"/>
      <c r="U22" s="11">
        <f>Tabla3561119273751525455565758551525[[#This Row],[COMISIONES]]*0.21</f>
        <v>0</v>
      </c>
      <c r="V22" s="11"/>
      <c r="W22" s="11"/>
      <c r="X22" s="11"/>
      <c r="Z22" s="3"/>
      <c r="AA22" s="11">
        <f>Tabla35681321293971727475767778771727[[#This Row],[COMISIONES]]*0.21</f>
        <v>0</v>
      </c>
      <c r="AB22" s="29"/>
      <c r="AC22" s="1"/>
      <c r="AD22" s="11"/>
      <c r="AF22" s="11"/>
      <c r="AG22" s="11">
        <f>Tabla3568131422304081828485868788881828[[#This Row],[COMISIONES]]*0.21</f>
        <v>0</v>
      </c>
      <c r="AH22" s="11"/>
      <c r="AI22" s="11"/>
      <c r="AJ22" s="11"/>
      <c r="AK22" s="11"/>
      <c r="AL22" s="11">
        <f>Tabla35611192734431121315161718191112131[[#This Row],[COMISIONES]]*0.21</f>
        <v>0</v>
      </c>
      <c r="AM22" s="11"/>
      <c r="AN22" s="11"/>
      <c r="AO22" s="11"/>
    </row>
    <row r="23" spans="2:41" x14ac:dyDescent="0.25">
      <c r="B23" s="3"/>
      <c r="C23" s="2">
        <f>Tabla1316243221222335262728221222[[#This Row],[COMISIONES]]*0.21</f>
        <v>0</v>
      </c>
      <c r="D23" s="3">
        <f>Tabla1316243221222335262728221222[[#This Row],[COMISIONES]]*0.105</f>
        <v>0</v>
      </c>
      <c r="E23" s="3"/>
      <c r="F23" s="3"/>
      <c r="H23" s="11"/>
      <c r="I23" s="11">
        <f>Tabla3917253531323345363738331323[[#This Row],[COMISIONES]]*0.21</f>
        <v>0</v>
      </c>
      <c r="J23" s="11"/>
      <c r="K23" s="11"/>
      <c r="L23" s="11"/>
      <c r="N23" s="11"/>
      <c r="O23" s="11">
        <f>Tabla351018263641424445464748441424[[#This Row],[COMISIONES]]*0.21</f>
        <v>0</v>
      </c>
      <c r="P23" s="11"/>
      <c r="Q23" s="11"/>
      <c r="R23" s="11"/>
      <c r="T23" s="11"/>
      <c r="U23" s="11">
        <f>Tabla3561119273751525455565758551525[[#This Row],[COMISIONES]]*0.21</f>
        <v>0</v>
      </c>
      <c r="V23" s="11"/>
      <c r="W23" s="11"/>
      <c r="X23" s="11"/>
      <c r="Z23" s="3"/>
      <c r="AA23" s="11"/>
      <c r="AB23" s="3">
        <f>Tabla35681321293971727475767778771727[[#This Row],[COMISIONES]]*0.105</f>
        <v>0</v>
      </c>
      <c r="AC23" s="1"/>
      <c r="AD23" s="11"/>
      <c r="AF23" s="11"/>
      <c r="AG23" s="11">
        <f>Tabla3568131422304081828485868788881828[[#This Row],[COMISIONES]]*0.21</f>
        <v>0</v>
      </c>
      <c r="AH23" s="11"/>
      <c r="AI23" s="11"/>
      <c r="AJ23" s="11"/>
      <c r="AK23" s="11"/>
      <c r="AL23" s="11">
        <f>Tabla35611192734431121315161718191112131[[#This Row],[COMISIONES]]*0.21</f>
        <v>0</v>
      </c>
      <c r="AM23" s="11"/>
      <c r="AN23" s="11"/>
      <c r="AO23" s="11"/>
    </row>
    <row r="24" spans="2:41" x14ac:dyDescent="0.25">
      <c r="B24" s="3"/>
      <c r="C24" s="2">
        <f>Tabla1316243221222335262728221222[[#This Row],[COMISIONES]]*0.21</f>
        <v>0</v>
      </c>
      <c r="D24" s="3">
        <f>Tabla1316243221222335262728221222[[#This Row],[COMISIONES]]*0.105</f>
        <v>0</v>
      </c>
      <c r="E24" s="3"/>
      <c r="F24" s="3"/>
      <c r="H24" s="11"/>
      <c r="I24" s="11">
        <f>Tabla3917253531323345363738331323[[#This Row],[COMISIONES]]*0.21</f>
        <v>0</v>
      </c>
      <c r="J24" s="11"/>
      <c r="K24" s="11"/>
      <c r="L24" s="11"/>
      <c r="N24" s="11"/>
      <c r="O24" s="11">
        <f>Tabla351018263641424445464748441424[[#This Row],[COMISIONES]]*0.21</f>
        <v>0</v>
      </c>
      <c r="P24" s="11"/>
      <c r="Q24" s="11"/>
      <c r="R24" s="11"/>
      <c r="T24" s="11"/>
      <c r="U24" s="11">
        <f>Tabla3561119273751525455565758551525[[#This Row],[COMISIONES]]*0.21</f>
        <v>0</v>
      </c>
      <c r="V24" s="11"/>
      <c r="W24" s="11"/>
      <c r="X24" s="11"/>
      <c r="Z24" s="3"/>
      <c r="AA24" s="11">
        <f>Tabla35681321293971727475767778771727[[#This Row],[COMISIONES]]*0.21</f>
        <v>0</v>
      </c>
      <c r="AB24" s="11"/>
      <c r="AC24" s="1"/>
      <c r="AD24" s="11"/>
      <c r="AF24" s="11"/>
      <c r="AG24" s="11">
        <f>Tabla3568131422304081828485868788881828[[#This Row],[COMISIONES]]*0.21</f>
        <v>0</v>
      </c>
      <c r="AH24" s="11"/>
      <c r="AI24" s="11"/>
      <c r="AJ24" s="11"/>
      <c r="AK24" s="11"/>
      <c r="AL24" s="11">
        <f>Tabla35611192734431121315161718191112131[[#This Row],[COMISIONES]]*0.21</f>
        <v>0</v>
      </c>
      <c r="AM24" s="11"/>
      <c r="AN24" s="11"/>
      <c r="AO24" s="11"/>
    </row>
    <row r="25" spans="2:41" x14ac:dyDescent="0.25">
      <c r="B25" s="3"/>
      <c r="C25" s="2">
        <f>Tabla1316243221222335262728221222[[#This Row],[COMISIONES]]*0.21</f>
        <v>0</v>
      </c>
      <c r="D25" s="3">
        <f>Tabla1316243221222335262728221222[[#This Row],[COMISIONES]]*0.105</f>
        <v>0</v>
      </c>
      <c r="E25" s="3"/>
      <c r="F25" s="3"/>
      <c r="H25" s="11"/>
      <c r="I25" s="11">
        <f>Tabla3917253531323345363738331323[[#This Row],[COMISIONES]]*0.21</f>
        <v>0</v>
      </c>
      <c r="J25" s="11"/>
      <c r="K25" s="11"/>
      <c r="L25" s="11"/>
      <c r="N25" s="11"/>
      <c r="O25" s="11">
        <f>Tabla351018263641424445464748441424[[#This Row],[COMISIONES]]*0.21</f>
        <v>0</v>
      </c>
      <c r="P25" s="11"/>
      <c r="Q25" s="11"/>
      <c r="R25" s="11"/>
      <c r="T25" s="11"/>
      <c r="U25" s="11">
        <f>Tabla3561119273751525455565758551525[[#This Row],[COMISIONES]]*0.21</f>
        <v>0</v>
      </c>
      <c r="V25" s="11"/>
      <c r="W25" s="11"/>
      <c r="X25" s="11"/>
      <c r="Z25" s="3"/>
      <c r="AA25" s="11">
        <f>Tabla35681321293971727475767778771727[[#This Row],[COMISIONES]]*0.21</f>
        <v>0</v>
      </c>
      <c r="AB25" s="11"/>
      <c r="AC25" s="1"/>
      <c r="AD25" s="11"/>
      <c r="AF25" s="11"/>
      <c r="AG25" s="11">
        <f>Tabla3568131422304081828485868788881828[[#This Row],[COMISIONES]]*0.21</f>
        <v>0</v>
      </c>
      <c r="AH25" s="11"/>
      <c r="AI25" s="11"/>
      <c r="AJ25" s="11"/>
      <c r="AK25" s="11"/>
      <c r="AL25" s="11">
        <f>Tabla35611192734431121315161718191112131[[#This Row],[COMISIONES]]*0.21</f>
        <v>0</v>
      </c>
      <c r="AM25" s="11"/>
      <c r="AN25" s="11"/>
      <c r="AO25" s="11"/>
    </row>
    <row r="26" spans="2:41" x14ac:dyDescent="0.25">
      <c r="B26" s="3"/>
      <c r="C26" s="2">
        <f>Tabla1316243221222335262728221222[[#This Row],[COMISIONES]]*0.21</f>
        <v>0</v>
      </c>
      <c r="D26" s="3">
        <f>Tabla1316243221222335262728221222[[#This Row],[COMISIONES]]*0.105</f>
        <v>0</v>
      </c>
      <c r="E26" s="3"/>
      <c r="F26" s="3"/>
      <c r="H26" s="11"/>
      <c r="I26" s="11">
        <f>Tabla3917253531323345363738331323[[#This Row],[COMISIONES]]*0.21</f>
        <v>0</v>
      </c>
      <c r="J26" s="11"/>
      <c r="K26" s="11"/>
      <c r="L26" s="11"/>
      <c r="N26" s="11"/>
      <c r="O26" s="11">
        <f>Tabla351018263641424445464748441424[[#This Row],[COMISIONES]]*0.21</f>
        <v>0</v>
      </c>
      <c r="P26" s="11"/>
      <c r="Q26" s="11"/>
      <c r="R26" s="11"/>
      <c r="T26" s="11"/>
      <c r="U26" s="11">
        <f>Tabla3561119273751525455565758551525[[#This Row],[COMISIONES]]*0.21</f>
        <v>0</v>
      </c>
      <c r="V26" s="11"/>
      <c r="W26" s="11"/>
      <c r="X26" s="11"/>
      <c r="Z26" s="3"/>
      <c r="AA26" s="11">
        <f>Tabla35681321293971727475767778771727[[#This Row],[COMISIONES]]*0.21</f>
        <v>0</v>
      </c>
      <c r="AB26" s="11"/>
      <c r="AC26" s="1"/>
      <c r="AD26" s="11"/>
      <c r="AF26" s="4">
        <f>SUBTOTAL(109,Tabla3568131422304081828485868788881828[COMISIONES])</f>
        <v>0</v>
      </c>
      <c r="AG26" s="4">
        <f>SUBTOTAL(109,Tabla3568131422304081828485868788881828[IVA 21])</f>
        <v>0</v>
      </c>
      <c r="AH26" s="4">
        <f>SUBTOTAL(109,Tabla3568131422304081828485868788881828[IVA 10,5])</f>
        <v>0</v>
      </c>
      <c r="AI26" s="4">
        <f>SUBTOTAL(109,Tabla3568131422304081828485868788881828[Ret IIBB Caba])</f>
        <v>0</v>
      </c>
      <c r="AJ26" s="4">
        <f>SUBTOTAL(109,Tabla3568131422304081828485868788881828[PERC IVA])</f>
        <v>0</v>
      </c>
      <c r="AK26" s="11"/>
      <c r="AL26" s="11">
        <f>Tabla35611192734431121315161718191112131[[#This Row],[COMISIONES]]*0.21</f>
        <v>0</v>
      </c>
      <c r="AM26" s="11"/>
      <c r="AN26" s="11"/>
      <c r="AO26" s="11"/>
    </row>
    <row r="27" spans="2:41" x14ac:dyDescent="0.25">
      <c r="B27" s="3"/>
      <c r="C27" s="2">
        <f>Tabla1316243221222335262728221222[[#This Row],[COMISIONES]]*0.21</f>
        <v>0</v>
      </c>
      <c r="D27" s="3">
        <f>Tabla1316243221222335262728221222[[#This Row],[COMISIONES]]*0.105</f>
        <v>0</v>
      </c>
      <c r="E27" s="3"/>
      <c r="F27" s="3"/>
      <c r="H27" s="11"/>
      <c r="I27" s="11">
        <f>Tabla3917253531323345363738331323[[#This Row],[COMISIONES]]*0.21</f>
        <v>0</v>
      </c>
      <c r="J27" s="11"/>
      <c r="K27" s="11"/>
      <c r="L27" s="11"/>
      <c r="N27" s="11"/>
      <c r="O27" s="11">
        <f>Tabla351018263641424445464748441424[[#This Row],[COMISIONES]]*0.21</f>
        <v>0</v>
      </c>
      <c r="P27" s="11"/>
      <c r="Q27" s="11"/>
      <c r="R27" s="11"/>
      <c r="T27" s="11"/>
      <c r="U27" s="11">
        <f>Tabla3561119273751525455565758551525[[#This Row],[COMISIONES]]*0.21</f>
        <v>0</v>
      </c>
      <c r="V27" s="11"/>
      <c r="W27" s="11"/>
      <c r="X27" s="11"/>
      <c r="Z27" s="3"/>
      <c r="AA27" s="11">
        <f>Tabla35681321293971727475767778771727[[#This Row],[COMISIONES]]*0.21</f>
        <v>0</v>
      </c>
      <c r="AB27" s="11" t="s">
        <v>18</v>
      </c>
      <c r="AC27" s="1"/>
      <c r="AK27" s="11"/>
      <c r="AL27" s="11">
        <f>Tabla35611192734431121315161718191112131[[#This Row],[COMISIONES]]*0.21</f>
        <v>0</v>
      </c>
      <c r="AM27" s="11"/>
      <c r="AN27" s="11"/>
      <c r="AO27" s="11"/>
    </row>
    <row r="28" spans="2:41" x14ac:dyDescent="0.25">
      <c r="B28" s="3"/>
      <c r="C28" s="2">
        <f>Tabla1316243221222335262728221222[[#This Row],[COMISIONES]]*0.21</f>
        <v>0</v>
      </c>
      <c r="D28" s="3">
        <f>Tabla1316243221222335262728221222[[#This Row],[COMISIONES]]*0.105</f>
        <v>0</v>
      </c>
      <c r="E28" s="3"/>
      <c r="F28" s="3"/>
      <c r="H28" s="11"/>
      <c r="I28" s="11">
        <f>Tabla3917253531323345363738331323[[#This Row],[COMISIONES]]*0.21</f>
        <v>0</v>
      </c>
      <c r="J28" s="11"/>
      <c r="K28" s="11"/>
      <c r="L28" s="11"/>
      <c r="N28" s="11"/>
      <c r="O28" s="11">
        <f>Tabla351018263641424445464748441424[[#This Row],[COMISIONES]]*0.21</f>
        <v>0</v>
      </c>
      <c r="P28" s="11"/>
      <c r="Q28" s="11"/>
      <c r="R28" s="11"/>
      <c r="T28" s="11"/>
      <c r="U28" s="11">
        <f>Tabla3561119273751525455565758551525[[#This Row],[COMISIONES]]*0.21</f>
        <v>0</v>
      </c>
      <c r="V28" s="11"/>
      <c r="W28" s="11"/>
      <c r="X28" s="11"/>
      <c r="Z28" s="3"/>
      <c r="AA28" s="11">
        <f>Tabla35681321293971727475767778771727[[#This Row],[COMISIONES]]*0.21</f>
        <v>0</v>
      </c>
      <c r="AB28" s="1"/>
      <c r="AC28" s="1"/>
      <c r="AD28" s="11"/>
      <c r="AK28" s="11"/>
      <c r="AL28" s="11">
        <f>Tabla35611192734431121315161718191112131[[#This Row],[COMISIONES]]*0.21</f>
        <v>0</v>
      </c>
      <c r="AM28" s="11"/>
      <c r="AN28" s="11"/>
      <c r="AO28" s="11"/>
    </row>
    <row r="29" spans="2:41" x14ac:dyDescent="0.25">
      <c r="B29" s="3"/>
      <c r="C29" s="2">
        <f>Tabla1316243221222335262728221222[[#This Row],[COMISIONES]]*0.21</f>
        <v>0</v>
      </c>
      <c r="D29" s="3">
        <f>Tabla1316243221222335262728221222[[#This Row],[COMISIONES]]*0.105</f>
        <v>0</v>
      </c>
      <c r="E29" s="3"/>
      <c r="F29" s="3"/>
      <c r="H29" s="11"/>
      <c r="I29" s="11">
        <f>Tabla3917253531323345363738331323[[#This Row],[COMISIONES]]*0.21</f>
        <v>0</v>
      </c>
      <c r="J29" s="11"/>
      <c r="K29" s="11"/>
      <c r="L29" s="11"/>
      <c r="N29" s="11"/>
      <c r="O29" s="11">
        <f>Tabla351018263641424445464748441424[[#This Row],[COMISIONES]]*0.21</f>
        <v>0</v>
      </c>
      <c r="P29" s="11"/>
      <c r="Q29" s="11"/>
      <c r="R29" s="11"/>
      <c r="T29" s="18"/>
      <c r="U29" s="18">
        <f>Tabla3561119273751525455565758551525[[#This Row],[COMISIONES]]*0.21</f>
        <v>0</v>
      </c>
      <c r="V29" s="18"/>
      <c r="W29" s="18"/>
      <c r="X29" s="18"/>
      <c r="Z29" s="3"/>
      <c r="AA29" s="11">
        <f>Tabla35681321293971727475767778771727[[#This Row],[COMISIONES]]*0.21</f>
        <v>0</v>
      </c>
      <c r="AB29" s="1"/>
      <c r="AD29" s="11"/>
      <c r="AK29" s="18"/>
      <c r="AL29" s="18">
        <f>Tabla35611192734431121315161718191112131[[#This Row],[COMISIONES]]*0.21</f>
        <v>0</v>
      </c>
      <c r="AM29" s="18"/>
      <c r="AN29" s="18"/>
      <c r="AO29" s="18"/>
    </row>
    <row r="30" spans="2:41" x14ac:dyDescent="0.25">
      <c r="B30" s="3"/>
      <c r="C30" s="2">
        <f>Tabla1316243221222335262728221222[[#This Row],[COMISIONES]]*0.21</f>
        <v>0</v>
      </c>
      <c r="D30" s="3">
        <f>Tabla1316243221222335262728221222[[#This Row],[COMISIONES]]*0.105</f>
        <v>0</v>
      </c>
      <c r="E30" s="3"/>
      <c r="F30" s="3"/>
      <c r="H30" s="11"/>
      <c r="I30" s="11">
        <f>Tabla3917253531323345363738331323[[#This Row],[COMISIONES]]*0.21</f>
        <v>0</v>
      </c>
      <c r="J30" s="11"/>
      <c r="K30" s="11"/>
      <c r="L30" s="11"/>
      <c r="N30" s="11"/>
      <c r="O30" s="11">
        <f>Tabla351018263641424445464748441424[[#This Row],[COMISIONES]]*0.21</f>
        <v>0</v>
      </c>
      <c r="P30" s="11"/>
      <c r="Q30" s="11"/>
      <c r="R30" s="11"/>
      <c r="T30" s="18"/>
      <c r="U30" s="18">
        <f>Tabla3561119273751525455565758551525[[#This Row],[COMISIONES]]*0.21</f>
        <v>0</v>
      </c>
      <c r="V30" s="18"/>
      <c r="W30" s="18"/>
      <c r="X30" s="18"/>
      <c r="Z30" s="3"/>
      <c r="AA30" s="11">
        <f>Tabla35681321293971727475767778771727[[#This Row],[COMISIONES]]*0.21</f>
        <v>0</v>
      </c>
      <c r="AB30" s="11"/>
      <c r="AC30" s="11"/>
      <c r="AD30" s="11"/>
      <c r="AK30" s="18"/>
      <c r="AL30" s="18">
        <f>Tabla35611192734431121315161718191112131[[#This Row],[COMISIONES]]*0.21</f>
        <v>0</v>
      </c>
      <c r="AM30" s="18"/>
      <c r="AN30" s="18"/>
      <c r="AO30" s="18"/>
    </row>
    <row r="31" spans="2:41" x14ac:dyDescent="0.25">
      <c r="B31" s="3"/>
      <c r="C31" s="2">
        <f>Tabla1316243221222335262728221222[[#This Row],[COMISIONES]]*0.21</f>
        <v>0</v>
      </c>
      <c r="D31" s="3">
        <f>Tabla1316243221222335262728221222[[#This Row],[COMISIONES]]*0.105</f>
        <v>0</v>
      </c>
      <c r="E31" s="1"/>
      <c r="F31" s="3"/>
      <c r="H31" s="11"/>
      <c r="I31" s="11">
        <f>Tabla3917253531323345363738331323[[#This Row],[COMISIONES]]*0.21</f>
        <v>0</v>
      </c>
      <c r="J31" s="11"/>
      <c r="K31" s="11"/>
      <c r="L31" s="11"/>
      <c r="N31" s="11"/>
      <c r="O31" s="11">
        <f>Tabla351018263641424445464748441424[[#This Row],[COMISIONES]]*0.21</f>
        <v>0</v>
      </c>
      <c r="P31" s="11"/>
      <c r="Q31" s="11"/>
      <c r="R31" s="11"/>
      <c r="T31" s="4">
        <f>SUBTOTAL(109,Tabla3561119273751525455565758551525[COMISIONES])</f>
        <v>38000</v>
      </c>
      <c r="U31" s="4">
        <f>SUBTOTAL(109,Tabla3561119273751525455565758551525[IVA 21])</f>
        <v>7980</v>
      </c>
      <c r="V31" s="4">
        <f>SUBTOTAL(109,Tabla3561119273751525455565758551525[IVA 10,5])</f>
        <v>0</v>
      </c>
      <c r="W31" s="4">
        <f>SUBTOTAL(109,Tabla3561119273751525455565758551525[Ret IIBB Caba])</f>
        <v>732383.52</v>
      </c>
      <c r="X31" s="4">
        <f>SUBTOTAL(109,Tabla3561119273751525455565758551525[PERC IVA])</f>
        <v>1140</v>
      </c>
      <c r="Z31" s="3"/>
      <c r="AA31" s="11"/>
      <c r="AB31" s="11">
        <f>Tabla35681321293971727475767778771727[[#This Row],[COMISIONES]]*0.105</f>
        <v>0</v>
      </c>
      <c r="AC31" s="1"/>
      <c r="AK31" s="4">
        <f>SUBTOTAL(109,Tabla35611192734431121315161718191112131[COMISIONES])</f>
        <v>3966.94</v>
      </c>
      <c r="AL31" s="4">
        <f>SUBTOTAL(109,Tabla35611192734431121315161718191112131[IVA 21])</f>
        <v>833.05740000000003</v>
      </c>
      <c r="AM31" s="4">
        <f>SUBTOTAL(109,Tabla35611192734431121315161718191112131[IVA 10,5])</f>
        <v>0</v>
      </c>
      <c r="AN31" s="4">
        <f>SUBTOTAL(109,Tabla35611192734431121315161718191112131[Ret IIBB Caba])</f>
        <v>465.52</v>
      </c>
      <c r="AO31" s="4">
        <f>SUBTOTAL(109,Tabla35611192734431121315161718191112131[PERC IVA])</f>
        <v>119.01</v>
      </c>
    </row>
    <row r="32" spans="2:41" ht="18.75" x14ac:dyDescent="0.3">
      <c r="B32" s="3"/>
      <c r="C32" s="2">
        <f>Tabla1316243221222335262728221222[[#This Row],[COMISIONES]]*0.21</f>
        <v>0</v>
      </c>
      <c r="D32" s="3">
        <f>Tabla1316243221222335262728221222[[#This Row],[COMISIONES]]*0.105</f>
        <v>0</v>
      </c>
      <c r="E32" s="3"/>
      <c r="F32" s="3"/>
      <c r="H32" s="11"/>
      <c r="I32" s="11">
        <f>Tabla3917253531323345363738331323[[#This Row],[COMISIONES]]*0.21</f>
        <v>0</v>
      </c>
      <c r="J32" s="11"/>
      <c r="K32" s="11"/>
      <c r="L32" s="11"/>
      <c r="N32" s="11"/>
      <c r="O32" s="11">
        <f>Tabla351018263641424445464748441424[[#This Row],[COMISIONES]]*0.21</f>
        <v>0</v>
      </c>
      <c r="P32" s="11"/>
      <c r="Q32" s="11"/>
      <c r="R32" s="11"/>
      <c r="T32" s="52" t="s">
        <v>9</v>
      </c>
      <c r="U32" s="52"/>
      <c r="V32" s="52"/>
      <c r="W32" s="52"/>
      <c r="X32" s="52"/>
      <c r="Z32" s="3"/>
      <c r="AA32" s="11">
        <f>Tabla35681321293971727475767778771727[[#This Row],[COMISIONES]]*0.21</f>
        <v>0</v>
      </c>
      <c r="AB32" s="1"/>
      <c r="AC32" s="11"/>
      <c r="AD32" s="11"/>
    </row>
    <row r="33" spans="2:31" x14ac:dyDescent="0.25">
      <c r="B33" s="3"/>
      <c r="C33" s="2">
        <f>Tabla1316243221222335262728221222[[#This Row],[COMISIONES]]*0.21</f>
        <v>0</v>
      </c>
      <c r="D33" s="3">
        <f>Tabla1316243221222335262728221222[[#This Row],[COMISIONES]]*0.105</f>
        <v>0</v>
      </c>
      <c r="E33" s="3"/>
      <c r="F33" s="3"/>
      <c r="H33" s="11"/>
      <c r="I33" s="11">
        <f>Tabla3917253531323345363738331323[[#This Row],[COMISIONES]]*0.21</f>
        <v>0</v>
      </c>
      <c r="J33" s="11"/>
      <c r="K33" s="11"/>
      <c r="L33" s="11"/>
      <c r="N33" s="11"/>
      <c r="O33" s="11">
        <f>Tabla351018263641424445464748441424[[#This Row],[COMISIONES]]*0.21</f>
        <v>0</v>
      </c>
      <c r="P33" s="11"/>
      <c r="Q33" s="11"/>
      <c r="R33" s="11"/>
      <c r="T33" s="12" t="s">
        <v>2</v>
      </c>
      <c r="U33" s="13" t="s">
        <v>0</v>
      </c>
      <c r="V33" s="13" t="s">
        <v>1</v>
      </c>
      <c r="W33" s="13" t="s">
        <v>3</v>
      </c>
      <c r="X33" s="13" t="s">
        <v>4</v>
      </c>
      <c r="Z33" s="3"/>
      <c r="AA33" s="11">
        <f>Tabla35681321293971727475767778771727[[#This Row],[COMISIONES]]*0.21</f>
        <v>0</v>
      </c>
      <c r="AB33" s="29"/>
      <c r="AC33" s="11"/>
      <c r="AD33" s="11"/>
    </row>
    <row r="34" spans="2:31" x14ac:dyDescent="0.25">
      <c r="B34" s="3"/>
      <c r="C34" s="2">
        <f>Tabla1316243221222335262728221222[[#This Row],[COMISIONES]]*0.21</f>
        <v>0</v>
      </c>
      <c r="D34" s="3">
        <f>Tabla1316243221222335262728221222[[#This Row],[COMISIONES]]*0.105</f>
        <v>0</v>
      </c>
      <c r="E34" s="3"/>
      <c r="F34" s="3"/>
      <c r="H34" s="11"/>
      <c r="I34" s="11">
        <f>Tabla3917253531323345363738331323[[#This Row],[COMISIONES]]*0.21</f>
        <v>0</v>
      </c>
      <c r="J34" s="11"/>
      <c r="K34" s="11"/>
      <c r="L34" s="11"/>
      <c r="N34" s="11"/>
      <c r="O34" s="11">
        <f>Tabla351018263641424445464748441424[[#This Row],[COMISIONES]]*0.21</f>
        <v>0</v>
      </c>
      <c r="P34" s="11"/>
      <c r="Q34" s="11"/>
      <c r="R34" s="11"/>
      <c r="T34" s="11">
        <v>10</v>
      </c>
      <c r="U34" s="11">
        <f>Tabla61220283861626465666768661626[[#This Row],[COMISIONES]]*0.21</f>
        <v>2.1</v>
      </c>
      <c r="V34" s="11"/>
      <c r="W34" s="11">
        <v>1502.05</v>
      </c>
      <c r="X34" s="11">
        <v>375.51</v>
      </c>
      <c r="Z34" s="3"/>
      <c r="AA34" s="11" t="s">
        <v>18</v>
      </c>
      <c r="AB34" s="11">
        <f>Tabla35681321293971727475767778771727[[#This Row],[COMISIONES]]*0.105</f>
        <v>0</v>
      </c>
      <c r="AC34" s="11"/>
      <c r="AD34" s="11"/>
    </row>
    <row r="35" spans="2:31" x14ac:dyDescent="0.25">
      <c r="B35" s="3"/>
      <c r="C35" s="2">
        <f>Tabla1316243221222335262728221222[[#This Row],[COMISIONES]]*0.21</f>
        <v>0</v>
      </c>
      <c r="D35" s="3">
        <f>Tabla1316243221222335262728221222[[#This Row],[COMISIONES]]*0.105</f>
        <v>0</v>
      </c>
      <c r="E35" s="3"/>
      <c r="F35" s="3"/>
      <c r="H35" s="11"/>
      <c r="I35" s="11">
        <f>Tabla3917253531323345363738331323[[#This Row],[COMISIONES]]*0.21</f>
        <v>0</v>
      </c>
      <c r="J35" s="11"/>
      <c r="K35" s="11"/>
      <c r="L35" s="11"/>
      <c r="N35" s="11"/>
      <c r="O35" s="11">
        <f>Tabla351018263641424445464748441424[[#This Row],[COMISIONES]]*0.21</f>
        <v>0</v>
      </c>
      <c r="P35" s="11"/>
      <c r="Q35" s="11"/>
      <c r="R35" s="11"/>
      <c r="T35" s="11">
        <v>39900</v>
      </c>
      <c r="U35" s="11">
        <f>Tabla61220283861626465666768661626[[#This Row],[COMISIONES]]*0.21</f>
        <v>8379</v>
      </c>
      <c r="V35" s="11"/>
      <c r="W35" s="11">
        <v>2394</v>
      </c>
      <c r="X35" s="11">
        <v>1197</v>
      </c>
      <c r="Z35" s="3"/>
      <c r="AA35" s="11">
        <f>Tabla35681321293971727475767778771727[[#This Row],[COMISIONES]]*0.21</f>
        <v>0</v>
      </c>
      <c r="AB35" s="11"/>
      <c r="AC35" s="11"/>
      <c r="AD35" s="11"/>
    </row>
    <row r="36" spans="2:31" x14ac:dyDescent="0.25">
      <c r="B36" s="3"/>
      <c r="C36" s="2">
        <f>Tabla1316243221222335262728221222[[#This Row],[COMISIONES]]*0.21</f>
        <v>0</v>
      </c>
      <c r="D36" s="3">
        <f>Tabla1316243221222335262728221222[[#This Row],[COMISIONES]]*0.105</f>
        <v>0</v>
      </c>
      <c r="E36" s="3"/>
      <c r="F36" s="3"/>
      <c r="H36" s="11"/>
      <c r="I36" s="11">
        <f>Tabla3917253531323345363738331323[[#This Row],[COMISIONES]]*0.21</f>
        <v>0</v>
      </c>
      <c r="J36" s="11"/>
      <c r="K36" s="11"/>
      <c r="L36" s="11"/>
      <c r="N36" s="11"/>
      <c r="O36" s="11">
        <f>Tabla351018263641424445464748441424[[#This Row],[COMISIONES]]*0.21</f>
        <v>0</v>
      </c>
      <c r="P36" s="11"/>
      <c r="Q36" s="11"/>
      <c r="R36" s="11"/>
      <c r="T36" s="11">
        <v>52300</v>
      </c>
      <c r="U36" s="11">
        <f>Tabla61220283861626465666768661626[[#This Row],[COMISIONES]]*0.21</f>
        <v>10983</v>
      </c>
      <c r="V36" s="19" t="s">
        <v>18</v>
      </c>
      <c r="W36" s="3">
        <v>3138</v>
      </c>
      <c r="X36" s="3">
        <v>1569</v>
      </c>
      <c r="Z36" s="3"/>
      <c r="AA36" s="11">
        <f>Tabla35681321293971727475767778771727[[#This Row],[COMISIONES]]*0.21</f>
        <v>0</v>
      </c>
      <c r="AB36" s="1"/>
      <c r="AC36" s="11"/>
      <c r="AD36" s="11"/>
    </row>
    <row r="37" spans="2:31" x14ac:dyDescent="0.25">
      <c r="B37" s="3"/>
      <c r="C37" s="2">
        <f>Tabla1316243221222335262728221222[[#This Row],[COMISIONES]]*0.21</f>
        <v>0</v>
      </c>
      <c r="D37" s="3">
        <f>Tabla1316243221222335262728221222[[#This Row],[COMISIONES]]*0.105</f>
        <v>0</v>
      </c>
      <c r="E37" s="3"/>
      <c r="F37" s="3"/>
      <c r="H37" s="11"/>
      <c r="I37" s="11">
        <f>Tabla3917253531323345363738331323[[#This Row],[COMISIONES]]*0.21</f>
        <v>0</v>
      </c>
      <c r="J37" s="11"/>
      <c r="K37" s="11"/>
      <c r="L37" s="11"/>
      <c r="N37" s="11"/>
      <c r="O37" s="11">
        <f>Tabla351018263641424445464748441424[[#This Row],[COMISIONES]]*0.21</f>
        <v>0</v>
      </c>
      <c r="P37" s="11"/>
      <c r="Q37" s="11"/>
      <c r="R37" s="11"/>
      <c r="T37" s="11">
        <v>300</v>
      </c>
      <c r="U37" s="19">
        <f>Tabla61220283861626465666768661626[[#This Row],[COMISIONES]]*0.21</f>
        <v>63</v>
      </c>
      <c r="Z37" s="3"/>
      <c r="AA37" s="11">
        <f>Tabla35681321293971727475767778771727[[#This Row],[COMISIONES]]*0.21</f>
        <v>0</v>
      </c>
      <c r="AB37" s="11"/>
      <c r="AC37" s="21"/>
      <c r="AD37" s="22"/>
    </row>
    <row r="38" spans="2:31" x14ac:dyDescent="0.25">
      <c r="B38" s="3"/>
      <c r="C38" s="2">
        <f>Tabla1316243221222335262728221222[[#This Row],[COMISIONES]]*0.21</f>
        <v>0</v>
      </c>
      <c r="D38" s="3">
        <f>Tabla1316243221222335262728221222[[#This Row],[COMISIONES]]*0.105</f>
        <v>0</v>
      </c>
      <c r="E38" s="3"/>
      <c r="F38" s="3"/>
      <c r="H38" s="11"/>
      <c r="I38" s="11">
        <f>Tabla3917253531323345363738331323[[#This Row],[COMISIONES]]*0.21</f>
        <v>0</v>
      </c>
      <c r="J38" s="11"/>
      <c r="K38" s="11"/>
      <c r="L38" s="11"/>
      <c r="N38" s="11"/>
      <c r="O38" s="11">
        <f>Tabla351018263641424445464748441424[[#This Row],[COMISIONES]]*0.21</f>
        <v>0</v>
      </c>
      <c r="P38" s="11"/>
      <c r="Q38" s="11"/>
      <c r="R38" s="11"/>
      <c r="T38" s="11">
        <v>300</v>
      </c>
      <c r="U38" s="19">
        <f>Tabla61220283861626465666768661626[[#This Row],[COMISIONES]]*0.21</f>
        <v>63</v>
      </c>
      <c r="Z38" s="3"/>
      <c r="AA38" s="11">
        <f>Tabla35681321293971727475767778771727[[#This Row],[COMISIONES]]*0.21</f>
        <v>0</v>
      </c>
      <c r="AB38" s="1"/>
      <c r="AC38" s="1"/>
    </row>
    <row r="39" spans="2:31" x14ac:dyDescent="0.25">
      <c r="B39" s="3"/>
      <c r="C39" s="2">
        <f>Tabla1316243221222335262728221222[[#This Row],[COMISIONES]]*0.21</f>
        <v>0</v>
      </c>
      <c r="D39" s="3">
        <f>Tabla1316243221222335262728221222[[#This Row],[COMISIONES]]*0.105</f>
        <v>0</v>
      </c>
      <c r="E39" s="3"/>
      <c r="F39" s="3"/>
      <c r="H39" s="11"/>
      <c r="I39" s="11">
        <f>Tabla3917253531323345363738331323[[#This Row],[COMISIONES]]*0.21</f>
        <v>0</v>
      </c>
      <c r="J39" s="11"/>
      <c r="K39" s="11"/>
      <c r="L39" s="11"/>
      <c r="N39" s="11"/>
      <c r="O39" s="11">
        <f>Tabla351018263641424445464748441424[[#This Row],[COMISIONES]]*0.21</f>
        <v>0</v>
      </c>
      <c r="P39" s="11"/>
      <c r="Q39" s="11"/>
      <c r="R39" s="11"/>
      <c r="T39" s="11">
        <v>300</v>
      </c>
      <c r="U39" s="19">
        <f>Tabla61220283861626465666768661626[[#This Row],[COMISIONES]]*0.21</f>
        <v>63</v>
      </c>
      <c r="V39" s="19"/>
      <c r="Z39" s="3"/>
      <c r="AA39" s="11">
        <f>Tabla35681321293971727475767778771727[[#This Row],[COMISIONES]]*0.21</f>
        <v>0</v>
      </c>
      <c r="AB39" s="21"/>
      <c r="AC39" s="21"/>
      <c r="AD39" s="21"/>
    </row>
    <row r="40" spans="2:31" x14ac:dyDescent="0.25">
      <c r="B40" s="3"/>
      <c r="C40" s="2">
        <f>Tabla1316243221222335262728221222[[#This Row],[COMISIONES]]*0.21</f>
        <v>0</v>
      </c>
      <c r="D40" s="3">
        <f>Tabla1316243221222335262728221222[[#This Row],[COMISIONES]]*0.105</f>
        <v>0</v>
      </c>
      <c r="E40" s="3"/>
      <c r="F40" s="3"/>
      <c r="H40" s="11"/>
      <c r="I40" s="11">
        <f>Tabla3917253531323345363738331323[[#This Row],[COMISIONES]]*0.21</f>
        <v>0</v>
      </c>
      <c r="J40" s="11"/>
      <c r="K40" s="11"/>
      <c r="L40" s="11"/>
      <c r="N40" s="11"/>
      <c r="O40" s="11">
        <f>Tabla351018263641424445464748441424[[#This Row],[COMISIONES]]*0.21</f>
        <v>0</v>
      </c>
      <c r="P40" s="11"/>
      <c r="Q40" s="11"/>
      <c r="R40" s="11"/>
      <c r="T40" s="11">
        <v>300</v>
      </c>
      <c r="U40" s="19">
        <f>Tabla61220283861626465666768661626[[#This Row],[COMISIONES]]*0.21</f>
        <v>63</v>
      </c>
      <c r="Z40" s="3"/>
      <c r="AA40" s="11">
        <f>Tabla35681321293971727475767778771727[[#This Row],[COMISIONES]]*0.21</f>
        <v>0</v>
      </c>
      <c r="AB40" s="21"/>
      <c r="AC40" s="21"/>
      <c r="AD40" s="21"/>
    </row>
    <row r="41" spans="2:31" x14ac:dyDescent="0.25">
      <c r="B41" s="3"/>
      <c r="C41" s="2">
        <f>Tabla1316243221222335262728221222[[#This Row],[COMISIONES]]*0.21</f>
        <v>0</v>
      </c>
      <c r="D41" s="3">
        <f>Tabla1316243221222335262728221222[[#This Row],[COMISIONES]]*0.105</f>
        <v>0</v>
      </c>
      <c r="E41" s="3"/>
      <c r="F41" s="3"/>
      <c r="H41" s="18"/>
      <c r="I41" s="18">
        <f>Tabla3917253531323345363738331323[[#This Row],[COMISIONES]]*0.21</f>
        <v>0</v>
      </c>
      <c r="J41" s="18"/>
      <c r="K41" s="18"/>
      <c r="L41" s="18"/>
      <c r="N41" s="11"/>
      <c r="O41" s="11">
        <f>Tabla351018263641424445464748441424[[#This Row],[COMISIONES]]*0.21</f>
        <v>0</v>
      </c>
      <c r="P41" s="11"/>
      <c r="Q41" s="11"/>
      <c r="R41" s="11"/>
      <c r="T41" s="11">
        <v>300</v>
      </c>
      <c r="U41" s="19">
        <f>Tabla61220283861626465666768661626[[#This Row],[COMISIONES]]*0.21</f>
        <v>63</v>
      </c>
      <c r="Z41" s="3"/>
      <c r="AA41" s="11">
        <f>Tabla35681321293971727475767778771727[[#This Row],[COMISIONES]]*0.21</f>
        <v>0</v>
      </c>
      <c r="AB41" s="21"/>
      <c r="AC41" s="21"/>
      <c r="AD41" s="21"/>
    </row>
    <row r="42" spans="2:31" x14ac:dyDescent="0.25">
      <c r="B42" s="3"/>
      <c r="C42" s="2">
        <f>Tabla1316243221222335262728221222[[#This Row],[COMISIONES]]*0.21</f>
        <v>0</v>
      </c>
      <c r="D42" s="3">
        <f>Tabla1316243221222335262728221222[[#This Row],[COMISIONES]]*0.105</f>
        <v>0</v>
      </c>
      <c r="E42" s="3"/>
      <c r="F42" s="3"/>
      <c r="H42" s="18"/>
      <c r="I42" s="18">
        <f>Tabla3917253531323345363738331323[[#This Row],[COMISIONES]]*0.21</f>
        <v>0</v>
      </c>
      <c r="J42" s="18"/>
      <c r="K42" s="18"/>
      <c r="L42" s="18"/>
      <c r="N42" s="11"/>
      <c r="O42" s="11">
        <f>Tabla351018263641424445464748441424[[#This Row],[COMISIONES]]*0.21</f>
        <v>0</v>
      </c>
      <c r="P42" s="11"/>
      <c r="Q42" s="11"/>
      <c r="R42" s="11"/>
      <c r="T42" s="11">
        <v>300</v>
      </c>
      <c r="U42" s="19">
        <f>Tabla61220283861626465666768661626[[#This Row],[COMISIONES]]*0.21</f>
        <v>63</v>
      </c>
      <c r="Z42" s="3"/>
      <c r="AA42" s="11">
        <f>Tabla35681321293971727475767778771727[[#This Row],[COMISIONES]]*0.21</f>
        <v>0</v>
      </c>
      <c r="AB42" s="21">
        <f>Tabla35681321293971727475767778771727[[#This Row],[COMISIONES]]*0.105</f>
        <v>0</v>
      </c>
      <c r="AC42" s="21"/>
      <c r="AD42" s="21"/>
    </row>
    <row r="43" spans="2:31" x14ac:dyDescent="0.25">
      <c r="B43" s="3"/>
      <c r="C43" s="2">
        <f>Tabla1316243221222335262728221222[[#This Row],[COMISIONES]]*0.21</f>
        <v>0</v>
      </c>
      <c r="D43" s="3">
        <f>Tabla1316243221222335262728221222[[#This Row],[COMISIONES]]*0.105</f>
        <v>0</v>
      </c>
      <c r="E43" s="3"/>
      <c r="F43" s="3"/>
      <c r="G43" s="8"/>
      <c r="H43" s="18"/>
      <c r="I43" s="18">
        <f>Tabla3917253531323345363738331323[[#This Row],[COMISIONES]]*0.21</f>
        <v>0</v>
      </c>
      <c r="J43" s="18"/>
      <c r="K43" s="18"/>
      <c r="L43" s="18"/>
      <c r="M43" s="8"/>
      <c r="N43" s="11"/>
      <c r="O43" s="11">
        <f>Tabla351018263641424445464748441424[[#This Row],[COMISIONES]]*0.21</f>
        <v>0</v>
      </c>
      <c r="P43" s="11"/>
      <c r="Q43" s="11"/>
      <c r="R43" s="11"/>
      <c r="S43" s="8"/>
      <c r="T43" s="11">
        <v>300</v>
      </c>
      <c r="U43" s="19">
        <f>Tabla61220283861626465666768661626[[#This Row],[COMISIONES]]*0.21</f>
        <v>63</v>
      </c>
      <c r="Y43" s="8"/>
      <c r="Z43" s="3"/>
      <c r="AA43" s="11">
        <f>Tabla35681321293971727475767778771727[[#This Row],[COMISIONES]]*0.21</f>
        <v>0</v>
      </c>
      <c r="AB43" s="21"/>
      <c r="AC43" s="21"/>
      <c r="AD43" s="21"/>
      <c r="AE43" s="8"/>
    </row>
    <row r="44" spans="2:31" x14ac:dyDescent="0.25">
      <c r="B44" s="3"/>
      <c r="C44" s="2">
        <f>Tabla1316243221222335262728221222[[#This Row],[COMISIONES]]*0.21</f>
        <v>0</v>
      </c>
      <c r="D44" s="3">
        <f>Tabla1316243221222335262728221222[[#This Row],[COMISIONES]]*0.105</f>
        <v>0</v>
      </c>
      <c r="E44" s="3"/>
      <c r="F44" s="3"/>
      <c r="H44" s="18"/>
      <c r="I44" s="18">
        <f>Tabla3917253531323345363738331323[[#This Row],[COMISIONES]]*0.21</f>
        <v>0</v>
      </c>
      <c r="J44" s="18"/>
      <c r="K44" s="18"/>
      <c r="L44" s="18"/>
      <c r="N44" s="11"/>
      <c r="O44" s="11">
        <f>Tabla351018263641424445464748441424[[#This Row],[COMISIONES]]*0.21</f>
        <v>0</v>
      </c>
      <c r="P44" s="11"/>
      <c r="Q44" s="11"/>
      <c r="R44" s="11"/>
      <c r="T44">
        <v>300</v>
      </c>
      <c r="U44" s="19">
        <f>Tabla61220283861626465666768661626[[#This Row],[COMISIONES]]*0.21</f>
        <v>63</v>
      </c>
      <c r="Z44" s="3"/>
      <c r="AA44" s="11">
        <f>Tabla35681321293971727475767778771727[[#This Row],[COMISIONES]]*0.21</f>
        <v>0</v>
      </c>
      <c r="AB44" s="21"/>
      <c r="AC44" s="21"/>
      <c r="AD44" s="21"/>
    </row>
    <row r="45" spans="2:31" x14ac:dyDescent="0.25">
      <c r="B45" s="3"/>
      <c r="C45" s="2">
        <f>Tabla1316243221222335262728221222[[#This Row],[COMISIONES]]*0.21</f>
        <v>0</v>
      </c>
      <c r="D45" s="3">
        <f>Tabla1316243221222335262728221222[[#This Row],[COMISIONES]]*0.105</f>
        <v>0</v>
      </c>
      <c r="E45" s="3"/>
      <c r="F45" s="3"/>
      <c r="H45" s="18"/>
      <c r="I45" s="18">
        <f>Tabla3917253531323345363738331323[[#This Row],[COMISIONES]]*0.21</f>
        <v>0</v>
      </c>
      <c r="J45" s="18"/>
      <c r="K45" s="18"/>
      <c r="L45" s="18"/>
      <c r="N45" s="11"/>
      <c r="O45" s="11">
        <f>Tabla351018263641424445464748441424[[#This Row],[COMISIONES]]*0.21</f>
        <v>0</v>
      </c>
      <c r="P45" s="11"/>
      <c r="Q45" s="11"/>
      <c r="R45" s="11"/>
      <c r="T45">
        <v>300</v>
      </c>
      <c r="U45" s="19">
        <f>Tabla61220283861626465666768661626[[#This Row],[COMISIONES]]*0.21</f>
        <v>63</v>
      </c>
      <c r="Z45" s="3"/>
      <c r="AA45" s="11">
        <f>Tabla35681321293971727475767778771727[[#This Row],[COMISIONES]]*0.21</f>
        <v>0</v>
      </c>
      <c r="AB45" s="11" t="s">
        <v>18</v>
      </c>
      <c r="AC45" s="21"/>
      <c r="AD45" s="21"/>
    </row>
    <row r="46" spans="2:31" x14ac:dyDescent="0.25">
      <c r="B46" s="3"/>
      <c r="C46" s="2">
        <f>Tabla1316243221222335262728221222[[#This Row],[COMISIONES]]*0.21</f>
        <v>0</v>
      </c>
      <c r="D46" s="3">
        <f>Tabla1316243221222335262728221222[[#This Row],[COMISIONES]]*0.105</f>
        <v>0</v>
      </c>
      <c r="E46" s="3"/>
      <c r="F46" s="3"/>
      <c r="H46" s="18"/>
      <c r="I46" s="18">
        <f>Tabla3917253531323345363738331323[[#This Row],[COMISIONES]]*0.21</f>
        <v>0</v>
      </c>
      <c r="J46" s="18"/>
      <c r="K46" s="18"/>
      <c r="L46" s="18"/>
      <c r="N46" s="11"/>
      <c r="O46" s="11">
        <f>Tabla351018263641424445464748441424[[#This Row],[COMISIONES]]*0.21</f>
        <v>0</v>
      </c>
      <c r="P46" s="11"/>
      <c r="Q46" s="11"/>
      <c r="R46" s="11"/>
      <c r="T46">
        <v>300</v>
      </c>
      <c r="U46" s="19">
        <f>Tabla61220283861626465666768661626[[#This Row],[COMISIONES]]*0.21</f>
        <v>63</v>
      </c>
      <c r="Z46" s="3"/>
      <c r="AA46" s="11">
        <f>Tabla35681321293971727475767778771727[[#This Row],[COMISIONES]]*0.21</f>
        <v>0</v>
      </c>
      <c r="AB46" s="21"/>
      <c r="AC46" s="21"/>
      <c r="AD46" s="21"/>
    </row>
    <row r="47" spans="2:31" x14ac:dyDescent="0.25">
      <c r="B47" s="3"/>
      <c r="C47" s="2">
        <f>Tabla1316243221222335262728221222[[#This Row],[COMISIONES]]*0.21</f>
        <v>0</v>
      </c>
      <c r="D47" s="3">
        <f>Tabla1316243221222335262728221222[[#This Row],[COMISIONES]]*0.105</f>
        <v>0</v>
      </c>
      <c r="E47" s="3"/>
      <c r="F47" s="3"/>
      <c r="H47" s="18"/>
      <c r="I47" s="18">
        <f>Tabla3917253531323345363738331323[[#This Row],[COMISIONES]]*0.21</f>
        <v>0</v>
      </c>
      <c r="J47" s="18"/>
      <c r="K47" s="18"/>
      <c r="L47" s="18"/>
      <c r="N47" s="11"/>
      <c r="O47" s="11">
        <f>Tabla351018263641424445464748441424[[#This Row],[COMISIONES]]*0.21</f>
        <v>0</v>
      </c>
      <c r="P47" s="11"/>
      <c r="Q47" s="11"/>
      <c r="R47" s="11"/>
      <c r="T47">
        <v>300</v>
      </c>
      <c r="U47" s="19">
        <f>Tabla61220283861626465666768661626[[#This Row],[COMISIONES]]*0.21</f>
        <v>63</v>
      </c>
      <c r="Z47" s="3"/>
      <c r="AA47" s="11">
        <f>Tabla35681321293971727475767778771727[[#This Row],[COMISIONES]]*0.21</f>
        <v>0</v>
      </c>
      <c r="AB47" s="21"/>
      <c r="AC47" s="21"/>
      <c r="AD47" s="21"/>
    </row>
    <row r="48" spans="2:31" x14ac:dyDescent="0.25">
      <c r="B48" s="3"/>
      <c r="C48" s="2">
        <f>Tabla1316243221222335262728221222[[#This Row],[COMISIONES]]*0.21</f>
        <v>0</v>
      </c>
      <c r="D48" s="3">
        <f>Tabla1316243221222335262728221222[[#This Row],[COMISIONES]]*0.105</f>
        <v>0</v>
      </c>
      <c r="E48" s="3"/>
      <c r="F48" s="3"/>
      <c r="H48" s="18"/>
      <c r="I48" s="18">
        <f>Tabla3917253531323345363738331323[[#This Row],[COMISIONES]]*0.21</f>
        <v>0</v>
      </c>
      <c r="J48" s="18"/>
      <c r="K48" s="18"/>
      <c r="L48" s="18"/>
      <c r="N48" s="11"/>
      <c r="O48" s="11">
        <f>Tabla351018263641424445464748441424[[#This Row],[COMISIONES]]*0.21</f>
        <v>0</v>
      </c>
      <c r="P48" s="11"/>
      <c r="Q48" s="11"/>
      <c r="R48" s="11"/>
      <c r="T48">
        <v>300</v>
      </c>
      <c r="U48" s="19">
        <f>Tabla61220283861626465666768661626[[#This Row],[COMISIONES]]*0.21</f>
        <v>63</v>
      </c>
      <c r="Z48" s="3"/>
      <c r="AA48" s="11">
        <f>Tabla35681321293971727475767778771727[[#This Row],[COMISIONES]]*0.21</f>
        <v>0</v>
      </c>
      <c r="AB48" s="21"/>
      <c r="AC48" s="21"/>
      <c r="AD48" s="21"/>
    </row>
    <row r="49" spans="1:41" x14ac:dyDescent="0.25">
      <c r="B49" s="3"/>
      <c r="C49" s="2">
        <f>Tabla1316243221222335262728221222[[#This Row],[COMISIONES]]*0.21</f>
        <v>0</v>
      </c>
      <c r="D49" s="3">
        <f>Tabla1316243221222335262728221222[[#This Row],[COMISIONES]]*0.105</f>
        <v>0</v>
      </c>
      <c r="E49" s="3"/>
      <c r="F49" s="3"/>
      <c r="H49" s="18"/>
      <c r="I49" s="18">
        <f>Tabla3917253531323345363738331323[[#This Row],[COMISIONES]]*0.21</f>
        <v>0</v>
      </c>
      <c r="J49" s="18"/>
      <c r="K49" s="18"/>
      <c r="L49" s="18"/>
      <c r="N49" s="11"/>
      <c r="O49" s="11">
        <f>Tabla351018263641424445464748441424[[#This Row],[COMISIONES]]*0.21</f>
        <v>0</v>
      </c>
      <c r="P49" s="11"/>
      <c r="Q49" s="11"/>
      <c r="R49" s="11"/>
      <c r="T49">
        <v>300</v>
      </c>
      <c r="U49" s="19">
        <f>Tabla61220283861626465666768661626[[#This Row],[COMISIONES]]*0.21</f>
        <v>63</v>
      </c>
      <c r="Z49" s="3"/>
      <c r="AA49" s="11">
        <f>Tabla35681321293971727475767778771727[[#This Row],[COMISIONES]]*0.21</f>
        <v>0</v>
      </c>
      <c r="AB49" s="1">
        <f>Tabla35681321293971727475767778771727[[#This Row],[COMISIONES]]*0.105</f>
        <v>0</v>
      </c>
      <c r="AC49" s="21"/>
      <c r="AD49" s="21"/>
    </row>
    <row r="50" spans="1:41" s="6" customFormat="1" x14ac:dyDescent="0.25">
      <c r="A50"/>
      <c r="B50" s="3"/>
      <c r="C50" s="2">
        <f>Tabla1316243221222335262728221222[[#This Row],[COMISIONES]]*0.21</f>
        <v>0</v>
      </c>
      <c r="D50" s="3">
        <f>Tabla1316243221222335262728221222[[#This Row],[COMISIONES]]*0.105</f>
        <v>0</v>
      </c>
      <c r="E50" s="3"/>
      <c r="F50" s="3"/>
      <c r="H50" s="18"/>
      <c r="I50" s="18">
        <f>Tabla3917253531323345363738331323[[#This Row],[COMISIONES]]*0.21</f>
        <v>0</v>
      </c>
      <c r="J50" s="18"/>
      <c r="K50" s="18"/>
      <c r="L50" s="18"/>
      <c r="N50" s="11"/>
      <c r="O50" s="11">
        <f>Tabla351018263641424445464748441424[[#This Row],[COMISIONES]]*0.21</f>
        <v>0</v>
      </c>
      <c r="P50" s="11"/>
      <c r="Q50" s="11"/>
      <c r="R50" s="11"/>
      <c r="T50">
        <v>300</v>
      </c>
      <c r="U50" s="19">
        <f>Tabla61220283861626465666768661626[[#This Row],[COMISIONES]]*0.21</f>
        <v>63</v>
      </c>
      <c r="V50"/>
      <c r="W50"/>
      <c r="X50"/>
      <c r="Z50" s="3"/>
      <c r="AA50" s="11">
        <f>Tabla35681321293971727475767778771727[[#This Row],[COMISIONES]]*0.21</f>
        <v>0</v>
      </c>
      <c r="AB50" s="21"/>
      <c r="AC50" s="21"/>
      <c r="AD50" s="21"/>
      <c r="AF50"/>
      <c r="AG50"/>
      <c r="AH50"/>
      <c r="AI50"/>
      <c r="AJ50"/>
      <c r="AK50"/>
      <c r="AL50"/>
      <c r="AM50"/>
      <c r="AN50"/>
      <c r="AO50"/>
    </row>
    <row r="51" spans="1:41" s="6" customFormat="1" x14ac:dyDescent="0.25">
      <c r="A51"/>
      <c r="B51" s="2"/>
      <c r="C51" s="2">
        <f>Tabla1316243221222335262728221222[[#This Row],[COMISIONES]]*0.21</f>
        <v>0</v>
      </c>
      <c r="D51" s="2">
        <f>Tabla1316243221222335262728221222[[#This Row],[COMISIONES]]*0.105</f>
        <v>0</v>
      </c>
      <c r="E51" s="2"/>
      <c r="F51"/>
      <c r="H51" s="18"/>
      <c r="I51" s="18">
        <f>Tabla3917253531323345363738331323[[#This Row],[COMISIONES]]*0.21</f>
        <v>0</v>
      </c>
      <c r="J51" s="18"/>
      <c r="K51" s="18"/>
      <c r="L51" s="18"/>
      <c r="N51" s="11"/>
      <c r="O51" s="11">
        <f>Tabla351018263641424445464748441424[[#This Row],[COMISIONES]]*0.21</f>
        <v>0</v>
      </c>
      <c r="P51" s="11"/>
      <c r="Q51" s="11"/>
      <c r="R51" s="11"/>
      <c r="T51">
        <v>300</v>
      </c>
      <c r="U51" s="19">
        <f>Tabla61220283861626465666768661626[[#This Row],[COMISIONES]]*0.21</f>
        <v>63</v>
      </c>
      <c r="V51"/>
      <c r="W51"/>
      <c r="X51"/>
      <c r="Z51" s="3"/>
      <c r="AA51" s="21">
        <f>Tabla35681321293971727475767778771727[[#This Row],[COMISIONES]]*0.21</f>
        <v>0</v>
      </c>
      <c r="AB51" s="11" t="s">
        <v>18</v>
      </c>
      <c r="AC51" s="21"/>
      <c r="AD51" s="21"/>
      <c r="AF51"/>
      <c r="AG51"/>
      <c r="AH51"/>
      <c r="AI51"/>
      <c r="AJ51"/>
      <c r="AK51"/>
      <c r="AL51"/>
      <c r="AM51"/>
      <c r="AN51"/>
      <c r="AO51"/>
    </row>
    <row r="52" spans="1:41" s="6" customFormat="1" x14ac:dyDescent="0.25">
      <c r="A52"/>
      <c r="B52" s="2"/>
      <c r="C52" s="2">
        <f>Tabla1316243221222335262728221222[[#This Row],[COMISIONES]]*0.21</f>
        <v>0</v>
      </c>
      <c r="D52" s="2">
        <f>Tabla1316243221222335262728221222[[#This Row],[COMISIONES]]*0.105</f>
        <v>0</v>
      </c>
      <c r="E52" s="2"/>
      <c r="F52"/>
      <c r="H52" s="18"/>
      <c r="I52" s="18">
        <f>Tabla3917253531323345363738331323[[#This Row],[COMISIONES]]*0.21</f>
        <v>0</v>
      </c>
      <c r="J52" s="18"/>
      <c r="K52" s="18"/>
      <c r="L52" s="18"/>
      <c r="N52" s="11"/>
      <c r="O52" s="11">
        <f>Tabla351018263641424445464748441424[[#This Row],[COMISIONES]]*0.21</f>
        <v>0</v>
      </c>
      <c r="P52" s="11"/>
      <c r="Q52" s="11"/>
      <c r="R52" s="11"/>
      <c r="T52"/>
      <c r="U52" s="19">
        <f>Tabla61220283861626465666768661626[[#This Row],[COMISIONES]]*0.21</f>
        <v>0</v>
      </c>
      <c r="V52"/>
      <c r="W52"/>
      <c r="X52"/>
      <c r="Z52" s="3"/>
      <c r="AA52" s="21">
        <f>Tabla35681321293971727475767778771727[[#This Row],[COMISIONES]]*0.21</f>
        <v>0</v>
      </c>
      <c r="AB52" s="30"/>
      <c r="AC52" s="21"/>
      <c r="AD52" s="21"/>
      <c r="AF52"/>
      <c r="AG52"/>
      <c r="AH52"/>
      <c r="AI52"/>
      <c r="AJ52"/>
      <c r="AK52"/>
      <c r="AL52"/>
      <c r="AM52"/>
      <c r="AN52"/>
      <c r="AO52"/>
    </row>
    <row r="53" spans="1:41" s="6" customFormat="1" x14ac:dyDescent="0.25">
      <c r="A53"/>
      <c r="B53" s="2"/>
      <c r="C53" s="2">
        <f>Tabla1316243221222335262728221222[[#This Row],[COMISIONES]]*0.21</f>
        <v>0</v>
      </c>
      <c r="D53" s="2">
        <f>Tabla1316243221222335262728221222[[#This Row],[COMISIONES]]*0.105</f>
        <v>0</v>
      </c>
      <c r="E53" s="2"/>
      <c r="F53"/>
      <c r="H53" s="24">
        <f>SUBTOTAL(109,Tabla3917253531323345363738331323[COMISIONES])</f>
        <v>0</v>
      </c>
      <c r="I53" s="24">
        <f>SUBTOTAL(109,Tabla3917253531323345363738331323[IVA 21])</f>
        <v>0</v>
      </c>
      <c r="J53" s="24">
        <f>SUBTOTAL(109,Tabla3917253531323345363738331323[IVA 10,5])</f>
        <v>0</v>
      </c>
      <c r="K53" s="24">
        <f>SUBTOTAL(109,Tabla3917253531323345363738331323[Ret IIBB Caba])</f>
        <v>0</v>
      </c>
      <c r="L53" s="24">
        <f>SUBTOTAL(109,Tabla3917253531323345363738331323[PERC IVA])</f>
        <v>0</v>
      </c>
      <c r="N53" s="11"/>
      <c r="O53" s="11">
        <f>Tabla351018263641424445464748441424[[#This Row],[COMISIONES]]*0.21</f>
        <v>0</v>
      </c>
      <c r="P53" s="11"/>
      <c r="Q53" s="11"/>
      <c r="R53" s="11"/>
      <c r="T53"/>
      <c r="U53" s="19">
        <f>Tabla61220283861626465666768661626[[#This Row],[COMISIONES]]*0.21</f>
        <v>0</v>
      </c>
      <c r="V53"/>
      <c r="W53"/>
      <c r="X53"/>
      <c r="Z53" s="3"/>
      <c r="AA53" s="11" t="s">
        <v>18</v>
      </c>
      <c r="AB53" s="1">
        <f>Tabla35681321293971727475767778771727[[#This Row],[COMISIONES]]*0.105</f>
        <v>0</v>
      </c>
      <c r="AC53" s="21"/>
      <c r="AD53" s="21"/>
      <c r="AF53"/>
      <c r="AG53"/>
      <c r="AH53"/>
      <c r="AI53"/>
      <c r="AJ53"/>
      <c r="AK53"/>
      <c r="AL53"/>
      <c r="AM53"/>
      <c r="AN53"/>
      <c r="AO53"/>
    </row>
    <row r="54" spans="1:41" s="6" customFormat="1" ht="18.75" x14ac:dyDescent="0.3">
      <c r="A54"/>
      <c r="B54" s="2"/>
      <c r="C54" s="2">
        <f>Tabla1316243221222335262728221222[[#This Row],[COMISIONES]]*0.21</f>
        <v>0</v>
      </c>
      <c r="D54" s="2">
        <f>Tabla1316243221222335262728221222[[#This Row],[COMISIONES]]*0.105</f>
        <v>0</v>
      </c>
      <c r="E54" s="2"/>
      <c r="F54"/>
      <c r="H54" s="52" t="s">
        <v>12</v>
      </c>
      <c r="I54" s="52"/>
      <c r="J54" s="52"/>
      <c r="K54" s="52"/>
      <c r="L54" s="52"/>
      <c r="N54" s="11"/>
      <c r="O54" s="11">
        <f>Tabla351018263641424445464748441424[[#This Row],[COMISIONES]]*0.21</f>
        <v>0</v>
      </c>
      <c r="P54" s="11"/>
      <c r="Q54" s="11"/>
      <c r="R54" s="11"/>
      <c r="T54"/>
      <c r="U54" s="19">
        <f>Tabla61220283861626465666768661626[[#This Row],[COMISIONES]]*0.21</f>
        <v>0</v>
      </c>
      <c r="V54"/>
      <c r="W54"/>
      <c r="X54"/>
      <c r="Z54" s="3"/>
      <c r="AA54" s="21">
        <f>Tabla35681321293971727475767778771727[[#This Row],[COMISIONES]]*0.21</f>
        <v>0</v>
      </c>
      <c r="AB54" s="21"/>
      <c r="AC54" s="1"/>
      <c r="AD54" s="21"/>
      <c r="AF54"/>
      <c r="AG54"/>
      <c r="AH54"/>
      <c r="AI54"/>
      <c r="AJ54"/>
      <c r="AK54"/>
      <c r="AL54"/>
      <c r="AM54"/>
      <c r="AN54"/>
      <c r="AO54"/>
    </row>
    <row r="55" spans="1:41" s="6" customFormat="1" x14ac:dyDescent="0.25">
      <c r="A55"/>
      <c r="B55" s="2"/>
      <c r="C55" s="2">
        <f>Tabla1316243221222335262728221222[[#This Row],[COMISIONES]]*0.21</f>
        <v>0</v>
      </c>
      <c r="D55" s="2">
        <f>Tabla1316243221222335262728221222[[#This Row],[COMISIONES]]*0.105</f>
        <v>0</v>
      </c>
      <c r="E55" s="2"/>
      <c r="F55"/>
      <c r="H55" s="12" t="s">
        <v>2</v>
      </c>
      <c r="I55" s="13" t="s">
        <v>0</v>
      </c>
      <c r="J55" s="13" t="s">
        <v>1</v>
      </c>
      <c r="K55" s="13" t="s">
        <v>3</v>
      </c>
      <c r="L55" s="13" t="s">
        <v>4</v>
      </c>
      <c r="N55" s="11"/>
      <c r="O55" s="11">
        <f>Tabla351018263641424445464748441424[[#This Row],[COMISIONES]]*0.21</f>
        <v>0</v>
      </c>
      <c r="P55" s="11"/>
      <c r="Q55" s="11"/>
      <c r="R55" s="11"/>
      <c r="T55"/>
      <c r="U55" s="19">
        <f>Tabla61220283861626465666768661626[[#This Row],[COMISIONES]]*0.21</f>
        <v>0</v>
      </c>
      <c r="V55"/>
      <c r="W55"/>
      <c r="X55"/>
      <c r="Z55" s="3"/>
      <c r="AA55" s="21">
        <f>Tabla35681321293971727475767778771727[[#This Row],[COMISIONES]]*0.21</f>
        <v>0</v>
      </c>
      <c r="AB55" s="3"/>
      <c r="AC55" s="1"/>
      <c r="AD55" s="21"/>
      <c r="AF55"/>
      <c r="AG55"/>
      <c r="AH55"/>
      <c r="AI55"/>
      <c r="AJ55"/>
      <c r="AK55"/>
      <c r="AL55"/>
      <c r="AM55"/>
      <c r="AN55"/>
      <c r="AO55"/>
    </row>
    <row r="56" spans="1:41" s="6" customFormat="1" x14ac:dyDescent="0.25">
      <c r="A56"/>
      <c r="B56" s="2"/>
      <c r="C56" s="2">
        <f>Tabla1316243221222335262728221222[[#This Row],[COMISIONES]]*0.21</f>
        <v>0</v>
      </c>
      <c r="D56" s="2">
        <f>Tabla1316243221222335262728221222[[#This Row],[COMISIONES]]*0.105</f>
        <v>0</v>
      </c>
      <c r="E56" s="2"/>
      <c r="F56"/>
      <c r="H56" s="1"/>
      <c r="I56" s="11">
        <f>Tabla391523314191929495969798991929[[#This Row],[COMISIONES]]*0.21</f>
        <v>0</v>
      </c>
      <c r="J56" s="11"/>
      <c r="K56" s="11"/>
      <c r="L56" s="1"/>
      <c r="N56" s="11"/>
      <c r="O56" s="11">
        <f>Tabla351018263641424445464748441424[[#This Row],[COMISIONES]]*0.21</f>
        <v>0</v>
      </c>
      <c r="P56" s="11"/>
      <c r="Q56" s="11"/>
      <c r="R56" s="11"/>
      <c r="T56"/>
      <c r="U56" s="19">
        <f>Tabla61220283861626465666768661626[[#This Row],[COMISIONES]]*0.21</f>
        <v>0</v>
      </c>
      <c r="V56"/>
      <c r="W56"/>
      <c r="X56"/>
      <c r="Z56" s="3"/>
      <c r="AA56" s="21">
        <f>Tabla35681321293971727475767778771727[[#This Row],[COMISIONES]]*0.21</f>
        <v>0</v>
      </c>
      <c r="AB56" s="3"/>
      <c r="AC56"/>
      <c r="AD56" s="21"/>
      <c r="AF56"/>
      <c r="AG56"/>
      <c r="AH56"/>
      <c r="AI56"/>
      <c r="AJ56"/>
      <c r="AK56"/>
      <c r="AL56"/>
      <c r="AM56"/>
      <c r="AN56"/>
      <c r="AO56"/>
    </row>
    <row r="57" spans="1:41" s="6" customFormat="1" x14ac:dyDescent="0.25">
      <c r="A57"/>
      <c r="B57" s="2"/>
      <c r="C57" s="2">
        <f>Tabla1316243221222335262728221222[[#This Row],[COMISIONES]]*0.21</f>
        <v>0</v>
      </c>
      <c r="D57" s="2">
        <f>Tabla1316243221222335262728221222[[#This Row],[COMISIONES]]*0.105</f>
        <v>0</v>
      </c>
      <c r="E57" s="2"/>
      <c r="F57"/>
      <c r="H57" s="11"/>
      <c r="I57" s="11">
        <f>Tabla391523314191929495969798991929[[#This Row],[COMISIONES]]*0.21</f>
        <v>0</v>
      </c>
      <c r="J57" s="11"/>
      <c r="K57" s="11"/>
      <c r="L57" s="21"/>
      <c r="N57" s="11"/>
      <c r="O57" s="11">
        <f>Tabla351018263641424445464748441424[[#This Row],[COMISIONES]]*0.21</f>
        <v>0</v>
      </c>
      <c r="P57" s="11"/>
      <c r="Q57" s="11"/>
      <c r="R57" s="11"/>
      <c r="T57"/>
      <c r="U57" s="19">
        <f>Tabla61220283861626465666768661626[[#This Row],[COMISIONES]]*0.21</f>
        <v>0</v>
      </c>
      <c r="V57"/>
      <c r="W57"/>
      <c r="X57"/>
      <c r="Z57" s="3"/>
      <c r="AA57" s="11" t="s">
        <v>18</v>
      </c>
      <c r="AB57" s="21">
        <f>Tabla35681321293971727475767778771727[[#This Row],[COMISIONES]]*0.105</f>
        <v>0</v>
      </c>
      <c r="AC57" s="21"/>
      <c r="AD57" s="21"/>
      <c r="AF57"/>
      <c r="AG57"/>
      <c r="AH57"/>
      <c r="AI57"/>
      <c r="AJ57"/>
      <c r="AK57"/>
      <c r="AL57"/>
      <c r="AM57"/>
      <c r="AN57"/>
      <c r="AO57"/>
    </row>
    <row r="58" spans="1:41" s="6" customFormat="1" x14ac:dyDescent="0.25">
      <c r="A58"/>
      <c r="B58" s="2"/>
      <c r="C58" s="2">
        <f>Tabla1316243221222335262728221222[[#This Row],[COMISIONES]]*0.21</f>
        <v>0</v>
      </c>
      <c r="D58" s="1">
        <f>Tabla1316243221222335262728221222[[#This Row],[COMISIONES]]*0.105</f>
        <v>0</v>
      </c>
      <c r="E58" s="2"/>
      <c r="F58"/>
      <c r="H58" s="11"/>
      <c r="I58" s="11">
        <f>Tabla391523314191929495969798991929[[#This Row],[COMISIONES]]*0.21</f>
        <v>0</v>
      </c>
      <c r="J58" s="11"/>
      <c r="K58" s="11"/>
      <c r="L58" s="11"/>
      <c r="N58" s="11"/>
      <c r="O58" s="11">
        <f>Tabla351018263641424445464748441424[[#This Row],[COMISIONES]]*0.21</f>
        <v>0</v>
      </c>
      <c r="P58" s="11"/>
      <c r="Q58" s="11"/>
      <c r="R58" s="11"/>
      <c r="T58"/>
      <c r="U58" s="19">
        <f>Tabla61220283861626465666768661626[[#This Row],[COMISIONES]]*0.21</f>
        <v>0</v>
      </c>
      <c r="V58"/>
      <c r="W58"/>
      <c r="X58"/>
      <c r="Z58" s="3"/>
      <c r="AA58" s="21">
        <f>Tabla35681321293971727475767778771727[[#This Row],[COMISIONES]]*0.21</f>
        <v>0</v>
      </c>
      <c r="AB58" s="21"/>
      <c r="AC58" s="21"/>
      <c r="AD58" s="21"/>
      <c r="AF58"/>
      <c r="AG58"/>
      <c r="AH58"/>
      <c r="AI58"/>
      <c r="AJ58"/>
      <c r="AK58"/>
      <c r="AL58"/>
      <c r="AM58"/>
      <c r="AN58"/>
      <c r="AO58"/>
    </row>
    <row r="59" spans="1:41" s="6" customFormat="1" x14ac:dyDescent="0.25">
      <c r="A59"/>
      <c r="B59" s="2"/>
      <c r="C59" s="2">
        <f>Tabla1316243221222335262728221222[[#This Row],[COMISIONES]]*0.21</f>
        <v>0</v>
      </c>
      <c r="D59" s="2">
        <f>Tabla1316243221222335262728221222[[#This Row],[COMISIONES]]*0.105</f>
        <v>0</v>
      </c>
      <c r="E59" s="2"/>
      <c r="F59"/>
      <c r="H59" s="11"/>
      <c r="I59" s="11">
        <f>Tabla391523314191929495969798991929[[#This Row],[COMISIONES]]*0.21</f>
        <v>0</v>
      </c>
      <c r="J59" s="11"/>
      <c r="K59" s="11"/>
      <c r="L59" s="11"/>
      <c r="N59" s="11"/>
      <c r="O59" s="11">
        <f>Tabla351018263641424445464748441424[[#This Row],[COMISIONES]]*0.21</f>
        <v>0</v>
      </c>
      <c r="P59" s="11"/>
      <c r="Q59" s="11"/>
      <c r="R59" s="11"/>
      <c r="T59"/>
      <c r="U59" s="19">
        <f>Tabla61220283861626465666768661626[[#This Row],[COMISIONES]]*0.21</f>
        <v>0</v>
      </c>
      <c r="V59"/>
      <c r="W59"/>
      <c r="X59"/>
      <c r="Z59" s="3"/>
      <c r="AA59" s="21">
        <f>Tabla35681321293971727475767778771727[[#This Row],[COMISIONES]]*0.21</f>
        <v>0</v>
      </c>
      <c r="AB59" s="21"/>
      <c r="AC59" s="21"/>
      <c r="AD59" s="21"/>
      <c r="AF59"/>
      <c r="AG59"/>
      <c r="AH59"/>
      <c r="AI59"/>
      <c r="AJ59"/>
      <c r="AK59"/>
      <c r="AL59"/>
      <c r="AM59"/>
      <c r="AN59"/>
      <c r="AO59"/>
    </row>
    <row r="60" spans="1:41" s="6" customFormat="1" x14ac:dyDescent="0.25">
      <c r="A60"/>
      <c r="B60" s="2"/>
      <c r="C60" s="2">
        <f>Tabla1316243221222335262728221222[[#This Row],[COMISIONES]]*0.21</f>
        <v>0</v>
      </c>
      <c r="D60" s="2">
        <f>Tabla1316243221222335262728221222[[#This Row],[COMISIONES]]*0.105</f>
        <v>0</v>
      </c>
      <c r="E60" s="2"/>
      <c r="F60"/>
      <c r="H60" s="11"/>
      <c r="I60" s="11">
        <f>Tabla391523314191929495969798991929[[#This Row],[COMISIONES]]*0.21</f>
        <v>0</v>
      </c>
      <c r="J60" s="11"/>
      <c r="K60" s="11"/>
      <c r="L60" s="11"/>
      <c r="N60" s="11"/>
      <c r="O60" s="11">
        <f>Tabla351018263641424445464748441424[[#This Row],[COMISIONES]]*0.21</f>
        <v>0</v>
      </c>
      <c r="P60" s="11"/>
      <c r="Q60" s="11"/>
      <c r="R60" s="11"/>
      <c r="T60"/>
      <c r="U60" s="19">
        <f>Tabla61220283861626465666768661626[[#This Row],[COMISIONES]]*0.21</f>
        <v>0</v>
      </c>
      <c r="V60"/>
      <c r="W60"/>
      <c r="X60"/>
      <c r="Z60" s="3"/>
      <c r="AA60" s="21"/>
      <c r="AB60" s="21">
        <f>Tabla35681321293971727475767778771727[[#This Row],[COMISIONES]]*0.105</f>
        <v>0</v>
      </c>
      <c r="AC60" s="21"/>
      <c r="AD60" s="21"/>
      <c r="AF60"/>
      <c r="AG60"/>
      <c r="AH60"/>
      <c r="AI60"/>
      <c r="AJ60"/>
      <c r="AK60"/>
      <c r="AL60"/>
      <c r="AM60"/>
      <c r="AN60"/>
      <c r="AO60"/>
    </row>
    <row r="61" spans="1:41" s="6" customFormat="1" x14ac:dyDescent="0.25">
      <c r="A61"/>
      <c r="B61" s="4">
        <f>SUBTOTAL(109,Tabla1316243221222335262728221222[COMISIONES])</f>
        <v>1970.27</v>
      </c>
      <c r="C61" s="4">
        <f>SUBTOTAL(109,Tabla1316243221222335262728221222[IVA 21])</f>
        <v>413.12459999999999</v>
      </c>
      <c r="D61" s="4">
        <f>SUBTOTAL(109,Tabla1316243221222335262728221222[IVA 10,5])</f>
        <v>0.31604999999999994</v>
      </c>
      <c r="E61" s="4">
        <f>SUBTOTAL(109,Tabla1316243221222335262728221222[Ret IIBB Caba])</f>
        <v>0</v>
      </c>
      <c r="F61" s="4">
        <f>SUBTOTAL(109,Tabla1316243221222335262728221222[PERC IVA])</f>
        <v>0</v>
      </c>
      <c r="H61" s="11"/>
      <c r="I61" s="11">
        <f>Tabla391523314191929495969798991929[[#This Row],[COMISIONES]]*0.21</f>
        <v>0</v>
      </c>
      <c r="J61" s="11"/>
      <c r="K61" s="11"/>
      <c r="L61" s="11"/>
      <c r="N61" s="11"/>
      <c r="O61" s="11">
        <f>Tabla351018263641424445464748441424[[#This Row],[COMISIONES]]*0.21</f>
        <v>0</v>
      </c>
      <c r="P61" s="11"/>
      <c r="Q61" s="11"/>
      <c r="R61" s="11"/>
      <c r="T61"/>
      <c r="U61" s="19">
        <f>Tabla61220283861626465666768661626[[#This Row],[COMISIONES]]*0.21</f>
        <v>0</v>
      </c>
      <c r="V61"/>
      <c r="W61"/>
      <c r="X61"/>
      <c r="Z61" s="3"/>
      <c r="AA61" s="21">
        <f>Tabla35681321293971727475767778771727[[#This Row],[COMISIONES]]*0.21</f>
        <v>0</v>
      </c>
      <c r="AB61" s="21"/>
      <c r="AC61" s="21"/>
      <c r="AD61" s="21"/>
      <c r="AF61"/>
      <c r="AG61"/>
      <c r="AH61"/>
      <c r="AI61"/>
      <c r="AJ61"/>
      <c r="AK61"/>
      <c r="AL61"/>
      <c r="AM61"/>
      <c r="AN61"/>
      <c r="AO61"/>
    </row>
    <row r="62" spans="1:41" s="6" customFormat="1" x14ac:dyDescent="0.25">
      <c r="A62"/>
      <c r="B62"/>
      <c r="C62"/>
      <c r="D62"/>
      <c r="E62"/>
      <c r="F62"/>
      <c r="H62" s="11"/>
      <c r="I62" s="11">
        <f>Tabla391523314191929495969798991929[[#This Row],[COMISIONES]]*0.21</f>
        <v>0</v>
      </c>
      <c r="J62" s="11"/>
      <c r="K62" s="11"/>
      <c r="L62" s="11"/>
      <c r="N62" s="11"/>
      <c r="O62" s="11">
        <f>Tabla351018263641424445464748441424[[#This Row],[COMISIONES]]*0.21</f>
        <v>0</v>
      </c>
      <c r="P62" s="11"/>
      <c r="Q62" s="11"/>
      <c r="R62" s="11"/>
      <c r="T62" s="4">
        <f>SUBTOTAL(109,Tabla61220283861626465666768661626[COMISIONES])</f>
        <v>96710</v>
      </c>
      <c r="U62" s="4">
        <f>SUBTOTAL(109,Tabla61220283861626465666768661626[IVA 21])</f>
        <v>20309.099999999999</v>
      </c>
      <c r="V62" s="4">
        <f>SUBTOTAL(109,Tabla61220283861626465666768661626[IVA 10,5])</f>
        <v>0</v>
      </c>
      <c r="W62" s="4">
        <f>SUBTOTAL(109,Tabla61220283861626465666768661626[Ret IIBB Caba])</f>
        <v>7034.05</v>
      </c>
      <c r="X62" s="4">
        <f>SUBTOTAL(109,Tabla61220283861626465666768661626[PERC IVA])</f>
        <v>3141.51</v>
      </c>
      <c r="Z62" s="3"/>
      <c r="AA62" s="21">
        <f>Tabla35681321293971727475767778771727[[#This Row],[COMISIONES]]*0.21</f>
        <v>0</v>
      </c>
      <c r="AB62" s="21"/>
      <c r="AC62" s="21"/>
      <c r="AD62" s="21"/>
      <c r="AF62"/>
      <c r="AG62"/>
      <c r="AH62"/>
      <c r="AI62"/>
      <c r="AJ62"/>
      <c r="AK62"/>
      <c r="AL62"/>
      <c r="AM62"/>
      <c r="AN62"/>
      <c r="AO62"/>
    </row>
    <row r="63" spans="1:41" s="6" customFormat="1" x14ac:dyDescent="0.25">
      <c r="A63"/>
      <c r="B63"/>
      <c r="C63"/>
      <c r="D63"/>
      <c r="E63"/>
      <c r="F63"/>
      <c r="H63" s="11"/>
      <c r="I63" s="11">
        <f>Tabla391523314191929495969798991929[[#This Row],[COMISIONES]]*0.21</f>
        <v>0</v>
      </c>
      <c r="J63" s="11"/>
      <c r="K63" s="11"/>
      <c r="L63" s="11"/>
      <c r="N63" s="11"/>
      <c r="O63" s="11">
        <f>Tabla351018263641424445464748441424[[#This Row],[COMISIONES]]*0.21</f>
        <v>0</v>
      </c>
      <c r="P63" s="11"/>
      <c r="Q63" s="11"/>
      <c r="R63" s="11"/>
      <c r="T63"/>
      <c r="U63"/>
      <c r="V63"/>
      <c r="W63"/>
      <c r="X63"/>
      <c r="Z63" s="3"/>
      <c r="AA63" s="11" t="s">
        <v>18</v>
      </c>
      <c r="AB63" s="21">
        <f>Tabla35681321293971727475767778771727[[#This Row],[COMISIONES]]*0.105</f>
        <v>0</v>
      </c>
      <c r="AC63" s="21"/>
      <c r="AD63" s="21"/>
      <c r="AF63"/>
      <c r="AG63"/>
      <c r="AH63"/>
      <c r="AI63"/>
      <c r="AJ63"/>
      <c r="AK63"/>
      <c r="AL63"/>
      <c r="AM63"/>
      <c r="AN63"/>
      <c r="AO63"/>
    </row>
    <row r="64" spans="1:41" s="6" customFormat="1" ht="18.75" x14ac:dyDescent="0.3">
      <c r="A64"/>
      <c r="B64"/>
      <c r="C64"/>
      <c r="D64"/>
      <c r="E64"/>
      <c r="F64"/>
      <c r="H64" s="11"/>
      <c r="I64" s="11">
        <f>Tabla391523314191929495969798991929[[#This Row],[COMISIONES]]*0.21</f>
        <v>0</v>
      </c>
      <c r="J64" s="11"/>
      <c r="K64" s="11"/>
      <c r="L64" s="11"/>
      <c r="N64" s="11"/>
      <c r="O64" s="11">
        <f>Tabla351018263641424445464748441424[[#This Row],[COMISIONES]]*0.21</f>
        <v>0</v>
      </c>
      <c r="P64" s="11"/>
      <c r="Q64" s="11"/>
      <c r="R64" s="11"/>
      <c r="T64" s="52" t="s">
        <v>19</v>
      </c>
      <c r="U64" s="52"/>
      <c r="V64" s="52"/>
      <c r="W64" s="52"/>
      <c r="X64" s="52"/>
      <c r="Z64" s="3"/>
      <c r="AA64" s="21">
        <f>Tabla35681321293971727475767778771727[[#This Row],[COMISIONES]]*0.21</f>
        <v>0</v>
      </c>
      <c r="AB64" s="1"/>
      <c r="AC64" s="21"/>
      <c r="AD64"/>
      <c r="AF64"/>
      <c r="AG64"/>
      <c r="AH64"/>
      <c r="AI64"/>
      <c r="AJ64"/>
      <c r="AK64"/>
      <c r="AL64"/>
      <c r="AM64"/>
      <c r="AN64"/>
      <c r="AO64"/>
    </row>
    <row r="65" spans="1:41" s="6" customFormat="1" x14ac:dyDescent="0.25">
      <c r="A65"/>
      <c r="B65"/>
      <c r="C65"/>
      <c r="D65"/>
      <c r="E65"/>
      <c r="F65"/>
      <c r="H65" s="11"/>
      <c r="I65" s="11">
        <f>Tabla391523314191929495969798991929[[#This Row],[COMISIONES]]*0.21</f>
        <v>0</v>
      </c>
      <c r="J65" s="11"/>
      <c r="K65" s="11"/>
      <c r="L65" s="11"/>
      <c r="N65" s="11"/>
      <c r="O65" s="11">
        <f>Tabla351018263641424445464748441424[[#This Row],[COMISIONES]]*0.21</f>
        <v>0</v>
      </c>
      <c r="P65" s="11"/>
      <c r="Q65" s="11"/>
      <c r="R65" s="11"/>
      <c r="T65" s="12" t="s">
        <v>2</v>
      </c>
      <c r="U65" s="13" t="s">
        <v>0</v>
      </c>
      <c r="V65" s="13" t="s">
        <v>1</v>
      </c>
      <c r="W65" s="13" t="s">
        <v>3</v>
      </c>
      <c r="X65" s="13" t="s">
        <v>4</v>
      </c>
      <c r="Z65" s="3"/>
      <c r="AA65" s="21">
        <f>Tabla35681321293971727475767778771727[[#This Row],[COMISIONES]]*0.21</f>
        <v>0</v>
      </c>
      <c r="AB65" s="21"/>
      <c r="AC65" s="21"/>
      <c r="AD65"/>
      <c r="AF65"/>
      <c r="AG65"/>
      <c r="AH65"/>
      <c r="AI65"/>
      <c r="AJ65"/>
      <c r="AK65"/>
      <c r="AL65"/>
      <c r="AM65"/>
      <c r="AN65"/>
      <c r="AO65"/>
    </row>
    <row r="66" spans="1:41" s="6" customFormat="1" x14ac:dyDescent="0.25">
      <c r="A66"/>
      <c r="B66"/>
      <c r="C66"/>
      <c r="D66"/>
      <c r="E66"/>
      <c r="F66"/>
      <c r="H66" s="11"/>
      <c r="I66" s="11">
        <f>Tabla391523314191929495969798991929[[#This Row],[COMISIONES]]*0.21</f>
        <v>0</v>
      </c>
      <c r="J66" s="11"/>
      <c r="K66" s="11"/>
      <c r="L66" s="11"/>
      <c r="N66" s="11"/>
      <c r="O66" s="11">
        <f>Tabla351018263641424445464748441424[[#This Row],[COMISIONES]]*0.21</f>
        <v>0</v>
      </c>
      <c r="P66" s="11"/>
      <c r="Q66" s="11"/>
      <c r="R66" s="11"/>
      <c r="T66" s="11"/>
      <c r="U66" s="11">
        <f>Tabla612202833421020305060708090102030[[#This Row],[COMISIONES]]*0.21</f>
        <v>0</v>
      </c>
      <c r="V66" s="11"/>
      <c r="W66" s="1"/>
      <c r="X66" s="11"/>
      <c r="Z66" s="3"/>
      <c r="AA66" s="21">
        <f>Tabla35681321293971727475767778771727[[#This Row],[COMISIONES]]*0.21</f>
        <v>0</v>
      </c>
      <c r="AB66" s="21"/>
      <c r="AC66" s="21"/>
      <c r="AD66" s="21"/>
      <c r="AF66"/>
      <c r="AG66"/>
      <c r="AH66"/>
      <c r="AI66"/>
      <c r="AJ66"/>
      <c r="AK66"/>
      <c r="AL66"/>
      <c r="AM66"/>
      <c r="AN66"/>
      <c r="AO66"/>
    </row>
    <row r="67" spans="1:41" s="6" customFormat="1" x14ac:dyDescent="0.25">
      <c r="A67"/>
      <c r="B67"/>
      <c r="C67"/>
      <c r="D67"/>
      <c r="E67"/>
      <c r="F67"/>
      <c r="H67" s="11"/>
      <c r="I67" s="11">
        <f>Tabla391523314191929495969798991929[[#This Row],[COMISIONES]]*0.21</f>
        <v>0</v>
      </c>
      <c r="J67" s="11"/>
      <c r="K67" s="11"/>
      <c r="L67" s="11"/>
      <c r="N67" s="18"/>
      <c r="O67" s="11">
        <f>Tabla351018263641424445464748441424[[#This Row],[COMISIONES]]*0.21</f>
        <v>0</v>
      </c>
      <c r="P67" s="18"/>
      <c r="Q67" s="18"/>
      <c r="R67" s="18"/>
      <c r="T67" s="11"/>
      <c r="U67" s="11">
        <f>Tabla612202833421020305060708090102030[[#This Row],[COMISIONES]]*0.21</f>
        <v>0</v>
      </c>
      <c r="V67" s="11"/>
      <c r="W67" s="11"/>
      <c r="X67" s="11"/>
      <c r="Z67" s="3"/>
      <c r="AA67" s="11" t="s">
        <v>18</v>
      </c>
      <c r="AB67" s="21">
        <f>Tabla35681321293971727475767778771727[[#This Row],[COMISIONES]]*0.105</f>
        <v>0</v>
      </c>
      <c r="AC67" s="21"/>
      <c r="AD67" s="21"/>
      <c r="AF67"/>
      <c r="AG67"/>
      <c r="AH67"/>
      <c r="AI67"/>
      <c r="AJ67"/>
      <c r="AK67"/>
      <c r="AL67"/>
      <c r="AM67"/>
      <c r="AN67"/>
      <c r="AO67"/>
    </row>
    <row r="68" spans="1:41" s="6" customFormat="1" x14ac:dyDescent="0.25">
      <c r="A68"/>
      <c r="B68"/>
      <c r="C68"/>
      <c r="D68"/>
      <c r="E68"/>
      <c r="F68"/>
      <c r="H68" s="11"/>
      <c r="I68" s="11">
        <f>Tabla391523314191929495969798991929[[#This Row],[COMISIONES]]*0.21</f>
        <v>0</v>
      </c>
      <c r="J68" s="11"/>
      <c r="K68" s="11"/>
      <c r="L68" s="11"/>
      <c r="N68" s="18"/>
      <c r="O68" s="11">
        <f>Tabla351018263641424445464748441424[[#This Row],[COMISIONES]]*0.21</f>
        <v>0</v>
      </c>
      <c r="P68" s="18"/>
      <c r="Q68" s="18"/>
      <c r="R68" s="18"/>
      <c r="T68" s="11"/>
      <c r="U68" s="19">
        <f>Tabla612202833421020305060708090102030[[#This Row],[COMISIONES]]*0.21</f>
        <v>0</v>
      </c>
      <c r="V68"/>
      <c r="W68" s="1"/>
      <c r="X68"/>
      <c r="Z68" s="3"/>
      <c r="AA68" s="21">
        <f>Tabla35681321293971727475767778771727[[#This Row],[COMISIONES]]*0.21</f>
        <v>0</v>
      </c>
      <c r="AB68" s="21"/>
      <c r="AC68" s="21"/>
      <c r="AD68" s="21"/>
      <c r="AF68"/>
      <c r="AG68"/>
      <c r="AH68"/>
      <c r="AI68"/>
      <c r="AJ68"/>
      <c r="AK68"/>
      <c r="AL68"/>
      <c r="AM68"/>
      <c r="AN68"/>
      <c r="AO68"/>
    </row>
    <row r="69" spans="1:41" s="6" customFormat="1" x14ac:dyDescent="0.25">
      <c r="A69"/>
      <c r="B69"/>
      <c r="C69"/>
      <c r="D69"/>
      <c r="E69"/>
      <c r="F69"/>
      <c r="H69" s="11"/>
      <c r="I69" s="11">
        <f>Tabla391523314191929495969798991929[[#This Row],[COMISIONES]]*0.21</f>
        <v>0</v>
      </c>
      <c r="J69" s="11"/>
      <c r="K69" s="11"/>
      <c r="L69" s="11"/>
      <c r="N69" s="18"/>
      <c r="O69" s="11">
        <f>Tabla351018263641424445464748441424[[#This Row],[COMISIONES]]*0.21</f>
        <v>0</v>
      </c>
      <c r="P69" s="18"/>
      <c r="Q69" s="18"/>
      <c r="R69" s="18"/>
      <c r="T69" s="11"/>
      <c r="U69" s="19">
        <f>Tabla612202833421020305060708090102030[[#This Row],[COMISIONES]]*0.21</f>
        <v>0</v>
      </c>
      <c r="V69"/>
      <c r="W69"/>
      <c r="X69"/>
      <c r="Z69" s="3"/>
      <c r="AA69" s="21">
        <f>Tabla35681321293971727475767778771727[[#This Row],[COMISIONES]]*0.21</f>
        <v>0</v>
      </c>
      <c r="AB69" s="21"/>
      <c r="AC69" s="21"/>
      <c r="AD69" s="21"/>
      <c r="AF69"/>
      <c r="AG69"/>
      <c r="AH69"/>
      <c r="AI69"/>
      <c r="AJ69"/>
      <c r="AK69"/>
      <c r="AL69"/>
      <c r="AM69"/>
      <c r="AN69"/>
      <c r="AO69"/>
    </row>
    <row r="70" spans="1:41" s="6" customFormat="1" x14ac:dyDescent="0.25">
      <c r="A70"/>
      <c r="B70"/>
      <c r="C70"/>
      <c r="D70"/>
      <c r="E70"/>
      <c r="F70"/>
      <c r="H70" s="11"/>
      <c r="I70" s="11">
        <f>Tabla391523314191929495969798991929[[#This Row],[COMISIONES]]*0.21</f>
        <v>0</v>
      </c>
      <c r="J70" s="11"/>
      <c r="K70" s="11"/>
      <c r="L70" s="11"/>
      <c r="N70" s="18"/>
      <c r="O70" s="11">
        <f>Tabla351018263641424445464748441424[[#This Row],[COMISIONES]]*0.21</f>
        <v>0</v>
      </c>
      <c r="P70" s="18"/>
      <c r="Q70" s="18"/>
      <c r="R70" s="18"/>
      <c r="T70" s="11"/>
      <c r="U70" s="19">
        <f>Tabla612202833421020305060708090102030[[#This Row],[COMISIONES]]*0.21</f>
        <v>0</v>
      </c>
      <c r="V70"/>
      <c r="W70"/>
      <c r="X70"/>
      <c r="Z70" s="3"/>
      <c r="AA70" s="21">
        <f>Tabla35681321293971727475767778771727[[#This Row],[COMISIONES]]*0.21</f>
        <v>0</v>
      </c>
      <c r="AB70" s="21"/>
      <c r="AC70" s="21"/>
      <c r="AD70" s="21"/>
      <c r="AF70"/>
      <c r="AG70"/>
      <c r="AH70"/>
      <c r="AI70"/>
      <c r="AJ70"/>
      <c r="AK70"/>
      <c r="AL70"/>
      <c r="AM70"/>
      <c r="AN70"/>
      <c r="AO70"/>
    </row>
    <row r="71" spans="1:41" s="6" customFormat="1" x14ac:dyDescent="0.25">
      <c r="A71"/>
      <c r="B71"/>
      <c r="C71"/>
      <c r="D71"/>
      <c r="E71"/>
      <c r="F71"/>
      <c r="H71" s="11"/>
      <c r="I71" s="11">
        <f>Tabla391523314191929495969798991929[[#This Row],[COMISIONES]]*0.21</f>
        <v>0</v>
      </c>
      <c r="J71" s="11"/>
      <c r="K71" s="11"/>
      <c r="L71" s="11"/>
      <c r="N71" s="18"/>
      <c r="O71" s="11">
        <f>Tabla351018263641424445464748441424[[#This Row],[COMISIONES]]*0.21</f>
        <v>0</v>
      </c>
      <c r="P71" s="18"/>
      <c r="Q71" s="18"/>
      <c r="R71" s="18"/>
      <c r="T71" s="11"/>
      <c r="U71" s="19">
        <f>Tabla612202833421020305060708090102030[[#This Row],[COMISIONES]]*0.21</f>
        <v>0</v>
      </c>
      <c r="V71"/>
      <c r="W71"/>
      <c r="X71"/>
      <c r="Z71" s="3"/>
      <c r="AA71" s="21">
        <f>Tabla35681321293971727475767778771727[[#This Row],[COMISIONES]]*0.21</f>
        <v>0</v>
      </c>
      <c r="AB71" s="21"/>
      <c r="AC71" s="21"/>
      <c r="AD71" s="21"/>
      <c r="AF71"/>
      <c r="AG71"/>
      <c r="AH71"/>
      <c r="AI71"/>
      <c r="AJ71"/>
      <c r="AK71"/>
      <c r="AL71"/>
      <c r="AM71"/>
      <c r="AN71"/>
      <c r="AO71"/>
    </row>
    <row r="72" spans="1:41" s="6" customFormat="1" x14ac:dyDescent="0.25">
      <c r="A72"/>
      <c r="B72"/>
      <c r="C72"/>
      <c r="D72"/>
      <c r="E72"/>
      <c r="F72"/>
      <c r="H72" s="11"/>
      <c r="I72" s="11">
        <f>Tabla391523314191929495969798991929[[#This Row],[COMISIONES]]*0.21</f>
        <v>0</v>
      </c>
      <c r="J72" s="11"/>
      <c r="K72" s="11"/>
      <c r="L72" s="11"/>
      <c r="N72" s="18"/>
      <c r="O72" s="11">
        <f>Tabla351018263641424445464748441424[[#This Row],[COMISIONES]]*0.21</f>
        <v>0</v>
      </c>
      <c r="P72" s="18"/>
      <c r="Q72" s="18"/>
      <c r="R72" s="18"/>
      <c r="T72" s="11"/>
      <c r="U72" s="19">
        <f>Tabla612202833421020305060708090102030[[#This Row],[COMISIONES]]*0.21</f>
        <v>0</v>
      </c>
      <c r="V72"/>
      <c r="W72"/>
      <c r="X72"/>
      <c r="Z72" s="3"/>
      <c r="AA72" s="21">
        <f>Tabla35681321293971727475767778771727[[#This Row],[COMISIONES]]*0.21</f>
        <v>0</v>
      </c>
      <c r="AB72" s="21"/>
      <c r="AC72" s="21"/>
      <c r="AD72" s="21"/>
      <c r="AF72"/>
      <c r="AG72"/>
      <c r="AH72"/>
      <c r="AI72"/>
      <c r="AJ72"/>
      <c r="AK72"/>
      <c r="AL72"/>
      <c r="AM72"/>
      <c r="AN72"/>
      <c r="AO72"/>
    </row>
    <row r="73" spans="1:41" s="6" customFormat="1" x14ac:dyDescent="0.25">
      <c r="A73"/>
      <c r="B73"/>
      <c r="C73"/>
      <c r="D73"/>
      <c r="E73"/>
      <c r="F73"/>
      <c r="H73" s="11"/>
      <c r="I73" s="11">
        <f>Tabla391523314191929495969798991929[[#This Row],[COMISIONES]]*0.21</f>
        <v>0</v>
      </c>
      <c r="J73" s="11"/>
      <c r="K73" s="11"/>
      <c r="L73" s="11"/>
      <c r="N73" s="18"/>
      <c r="O73" s="11">
        <f>Tabla351018263641424445464748441424[[#This Row],[COMISIONES]]*0.21</f>
        <v>0</v>
      </c>
      <c r="P73" s="18"/>
      <c r="Q73" s="18"/>
      <c r="R73" s="18"/>
      <c r="T73" s="11"/>
      <c r="U73" s="19">
        <f>Tabla612202833421020305060708090102030[[#This Row],[COMISIONES]]*0.21</f>
        <v>0</v>
      </c>
      <c r="V73"/>
      <c r="W73"/>
      <c r="X73"/>
      <c r="Z73" s="3"/>
      <c r="AA73" s="21">
        <f>Tabla35681321293971727475767778771727[[#This Row],[COMISIONES]]*0.21</f>
        <v>0</v>
      </c>
      <c r="AB73" s="1"/>
      <c r="AC73" s="1"/>
      <c r="AD73"/>
      <c r="AF73"/>
      <c r="AG73"/>
      <c r="AH73"/>
      <c r="AI73"/>
      <c r="AJ73"/>
      <c r="AK73"/>
      <c r="AL73"/>
      <c r="AM73"/>
      <c r="AN73"/>
      <c r="AO73"/>
    </row>
    <row r="74" spans="1:41" s="6" customFormat="1" x14ac:dyDescent="0.25">
      <c r="A74"/>
      <c r="B74"/>
      <c r="C74"/>
      <c r="D74"/>
      <c r="E74"/>
      <c r="F74"/>
      <c r="H74" s="11"/>
      <c r="I74" s="11">
        <f>Tabla391523314191929495969798991929[[#This Row],[COMISIONES]]*0.21</f>
        <v>0</v>
      </c>
      <c r="J74" s="11"/>
      <c r="K74" s="11"/>
      <c r="L74" s="11"/>
      <c r="N74" s="18"/>
      <c r="O74" s="11">
        <f>Tabla351018263641424445464748441424[[#This Row],[COMISIONES]]*0.21</f>
        <v>0</v>
      </c>
      <c r="P74" s="18"/>
      <c r="Q74" s="18"/>
      <c r="R74" s="18"/>
      <c r="T74" s="11"/>
      <c r="U74" s="19">
        <f>Tabla612202833421020305060708090102030[[#This Row],[COMISIONES]]*0.21</f>
        <v>0</v>
      </c>
      <c r="V74"/>
      <c r="W74"/>
      <c r="X74"/>
      <c r="Z74" s="3"/>
      <c r="AA74" s="11" t="s">
        <v>18</v>
      </c>
      <c r="AB74" s="19">
        <f>Tabla35681321293971727475767778771727[[#This Row],[COMISIONES]]*0.105</f>
        <v>0</v>
      </c>
      <c r="AC74"/>
      <c r="AD74"/>
      <c r="AF74"/>
      <c r="AG74"/>
      <c r="AH74"/>
      <c r="AI74"/>
      <c r="AJ74"/>
      <c r="AK74"/>
      <c r="AL74"/>
      <c r="AM74"/>
      <c r="AN74"/>
      <c r="AO74"/>
    </row>
    <row r="75" spans="1:41" s="6" customFormat="1" x14ac:dyDescent="0.25">
      <c r="A75"/>
      <c r="B75"/>
      <c r="C75"/>
      <c r="D75"/>
      <c r="E75"/>
      <c r="F75"/>
      <c r="H75" s="11"/>
      <c r="I75" s="11">
        <f>Tabla391523314191929495969798991929[[#This Row],[COMISIONES]]*0.21</f>
        <v>0</v>
      </c>
      <c r="J75" s="11"/>
      <c r="K75" s="11"/>
      <c r="L75" s="11"/>
      <c r="N75" s="18"/>
      <c r="O75" s="11">
        <f>Tabla351018263641424445464748441424[[#This Row],[COMISIONES]]*0.21</f>
        <v>0</v>
      </c>
      <c r="P75" s="18"/>
      <c r="Q75" s="18"/>
      <c r="R75" s="18"/>
      <c r="T75" s="11"/>
      <c r="U75" s="19">
        <f>Tabla612202833421020305060708090102030[[#This Row],[COMISIONES]]*0.21</f>
        <v>0</v>
      </c>
      <c r="V75"/>
      <c r="W75"/>
      <c r="X75"/>
      <c r="Z75" s="3"/>
      <c r="AA75" s="11">
        <f>Tabla35681321293971727475767778771727[[#This Row],[COMISIONES]]*0.21</f>
        <v>0</v>
      </c>
      <c r="AB75" s="1" t="s">
        <v>18</v>
      </c>
      <c r="AC75" s="21"/>
      <c r="AD75"/>
      <c r="AF75"/>
      <c r="AG75"/>
      <c r="AH75"/>
      <c r="AI75"/>
      <c r="AJ75"/>
      <c r="AK75"/>
      <c r="AL75"/>
      <c r="AM75"/>
      <c r="AN75"/>
      <c r="AO75"/>
    </row>
    <row r="76" spans="1:41" s="6" customFormat="1" x14ac:dyDescent="0.25">
      <c r="A76"/>
      <c r="B76"/>
      <c r="C76"/>
      <c r="D76"/>
      <c r="E76"/>
      <c r="F76"/>
      <c r="H76" s="11"/>
      <c r="I76" s="11">
        <f>Tabla391523314191929495969798991929[[#This Row],[COMISIONES]]*0.21</f>
        <v>0</v>
      </c>
      <c r="J76" s="11"/>
      <c r="K76" s="11"/>
      <c r="L76" s="11"/>
      <c r="N76" s="18"/>
      <c r="O76" s="11">
        <f>Tabla351018263641424445464748441424[[#This Row],[COMISIONES]]*0.21</f>
        <v>0</v>
      </c>
      <c r="P76" s="18"/>
      <c r="Q76" s="18"/>
      <c r="R76" s="18"/>
      <c r="T76"/>
      <c r="U76" s="19">
        <f>Tabla612202833421020305060708090102030[[#This Row],[COMISIONES]]*0.21</f>
        <v>0</v>
      </c>
      <c r="V76"/>
      <c r="W76"/>
      <c r="X76"/>
      <c r="Z76" s="3"/>
      <c r="AA76" s="21">
        <f>Tabla35681321293971727475767778771727[[#This Row],[COMISIONES]]*0.21</f>
        <v>0</v>
      </c>
      <c r="AB76" s="1"/>
      <c r="AC76" s="21"/>
      <c r="AD76"/>
      <c r="AF76"/>
      <c r="AG76"/>
      <c r="AH76"/>
      <c r="AI76"/>
      <c r="AJ76"/>
      <c r="AK76"/>
      <c r="AL76"/>
      <c r="AM76"/>
      <c r="AN76"/>
      <c r="AO76"/>
    </row>
    <row r="77" spans="1:41" s="6" customFormat="1" x14ac:dyDescent="0.25">
      <c r="A77"/>
      <c r="B77"/>
      <c r="C77"/>
      <c r="D77"/>
      <c r="E77"/>
      <c r="F77"/>
      <c r="H77" s="11"/>
      <c r="I77" s="11">
        <f>Tabla391523314191929495969798991929[[#This Row],[COMISIONES]]*0.21</f>
        <v>0</v>
      </c>
      <c r="J77" s="11"/>
      <c r="K77" s="11"/>
      <c r="L77" s="11"/>
      <c r="N77" s="18"/>
      <c r="O77" s="11">
        <f>Tabla351018263641424445464748441424[[#This Row],[COMISIONES]]*0.21</f>
        <v>0</v>
      </c>
      <c r="P77" s="18"/>
      <c r="Q77" s="18"/>
      <c r="R77" s="18"/>
      <c r="T77"/>
      <c r="U77" s="19">
        <f>Tabla612202833421020305060708090102030[[#This Row],[COMISIONES]]*0.21</f>
        <v>0</v>
      </c>
      <c r="V77"/>
      <c r="W77"/>
      <c r="X77"/>
      <c r="Z77" s="3"/>
      <c r="AA77" s="21">
        <f>Tabla35681321293971727475767778771727[[#This Row],[COMISIONES]]*0.21</f>
        <v>0</v>
      </c>
      <c r="AB77" s="1"/>
      <c r="AC77" s="21"/>
      <c r="AD77"/>
      <c r="AF77"/>
      <c r="AG77"/>
      <c r="AH77"/>
      <c r="AI77"/>
      <c r="AJ77"/>
      <c r="AK77"/>
      <c r="AL77"/>
      <c r="AM77"/>
      <c r="AN77"/>
      <c r="AO77"/>
    </row>
    <row r="78" spans="1:41" s="6" customFormat="1" x14ac:dyDescent="0.25">
      <c r="A78"/>
      <c r="B78"/>
      <c r="C78"/>
      <c r="D78"/>
      <c r="E78"/>
      <c r="F78"/>
      <c r="H78" s="11"/>
      <c r="I78" s="11">
        <f>Tabla391523314191929495969798991929[[#This Row],[COMISIONES]]*0.21</f>
        <v>0</v>
      </c>
      <c r="J78" s="11"/>
      <c r="K78" s="11"/>
      <c r="L78" s="11"/>
      <c r="N78" s="18"/>
      <c r="O78" s="11">
        <f>Tabla351018263641424445464748441424[[#This Row],[COMISIONES]]*0.21</f>
        <v>0</v>
      </c>
      <c r="P78" s="18"/>
      <c r="Q78" s="18"/>
      <c r="R78" s="18"/>
      <c r="T78"/>
      <c r="U78" s="19">
        <f>Tabla612202833421020305060708090102030[[#This Row],[COMISIONES]]*0.21</f>
        <v>0</v>
      </c>
      <c r="V78"/>
      <c r="W78"/>
      <c r="X78"/>
      <c r="Z78" s="3"/>
      <c r="AA78" s="11" t="s">
        <v>18</v>
      </c>
      <c r="AB78" s="1">
        <f>Tabla35681321293971727475767778771727[[#This Row],[COMISIONES]]*0.105</f>
        <v>0</v>
      </c>
      <c r="AC78" s="21"/>
      <c r="AD78"/>
      <c r="AF78"/>
      <c r="AG78"/>
      <c r="AH78"/>
      <c r="AI78"/>
      <c r="AJ78"/>
      <c r="AK78"/>
      <c r="AL78"/>
      <c r="AM78"/>
      <c r="AN78"/>
      <c r="AO78"/>
    </row>
    <row r="79" spans="1:41" s="6" customFormat="1" x14ac:dyDescent="0.25">
      <c r="A79"/>
      <c r="B79"/>
      <c r="C79"/>
      <c r="D79"/>
      <c r="E79"/>
      <c r="F79"/>
      <c r="H79" s="11"/>
      <c r="I79" s="11">
        <f>Tabla391523314191929495969798991929[[#This Row],[COMISIONES]]*0.21</f>
        <v>0</v>
      </c>
      <c r="J79" s="11"/>
      <c r="K79" s="11"/>
      <c r="L79" s="11"/>
      <c r="N79" s="18"/>
      <c r="O79" s="11">
        <f>Tabla351018263641424445464748441424[[#This Row],[COMISIONES]]*0.21</f>
        <v>0</v>
      </c>
      <c r="P79" s="18"/>
      <c r="Q79" s="18"/>
      <c r="R79" s="18"/>
      <c r="T79"/>
      <c r="U79" s="19">
        <f>Tabla612202833421020305060708090102030[[#This Row],[COMISIONES]]*0.21</f>
        <v>0</v>
      </c>
      <c r="V79"/>
      <c r="W79"/>
      <c r="X79"/>
      <c r="Z79" s="3"/>
      <c r="AA79" s="21">
        <f>Tabla35681321293971727475767778771727[[#This Row],[COMISIONES]]*0.21</f>
        <v>0</v>
      </c>
      <c r="AB79" s="11" t="s">
        <v>18</v>
      </c>
      <c r="AC79" s="21"/>
      <c r="AD79"/>
      <c r="AF79"/>
      <c r="AG79"/>
      <c r="AH79"/>
      <c r="AI79"/>
      <c r="AJ79"/>
      <c r="AK79"/>
      <c r="AL79"/>
      <c r="AM79"/>
      <c r="AN79"/>
      <c r="AO79"/>
    </row>
    <row r="80" spans="1:41" s="6" customFormat="1" x14ac:dyDescent="0.25">
      <c r="A80"/>
      <c r="B80"/>
      <c r="C80"/>
      <c r="D80"/>
      <c r="E80"/>
      <c r="F80"/>
      <c r="H80" s="11"/>
      <c r="I80" s="11">
        <f>Tabla391523314191929495969798991929[[#This Row],[COMISIONES]]*0.21</f>
        <v>0</v>
      </c>
      <c r="J80" s="11"/>
      <c r="K80" s="11"/>
      <c r="L80" s="11"/>
      <c r="N80" s="18"/>
      <c r="O80" s="11">
        <f>Tabla351018263641424445464748441424[[#This Row],[COMISIONES]]*0.21</f>
        <v>0</v>
      </c>
      <c r="P80" s="18"/>
      <c r="Q80" s="18"/>
      <c r="R80" s="18"/>
      <c r="T80"/>
      <c r="U80" s="19">
        <f>Tabla612202833421020305060708090102030[[#This Row],[COMISIONES]]*0.21</f>
        <v>0</v>
      </c>
      <c r="V80"/>
      <c r="W80"/>
      <c r="X80"/>
      <c r="Z80" s="3"/>
      <c r="AA80" s="21">
        <f>Tabla35681321293971727475767778771727[[#This Row],[COMISIONES]]*0.21</f>
        <v>0</v>
      </c>
      <c r="AB80" s="21"/>
      <c r="AC80" s="21"/>
      <c r="AD80"/>
      <c r="AF80"/>
      <c r="AG80"/>
      <c r="AH80"/>
      <c r="AI80"/>
      <c r="AJ80"/>
      <c r="AK80"/>
      <c r="AL80"/>
      <c r="AM80"/>
      <c r="AN80"/>
      <c r="AO80"/>
    </row>
    <row r="81" spans="1:41" s="6" customFormat="1" x14ac:dyDescent="0.25">
      <c r="A81"/>
      <c r="B81"/>
      <c r="C81"/>
      <c r="D81"/>
      <c r="E81"/>
      <c r="F81"/>
      <c r="H81" s="18"/>
      <c r="I81" s="18">
        <f>Tabla391523314191929495969798991929[[#This Row],[COMISIONES]]*0.21</f>
        <v>0</v>
      </c>
      <c r="J81" s="18"/>
      <c r="K81" s="18"/>
      <c r="L81" s="18"/>
      <c r="N81" s="18"/>
      <c r="O81" s="11">
        <f>Tabla351018263641424445464748441424[[#This Row],[COMISIONES]]*0.21</f>
        <v>0</v>
      </c>
      <c r="P81" s="18"/>
      <c r="Q81" s="18"/>
      <c r="R81" s="18"/>
      <c r="T81"/>
      <c r="U81" s="19">
        <f>Tabla612202833421020305060708090102030[[#This Row],[COMISIONES]]*0.21</f>
        <v>0</v>
      </c>
      <c r="V81"/>
      <c r="W81"/>
      <c r="X81"/>
      <c r="Z81" s="3"/>
      <c r="AA81" s="21">
        <f>Tabla35681321293971727475767778771727[[#This Row],[COMISIONES]]*0.21</f>
        <v>0</v>
      </c>
      <c r="AB81" s="21"/>
      <c r="AC81" s="21"/>
      <c r="AD81"/>
      <c r="AF81"/>
      <c r="AG81"/>
      <c r="AH81"/>
      <c r="AI81"/>
      <c r="AJ81"/>
      <c r="AK81"/>
      <c r="AL81"/>
      <c r="AM81"/>
      <c r="AN81"/>
      <c r="AO81"/>
    </row>
    <row r="82" spans="1:41" s="6" customFormat="1" x14ac:dyDescent="0.25">
      <c r="A82"/>
      <c r="B82"/>
      <c r="C82"/>
      <c r="D82"/>
      <c r="E82"/>
      <c r="F82"/>
      <c r="H82" s="18"/>
      <c r="I82" s="18">
        <f>Tabla391523314191929495969798991929[[#This Row],[COMISIONES]]*0.21</f>
        <v>0</v>
      </c>
      <c r="J82" s="18"/>
      <c r="K82" s="18"/>
      <c r="L82" s="18"/>
      <c r="N82" s="18"/>
      <c r="O82" s="11">
        <f>Tabla351018263641424445464748441424[[#This Row],[COMISIONES]]*0.21</f>
        <v>0</v>
      </c>
      <c r="P82" s="18"/>
      <c r="Q82" s="18"/>
      <c r="R82" s="18"/>
      <c r="T82"/>
      <c r="U82" s="19">
        <f>Tabla612202833421020305060708090102030[[#This Row],[COMISIONES]]*0.21</f>
        <v>0</v>
      </c>
      <c r="V82"/>
      <c r="W82"/>
      <c r="X82"/>
      <c r="Z82" s="3"/>
      <c r="AA82" s="21">
        <f>Tabla35681321293971727475767778771727[[#This Row],[COMISIONES]]*0.21</f>
        <v>0</v>
      </c>
      <c r="AB82" s="1"/>
      <c r="AC82" s="1"/>
      <c r="AD82"/>
      <c r="AF82"/>
      <c r="AG82"/>
      <c r="AH82"/>
      <c r="AI82"/>
      <c r="AJ82"/>
      <c r="AK82"/>
      <c r="AL82"/>
      <c r="AM82"/>
      <c r="AN82"/>
      <c r="AO82"/>
    </row>
    <row r="83" spans="1:41" s="6" customFormat="1" x14ac:dyDescent="0.25">
      <c r="A83"/>
      <c r="B83"/>
      <c r="C83"/>
      <c r="D83"/>
      <c r="E83"/>
      <c r="F83"/>
      <c r="H83" s="18"/>
      <c r="I83" s="18">
        <f>Tabla391523314191929495969798991929[[#This Row],[COMISIONES]]*0.21</f>
        <v>0</v>
      </c>
      <c r="J83" s="18"/>
      <c r="K83" s="18"/>
      <c r="L83" s="18"/>
      <c r="N83" s="18"/>
      <c r="O83" s="11">
        <f>Tabla351018263641424445464748441424[[#This Row],[COMISIONES]]*0.21</f>
        <v>0</v>
      </c>
      <c r="P83" s="18"/>
      <c r="Q83" s="18"/>
      <c r="R83" s="18"/>
      <c r="T83"/>
      <c r="U83" s="19">
        <f>Tabla612202833421020305060708090102030[[#This Row],[COMISIONES]]*0.21</f>
        <v>0</v>
      </c>
      <c r="V83"/>
      <c r="W83"/>
      <c r="X83"/>
      <c r="Z83" s="3"/>
      <c r="AA83" s="21"/>
      <c r="AB83" s="21">
        <f>Tabla35681321293971727475767778771727[[#This Row],[COMISIONES]]*0.105</f>
        <v>0</v>
      </c>
      <c r="AC83" s="21"/>
      <c r="AD83"/>
      <c r="AF83"/>
      <c r="AG83"/>
      <c r="AH83"/>
      <c r="AI83"/>
      <c r="AJ83"/>
      <c r="AK83"/>
      <c r="AL83"/>
      <c r="AM83"/>
      <c r="AN83"/>
      <c r="AO83"/>
    </row>
    <row r="84" spans="1:41" s="6" customFormat="1" x14ac:dyDescent="0.25">
      <c r="A84"/>
      <c r="B84"/>
      <c r="C84"/>
      <c r="D84"/>
      <c r="E84"/>
      <c r="F84"/>
      <c r="H84" s="18"/>
      <c r="I84" s="18">
        <f>Tabla391523314191929495969798991929[[#This Row],[COMISIONES]]*0.21</f>
        <v>0</v>
      </c>
      <c r="J84" s="18"/>
      <c r="K84" s="18"/>
      <c r="L84" s="18"/>
      <c r="N84" s="18"/>
      <c r="O84" s="11">
        <f>Tabla351018263641424445464748441424[[#This Row],[COMISIONES]]*0.21</f>
        <v>0</v>
      </c>
      <c r="P84" s="18"/>
      <c r="Q84" s="18"/>
      <c r="R84" s="18"/>
      <c r="T84"/>
      <c r="U84" s="19">
        <f>Tabla612202833421020305060708090102030[[#This Row],[COMISIONES]]*0.21</f>
        <v>0</v>
      </c>
      <c r="V84"/>
      <c r="W84"/>
      <c r="X84"/>
      <c r="Z84" s="3"/>
      <c r="AA84" s="21">
        <f>Tabla35681321293971727475767778771727[[#This Row],[COMISIONES]]*0.21</f>
        <v>0</v>
      </c>
      <c r="AB84" s="21"/>
      <c r="AC84" s="1"/>
      <c r="AD84"/>
      <c r="AF84"/>
      <c r="AG84"/>
      <c r="AH84"/>
      <c r="AI84"/>
      <c r="AJ84"/>
      <c r="AK84"/>
      <c r="AL84"/>
      <c r="AM84"/>
      <c r="AN84"/>
      <c r="AO84"/>
    </row>
    <row r="85" spans="1:41" s="6" customFormat="1" x14ac:dyDescent="0.25">
      <c r="A85"/>
      <c r="B85"/>
      <c r="C85"/>
      <c r="D85"/>
      <c r="E85"/>
      <c r="F85"/>
      <c r="H85" s="18"/>
      <c r="I85" s="18">
        <f>Tabla391523314191929495969798991929[[#This Row],[COMISIONES]]*0.21</f>
        <v>0</v>
      </c>
      <c r="J85" s="18"/>
      <c r="K85" s="18"/>
      <c r="L85" s="18"/>
      <c r="N85" s="18"/>
      <c r="O85" s="11">
        <f>Tabla351018263641424445464748441424[[#This Row],[COMISIONES]]*0.21</f>
        <v>0</v>
      </c>
      <c r="P85" s="18"/>
      <c r="Q85" s="18"/>
      <c r="R85" s="18"/>
      <c r="T85"/>
      <c r="U85" s="19">
        <f>Tabla612202833421020305060708090102030[[#This Row],[COMISIONES]]*0.21</f>
        <v>0</v>
      </c>
      <c r="V85"/>
      <c r="W85"/>
      <c r="X85"/>
      <c r="Z85" s="3"/>
      <c r="AA85" s="21">
        <f>Tabla35681321293971727475767778771727[[#This Row],[COMISIONES]]*0.21</f>
        <v>0</v>
      </c>
      <c r="AB85" s="1"/>
      <c r="AC85" s="1"/>
      <c r="AD85"/>
      <c r="AF85"/>
      <c r="AG85"/>
      <c r="AH85"/>
      <c r="AI85"/>
      <c r="AJ85"/>
      <c r="AK85"/>
      <c r="AL85"/>
      <c r="AM85"/>
      <c r="AN85"/>
      <c r="AO85"/>
    </row>
    <row r="86" spans="1:41" s="6" customFormat="1" x14ac:dyDescent="0.25">
      <c r="A86"/>
      <c r="B86"/>
      <c r="C86"/>
      <c r="D86"/>
      <c r="E86"/>
      <c r="F86"/>
      <c r="H86" s="18"/>
      <c r="I86" s="18">
        <f>Tabla391523314191929495969798991929[[#This Row],[COMISIONES]]*0.21</f>
        <v>0</v>
      </c>
      <c r="J86" s="18"/>
      <c r="K86" s="18"/>
      <c r="L86" s="18"/>
      <c r="N86" s="18"/>
      <c r="O86" s="11">
        <f>Tabla351018263641424445464748441424[[#This Row],[COMISIONES]]*0.21</f>
        <v>0</v>
      </c>
      <c r="P86" s="18"/>
      <c r="Q86" s="18"/>
      <c r="R86" s="18"/>
      <c r="T86"/>
      <c r="U86" s="19">
        <f>Tabla612202833421020305060708090102030[[#This Row],[COMISIONES]]*0.21</f>
        <v>0</v>
      </c>
      <c r="V86"/>
      <c r="W86"/>
      <c r="X86"/>
      <c r="Z86" s="3"/>
      <c r="AA86" s="21">
        <f>Tabla35681321293971727475767778771727[[#This Row],[COMISIONES]]*0.21</f>
        <v>0</v>
      </c>
      <c r="AB86" s="21"/>
      <c r="AC86" s="1"/>
      <c r="AD86"/>
      <c r="AF86"/>
      <c r="AG86"/>
      <c r="AH86"/>
      <c r="AI86"/>
      <c r="AJ86"/>
      <c r="AK86"/>
      <c r="AL86"/>
      <c r="AM86"/>
      <c r="AN86"/>
      <c r="AO86"/>
    </row>
    <row r="87" spans="1:41" s="6" customFormat="1" x14ac:dyDescent="0.25">
      <c r="A87"/>
      <c r="B87"/>
      <c r="C87"/>
      <c r="D87"/>
      <c r="E87"/>
      <c r="F87"/>
      <c r="H87" s="18"/>
      <c r="I87" s="18">
        <f>Tabla391523314191929495969798991929[[#This Row],[COMISIONES]]*0.21</f>
        <v>0</v>
      </c>
      <c r="J87" s="18"/>
      <c r="K87" s="18"/>
      <c r="L87" s="18"/>
      <c r="N87" s="18"/>
      <c r="O87" s="11">
        <f>Tabla351018263641424445464748441424[[#This Row],[COMISIONES]]*0.21</f>
        <v>0</v>
      </c>
      <c r="P87" s="18"/>
      <c r="Q87" s="18"/>
      <c r="R87" s="18"/>
      <c r="T87"/>
      <c r="U87" s="19">
        <f>Tabla612202833421020305060708090102030[[#This Row],[COMISIONES]]*0.21</f>
        <v>0</v>
      </c>
      <c r="V87"/>
      <c r="W87"/>
      <c r="X87"/>
      <c r="Z87" s="3"/>
      <c r="AA87" s="21">
        <f>Tabla35681321293971727475767778771727[[#This Row],[COMISIONES]]*0.21</f>
        <v>0</v>
      </c>
      <c r="AB87" s="1"/>
      <c r="AC87" s="1"/>
      <c r="AD87" s="21"/>
      <c r="AF87"/>
      <c r="AG87"/>
      <c r="AH87"/>
      <c r="AI87"/>
      <c r="AJ87"/>
      <c r="AK87"/>
      <c r="AL87"/>
      <c r="AM87"/>
      <c r="AN87"/>
      <c r="AO87"/>
    </row>
    <row r="88" spans="1:41" s="6" customFormat="1" x14ac:dyDescent="0.25">
      <c r="A88"/>
      <c r="B88"/>
      <c r="C88"/>
      <c r="D88"/>
      <c r="E88"/>
      <c r="F88"/>
      <c r="H88" s="18"/>
      <c r="I88" s="18">
        <f>Tabla391523314191929495969798991929[[#This Row],[COMISIONES]]*0.21</f>
        <v>0</v>
      </c>
      <c r="J88" s="18"/>
      <c r="K88" s="18"/>
      <c r="L88" s="18"/>
      <c r="N88" s="18"/>
      <c r="O88" s="11">
        <f>Tabla351018263641424445464748441424[[#This Row],[COMISIONES]]*0.21</f>
        <v>0</v>
      </c>
      <c r="P88" s="18"/>
      <c r="Q88" s="18"/>
      <c r="R88" s="18"/>
      <c r="T88"/>
      <c r="U88" s="19">
        <f>Tabla612202833421020305060708090102030[[#This Row],[COMISIONES]]*0.21</f>
        <v>0</v>
      </c>
      <c r="V88"/>
      <c r="W88"/>
      <c r="X88"/>
      <c r="Z88" s="3"/>
      <c r="AA88" s="21">
        <f>Tabla35681321293971727475767778771727[[#This Row],[COMISIONES]]*0.21</f>
        <v>0</v>
      </c>
      <c r="AB88" s="21"/>
      <c r="AC88" s="21"/>
      <c r="AD88"/>
      <c r="AF88"/>
      <c r="AG88"/>
      <c r="AH88"/>
      <c r="AI88"/>
      <c r="AJ88"/>
      <c r="AK88"/>
      <c r="AL88"/>
      <c r="AM88"/>
      <c r="AN88"/>
      <c r="AO88"/>
    </row>
    <row r="89" spans="1:41" s="6" customFormat="1" x14ac:dyDescent="0.25">
      <c r="A89"/>
      <c r="B89"/>
      <c r="C89"/>
      <c r="D89"/>
      <c r="E89"/>
      <c r="F89"/>
      <c r="H89" s="18"/>
      <c r="I89" s="18">
        <f>Tabla391523314191929495969798991929[[#This Row],[COMISIONES]]*0.21</f>
        <v>0</v>
      </c>
      <c r="J89" s="18"/>
      <c r="K89" s="18"/>
      <c r="L89" s="18"/>
      <c r="N89" s="18"/>
      <c r="O89" s="11">
        <f>Tabla351018263641424445464748441424[[#This Row],[COMISIONES]]*0.21</f>
        <v>0</v>
      </c>
      <c r="P89" s="18"/>
      <c r="Q89" s="18"/>
      <c r="R89" s="18"/>
      <c r="T89"/>
      <c r="U89" s="19">
        <f>Tabla612202833421020305060708090102030[[#This Row],[COMISIONES]]*0.21</f>
        <v>0</v>
      </c>
      <c r="V89"/>
      <c r="W89"/>
      <c r="X89"/>
      <c r="Z89" s="3"/>
      <c r="AA89" s="21">
        <f>Tabla35681321293971727475767778771727[[#This Row],[COMISIONES]]*0.21</f>
        <v>0</v>
      </c>
      <c r="AB89" s="19"/>
      <c r="AC89"/>
      <c r="AD89"/>
      <c r="AF89"/>
      <c r="AG89"/>
      <c r="AH89"/>
      <c r="AI89"/>
      <c r="AJ89"/>
      <c r="AK89"/>
      <c r="AL89"/>
      <c r="AM89"/>
      <c r="AN89"/>
      <c r="AO89"/>
    </row>
    <row r="90" spans="1:41" s="6" customFormat="1" x14ac:dyDescent="0.25">
      <c r="A90"/>
      <c r="B90"/>
      <c r="C90"/>
      <c r="D90"/>
      <c r="E90"/>
      <c r="F90"/>
      <c r="H90" s="18"/>
      <c r="I90" s="18">
        <f>Tabla391523314191929495969798991929[[#This Row],[COMISIONES]]*0.21</f>
        <v>0</v>
      </c>
      <c r="J90" s="18"/>
      <c r="K90" s="18"/>
      <c r="L90" s="18"/>
      <c r="N90" s="18"/>
      <c r="O90" s="11">
        <f>Tabla351018263641424445464748441424[[#This Row],[COMISIONES]]*0.21</f>
        <v>0</v>
      </c>
      <c r="P90" s="18"/>
      <c r="Q90" s="18"/>
      <c r="R90" s="18"/>
      <c r="T90"/>
      <c r="U90" s="19">
        <f>Tabla612202833421020305060708090102030[[#This Row],[COMISIONES]]*0.21</f>
        <v>0</v>
      </c>
      <c r="V90"/>
      <c r="W90"/>
      <c r="X90"/>
      <c r="Z90" s="3"/>
      <c r="AA90" s="21">
        <f>Tabla35681321293971727475767778771727[[#This Row],[COMISIONES]]*0.21</f>
        <v>0</v>
      </c>
      <c r="AB90" s="21"/>
      <c r="AC90" s="21"/>
      <c r="AD90"/>
      <c r="AF90"/>
      <c r="AG90"/>
      <c r="AH90"/>
      <c r="AI90"/>
      <c r="AJ90"/>
      <c r="AK90"/>
      <c r="AL90"/>
      <c r="AM90"/>
      <c r="AN90"/>
      <c r="AO90"/>
    </row>
    <row r="91" spans="1:41" s="6" customFormat="1" x14ac:dyDescent="0.25">
      <c r="A91"/>
      <c r="B91"/>
      <c r="C91"/>
      <c r="D91"/>
      <c r="E91"/>
      <c r="F91"/>
      <c r="H91" s="18"/>
      <c r="I91" s="18">
        <f>Tabla391523314191929495969798991929[[#This Row],[COMISIONES]]*0.21</f>
        <v>0</v>
      </c>
      <c r="J91" s="18"/>
      <c r="K91" s="18"/>
      <c r="L91" s="18"/>
      <c r="N91" s="18"/>
      <c r="O91" s="11">
        <f>Tabla351018263641424445464748441424[[#This Row],[COMISIONES]]*0.21</f>
        <v>0</v>
      </c>
      <c r="P91" s="18"/>
      <c r="Q91" s="18"/>
      <c r="R91" s="18"/>
      <c r="T91"/>
      <c r="U91" s="19">
        <f>Tabla612202833421020305060708090102030[[#This Row],[COMISIONES]]*0.21</f>
        <v>0</v>
      </c>
      <c r="V91"/>
      <c r="W91"/>
      <c r="X91"/>
      <c r="Z91" s="3"/>
      <c r="AA91" s="21"/>
      <c r="AB91" s="21">
        <f>Tabla35681321293971727475767778771727[[#This Row],[COMISIONES]]*0.105</f>
        <v>0</v>
      </c>
      <c r="AC91" s="1"/>
      <c r="AD91"/>
      <c r="AF91"/>
      <c r="AG91"/>
      <c r="AH91"/>
      <c r="AI91"/>
      <c r="AJ91"/>
      <c r="AK91"/>
      <c r="AL91"/>
      <c r="AM91"/>
      <c r="AN91"/>
      <c r="AO91"/>
    </row>
    <row r="92" spans="1:41" s="6" customFormat="1" x14ac:dyDescent="0.25">
      <c r="A92"/>
      <c r="B92"/>
      <c r="C92"/>
      <c r="D92"/>
      <c r="E92"/>
      <c r="F92"/>
      <c r="H92" s="18"/>
      <c r="I92" s="18">
        <f>Tabla391523314191929495969798991929[[#This Row],[COMISIONES]]*0.21</f>
        <v>0</v>
      </c>
      <c r="J92" s="18"/>
      <c r="K92" s="18"/>
      <c r="L92" s="18"/>
      <c r="N92" s="18"/>
      <c r="O92" s="11">
        <f>Tabla351018263641424445464748441424[[#This Row],[COMISIONES]]*0.21</f>
        <v>0</v>
      </c>
      <c r="P92" s="18"/>
      <c r="Q92" s="18"/>
      <c r="R92" s="18"/>
      <c r="T92"/>
      <c r="U92" s="19">
        <f>Tabla612202833421020305060708090102030[[#This Row],[COMISIONES]]*0.21</f>
        <v>0</v>
      </c>
      <c r="V92"/>
      <c r="W92"/>
      <c r="X92"/>
      <c r="Z92" s="3"/>
      <c r="AA92" s="21">
        <f>Tabla35681321293971727475767778771727[[#This Row],[COMISIONES]]*0.21</f>
        <v>0</v>
      </c>
      <c r="AB92" s="1"/>
      <c r="AC92" s="21"/>
      <c r="AD92" s="21"/>
      <c r="AF92"/>
      <c r="AG92"/>
      <c r="AH92"/>
      <c r="AI92"/>
      <c r="AJ92"/>
      <c r="AK92"/>
      <c r="AL92"/>
      <c r="AM92"/>
      <c r="AN92"/>
      <c r="AO92"/>
    </row>
    <row r="93" spans="1:41" s="6" customFormat="1" x14ac:dyDescent="0.25">
      <c r="A93"/>
      <c r="B93"/>
      <c r="C93"/>
      <c r="D93"/>
      <c r="E93"/>
      <c r="F93"/>
      <c r="H93" s="21"/>
      <c r="I93" s="21">
        <f>Tabla391523314191929495969798991929[[#This Row],[COMISIONES]]*0.21</f>
        <v>0</v>
      </c>
      <c r="J93" s="21"/>
      <c r="K93" s="21"/>
      <c r="L93" s="21"/>
      <c r="N93" s="18"/>
      <c r="O93" s="11">
        <f>Tabla351018263641424445464748441424[[#This Row],[COMISIONES]]*0.21</f>
        <v>0</v>
      </c>
      <c r="P93" s="18"/>
      <c r="Q93" s="18"/>
      <c r="R93" s="18"/>
      <c r="T93"/>
      <c r="U93" s="19">
        <f>Tabla612202833421020305060708090102030[[#This Row],[COMISIONES]]*0.21</f>
        <v>0</v>
      </c>
      <c r="V93"/>
      <c r="W93"/>
      <c r="X93"/>
      <c r="Z93" s="3"/>
      <c r="AA93" s="21">
        <f>Tabla35681321293971727475767778771727[[#This Row],[COMISIONES]]*0.21</f>
        <v>0</v>
      </c>
      <c r="AB93" s="21"/>
      <c r="AC93" s="21"/>
      <c r="AD93" s="21"/>
      <c r="AF93"/>
      <c r="AG93"/>
      <c r="AH93"/>
      <c r="AI93"/>
      <c r="AJ93"/>
      <c r="AK93"/>
      <c r="AL93"/>
      <c r="AM93"/>
      <c r="AN93"/>
      <c r="AO93"/>
    </row>
    <row r="94" spans="1:41" s="6" customFormat="1" x14ac:dyDescent="0.25">
      <c r="A94"/>
      <c r="B94"/>
      <c r="C94"/>
      <c r="D94"/>
      <c r="E94"/>
      <c r="F94"/>
      <c r="H94" s="21"/>
      <c r="I94" s="21">
        <f>Tabla391523314191929495969798991929[[#This Row],[COMISIONES]]*0.21</f>
        <v>0</v>
      </c>
      <c r="J94" s="21"/>
      <c r="K94" s="21"/>
      <c r="L94" s="21"/>
      <c r="N94" s="18"/>
      <c r="O94" s="11">
        <f>Tabla351018263641424445464748441424[[#This Row],[COMISIONES]]*0.21</f>
        <v>0</v>
      </c>
      <c r="P94" s="18"/>
      <c r="Q94" s="18"/>
      <c r="R94" s="18"/>
      <c r="T94"/>
      <c r="U94" s="19">
        <f>Tabla612202833421020305060708090102030[[#This Row],[COMISIONES]]*0.21</f>
        <v>0</v>
      </c>
      <c r="V94"/>
      <c r="W94"/>
      <c r="X94"/>
      <c r="Z94" s="3"/>
      <c r="AA94" s="21">
        <f>Tabla35681321293971727475767778771727[[#This Row],[COMISIONES]]*0.21</f>
        <v>0</v>
      </c>
      <c r="AB94" s="21"/>
      <c r="AC94" s="21"/>
      <c r="AD94" s="21"/>
      <c r="AF94"/>
      <c r="AG94"/>
      <c r="AH94"/>
      <c r="AI94"/>
      <c r="AJ94"/>
      <c r="AK94"/>
      <c r="AL94"/>
      <c r="AM94"/>
      <c r="AN94"/>
      <c r="AO94"/>
    </row>
    <row r="95" spans="1:41" s="6" customFormat="1" x14ac:dyDescent="0.25">
      <c r="A95"/>
      <c r="B95"/>
      <c r="C95"/>
      <c r="D95"/>
      <c r="E95"/>
      <c r="F95"/>
      <c r="H95" s="21"/>
      <c r="I95" s="21">
        <f>Tabla391523314191929495969798991929[[#This Row],[COMISIONES]]*0.21</f>
        <v>0</v>
      </c>
      <c r="J95" s="21"/>
      <c r="K95" s="21"/>
      <c r="L95" s="21"/>
      <c r="N95" s="18"/>
      <c r="O95" s="11">
        <f>Tabla351018263641424445464748441424[[#This Row],[COMISIONES]]*0.21</f>
        <v>0</v>
      </c>
      <c r="P95" s="18"/>
      <c r="Q95" s="18"/>
      <c r="R95" s="18"/>
      <c r="T95"/>
      <c r="U95" s="19">
        <f>Tabla612202833421020305060708090102030[[#This Row],[COMISIONES]]*0.21</f>
        <v>0</v>
      </c>
      <c r="V95"/>
      <c r="W95"/>
      <c r="X95"/>
      <c r="Z95" s="3"/>
      <c r="AA95" s="21"/>
      <c r="AB95" s="21">
        <f>Tabla35681321293971727475767778771727[[#This Row],[COMISIONES]]*0.105</f>
        <v>0</v>
      </c>
      <c r="AC95" s="21"/>
      <c r="AD95" s="21"/>
      <c r="AF95"/>
      <c r="AG95"/>
      <c r="AH95"/>
      <c r="AI95"/>
      <c r="AJ95"/>
      <c r="AK95"/>
      <c r="AL95"/>
      <c r="AM95"/>
      <c r="AN95"/>
      <c r="AO95"/>
    </row>
    <row r="96" spans="1:41" s="6" customFormat="1" x14ac:dyDescent="0.25">
      <c r="A96"/>
      <c r="B96"/>
      <c r="C96"/>
      <c r="D96"/>
      <c r="E96"/>
      <c r="F96"/>
      <c r="H96" s="21"/>
      <c r="I96" s="21">
        <f>Tabla391523314191929495969798991929[[#This Row],[COMISIONES]]*0.21</f>
        <v>0</v>
      </c>
      <c r="J96" s="21"/>
      <c r="K96" s="21"/>
      <c r="L96" s="21"/>
      <c r="N96" s="18"/>
      <c r="O96" s="11">
        <f>Tabla351018263641424445464748441424[[#This Row],[COMISIONES]]*0.21</f>
        <v>0</v>
      </c>
      <c r="P96" s="18"/>
      <c r="Q96" s="18"/>
      <c r="R96" s="18"/>
      <c r="T96"/>
      <c r="U96" s="19">
        <f>Tabla612202833421020305060708090102030[[#This Row],[COMISIONES]]*0.21</f>
        <v>0</v>
      </c>
      <c r="V96"/>
      <c r="W96"/>
      <c r="X96"/>
      <c r="Z96" s="3"/>
      <c r="AA96" s="21">
        <f>Tabla35681321293971727475767778771727[[#This Row],[COMISIONES]]*0.21</f>
        <v>0</v>
      </c>
      <c r="AB96" s="1">
        <f>Tabla35681321293971727475767778771727[[#This Row],[COMISIONES]]*0.105</f>
        <v>0</v>
      </c>
      <c r="AC96" s="1"/>
      <c r="AD96"/>
      <c r="AF96"/>
      <c r="AG96"/>
      <c r="AH96"/>
      <c r="AI96"/>
      <c r="AJ96"/>
      <c r="AK96"/>
      <c r="AL96"/>
      <c r="AM96"/>
      <c r="AN96"/>
      <c r="AO96"/>
    </row>
    <row r="97" spans="1:41" s="6" customFormat="1" x14ac:dyDescent="0.25">
      <c r="A97"/>
      <c r="B97"/>
      <c r="C97"/>
      <c r="D97"/>
      <c r="E97"/>
      <c r="F97"/>
      <c r="H97" s="21"/>
      <c r="I97" s="21">
        <f>Tabla391523314191929495969798991929[[#This Row],[COMISIONES]]*0.21</f>
        <v>0</v>
      </c>
      <c r="J97" s="21"/>
      <c r="K97" s="21"/>
      <c r="L97" s="21"/>
      <c r="N97" s="18"/>
      <c r="O97" s="11">
        <f>Tabla351018263641424445464748441424[[#This Row],[COMISIONES]]*0.21</f>
        <v>0</v>
      </c>
      <c r="P97" s="18"/>
      <c r="Q97" s="18"/>
      <c r="R97" s="18"/>
      <c r="T97"/>
      <c r="U97" s="19">
        <f>Tabla612202833421020305060708090102030[[#This Row],[COMISIONES]]*0.21</f>
        <v>0</v>
      </c>
      <c r="V97"/>
      <c r="W97"/>
      <c r="X97"/>
      <c r="Z97" s="3"/>
      <c r="AA97" s="21">
        <f>Tabla35681321293971727475767778771727[[#This Row],[COMISIONES]]*0.21</f>
        <v>0</v>
      </c>
      <c r="AB97" s="1">
        <f>Tabla35681321293971727475767778771727[[#This Row],[COMISIONES]]*0.105</f>
        <v>0</v>
      </c>
      <c r="AC97" s="1"/>
      <c r="AD97"/>
      <c r="AF97"/>
      <c r="AG97"/>
      <c r="AH97"/>
      <c r="AI97"/>
      <c r="AJ97"/>
      <c r="AK97"/>
      <c r="AL97"/>
      <c r="AM97"/>
      <c r="AN97"/>
      <c r="AO97"/>
    </row>
    <row r="98" spans="1:41" s="6" customFormat="1" x14ac:dyDescent="0.25">
      <c r="A98"/>
      <c r="B98"/>
      <c r="C98"/>
      <c r="D98"/>
      <c r="E98"/>
      <c r="F98"/>
      <c r="H98" s="21"/>
      <c r="I98" s="21">
        <f>Tabla391523314191929495969798991929[[#This Row],[COMISIONES]]*0.21</f>
        <v>0</v>
      </c>
      <c r="J98" s="21"/>
      <c r="K98" s="21"/>
      <c r="L98" s="21"/>
      <c r="N98" s="18"/>
      <c r="O98" s="11">
        <f>Tabla351018263641424445464748441424[[#This Row],[COMISIONES]]*0.21</f>
        <v>0</v>
      </c>
      <c r="P98" s="18"/>
      <c r="Q98" s="18"/>
      <c r="R98" s="18"/>
      <c r="T98"/>
      <c r="U98" s="19">
        <f>Tabla612202833421020305060708090102030[[#This Row],[COMISIONES]]*0.21</f>
        <v>0</v>
      </c>
      <c r="V98"/>
      <c r="W98"/>
      <c r="X98"/>
      <c r="Z98" s="3"/>
      <c r="AA98" s="21">
        <f>Tabla35681321293971727475767778771727[[#This Row],[COMISIONES]]*0.21</f>
        <v>0</v>
      </c>
      <c r="AB98" s="21">
        <f>Tabla35681321293971727475767778771727[[#This Row],[COMISIONES]]*0.105</f>
        <v>0</v>
      </c>
      <c r="AC98" s="21"/>
      <c r="AD98"/>
      <c r="AF98"/>
      <c r="AG98"/>
      <c r="AH98"/>
      <c r="AI98"/>
      <c r="AJ98"/>
      <c r="AK98"/>
      <c r="AL98"/>
      <c r="AM98"/>
      <c r="AN98"/>
      <c r="AO98"/>
    </row>
    <row r="99" spans="1:41" s="6" customFormat="1" x14ac:dyDescent="0.25">
      <c r="A99"/>
      <c r="B99"/>
      <c r="C99"/>
      <c r="D99"/>
      <c r="E99"/>
      <c r="F99"/>
      <c r="H99" s="21"/>
      <c r="I99" s="21">
        <f>Tabla391523314191929495969798991929[[#This Row],[COMISIONES]]*0.21</f>
        <v>0</v>
      </c>
      <c r="J99" s="21"/>
      <c r="K99" s="21"/>
      <c r="L99" s="21"/>
      <c r="N99" s="18"/>
      <c r="O99" s="11">
        <f>Tabla351018263641424445464748441424[[#This Row],[COMISIONES]]*0.21</f>
        <v>0</v>
      </c>
      <c r="P99" s="18"/>
      <c r="Q99" s="18"/>
      <c r="R99" s="18"/>
      <c r="T99"/>
      <c r="U99" s="19">
        <f>Tabla612202833421020305060708090102030[[#This Row],[COMISIONES]]*0.21</f>
        <v>0</v>
      </c>
      <c r="V99"/>
      <c r="W99"/>
      <c r="X99"/>
      <c r="Z99" s="3"/>
      <c r="AA99" s="21">
        <f>Tabla35681321293971727475767778771727[[#This Row],[COMISIONES]]*0.21</f>
        <v>0</v>
      </c>
      <c r="AB99" s="21">
        <f>Tabla35681321293971727475767778771727[[#This Row],[COMISIONES]]*0.105</f>
        <v>0</v>
      </c>
      <c r="AC99" s="21"/>
      <c r="AD99"/>
      <c r="AF99"/>
      <c r="AG99"/>
      <c r="AH99"/>
      <c r="AI99"/>
      <c r="AJ99"/>
      <c r="AK99"/>
      <c r="AL99"/>
      <c r="AM99"/>
      <c r="AN99"/>
      <c r="AO99"/>
    </row>
    <row r="100" spans="1:41" s="6" customFormat="1" x14ac:dyDescent="0.25">
      <c r="A100"/>
      <c r="B100"/>
      <c r="C100"/>
      <c r="D100"/>
      <c r="E100"/>
      <c r="F100"/>
      <c r="H100" s="21"/>
      <c r="I100" s="21">
        <f>Tabla391523314191929495969798991929[[#This Row],[COMISIONES]]*0.21</f>
        <v>0</v>
      </c>
      <c r="J100" s="21"/>
      <c r="K100" s="21"/>
      <c r="L100" s="21"/>
      <c r="N100" s="18"/>
      <c r="O100" s="11">
        <f>Tabla351018263641424445464748441424[[#This Row],[COMISIONES]]*0.21</f>
        <v>0</v>
      </c>
      <c r="P100" s="18"/>
      <c r="Q100" s="18"/>
      <c r="R100" s="18"/>
      <c r="T100"/>
      <c r="U100" s="19">
        <f>Tabla612202833421020305060708090102030[[#This Row],[COMISIONES]]*0.21</f>
        <v>0</v>
      </c>
      <c r="V100"/>
      <c r="W100"/>
      <c r="X100"/>
      <c r="Z100" s="3"/>
      <c r="AA100" s="21">
        <f>Tabla35681321293971727475767778771727[[#This Row],[COMISIONES]]*0.21</f>
        <v>0</v>
      </c>
      <c r="AB100" s="21">
        <f>Tabla35681321293971727475767778771727[[#This Row],[COMISIONES]]*0.105</f>
        <v>0</v>
      </c>
      <c r="AC100" s="21"/>
      <c r="AD100"/>
      <c r="AF100"/>
      <c r="AG100"/>
      <c r="AH100"/>
      <c r="AI100"/>
      <c r="AJ100"/>
      <c r="AK100"/>
      <c r="AL100"/>
      <c r="AM100"/>
      <c r="AN100"/>
      <c r="AO100"/>
    </row>
    <row r="101" spans="1:41" s="6" customFormat="1" x14ac:dyDescent="0.25">
      <c r="A101"/>
      <c r="B101"/>
      <c r="C101"/>
      <c r="D101"/>
      <c r="E101"/>
      <c r="F101"/>
      <c r="H101" s="21"/>
      <c r="I101" s="21">
        <f>Tabla391523314191929495969798991929[[#This Row],[COMISIONES]]*0.21</f>
        <v>0</v>
      </c>
      <c r="J101" s="21"/>
      <c r="K101" s="21"/>
      <c r="L101" s="21"/>
      <c r="N101" s="18"/>
      <c r="O101" s="11">
        <f>Tabla351018263641424445464748441424[[#This Row],[COMISIONES]]*0.21</f>
        <v>0</v>
      </c>
      <c r="P101" s="18"/>
      <c r="Q101" s="18"/>
      <c r="R101" s="18"/>
      <c r="T101"/>
      <c r="U101" s="19">
        <f>Tabla612202833421020305060708090102030[[#This Row],[COMISIONES]]*0.21</f>
        <v>0</v>
      </c>
      <c r="V101"/>
      <c r="W101"/>
      <c r="X101"/>
      <c r="Z101" s="3"/>
      <c r="AA101" s="21">
        <f>Tabla35681321293971727475767778771727[[#This Row],[COMISIONES]]*0.21</f>
        <v>0</v>
      </c>
      <c r="AB101" s="21">
        <f>Tabla35681321293971727475767778771727[[#This Row],[COMISIONES]]*0.105</f>
        <v>0</v>
      </c>
      <c r="AC101" s="21"/>
      <c r="AD101" s="21"/>
      <c r="AF101"/>
      <c r="AG101"/>
      <c r="AH101"/>
      <c r="AI101"/>
      <c r="AJ101"/>
      <c r="AK101"/>
      <c r="AL101"/>
      <c r="AM101"/>
      <c r="AN101"/>
      <c r="AO101"/>
    </row>
    <row r="102" spans="1:41" s="6" customFormat="1" x14ac:dyDescent="0.25">
      <c r="A102"/>
      <c r="B102"/>
      <c r="C102"/>
      <c r="D102"/>
      <c r="E102"/>
      <c r="F102"/>
      <c r="H102" s="20">
        <f>SUBTOTAL(109,Tabla391523314191929495969798991929[COMISIONES])</f>
        <v>0</v>
      </c>
      <c r="I102" s="20">
        <f>SUBTOTAL(109,Tabla391523314191929495969798991929[IVA 21])</f>
        <v>0</v>
      </c>
      <c r="J102" s="20">
        <f>SUBTOTAL(109,Tabla391523314191929495969798991929[IVA 10,5])</f>
        <v>0</v>
      </c>
      <c r="K102" s="20">
        <f>SUBTOTAL(109,Tabla391523314191929495969798991929[Ret IIBB Caba])</f>
        <v>0</v>
      </c>
      <c r="L102" s="20">
        <f>SUBTOTAL(109,Tabla391523314191929495969798991929[PERC IVA])</f>
        <v>0</v>
      </c>
      <c r="N102" s="18"/>
      <c r="O102" s="11">
        <f>Tabla351018263641424445464748441424[[#This Row],[COMISIONES]]*0.21</f>
        <v>0</v>
      </c>
      <c r="P102" s="18"/>
      <c r="Q102" s="18"/>
      <c r="R102" s="18"/>
      <c r="T102"/>
      <c r="U102" s="19">
        <f>Tabla612202833421020305060708090102030[[#This Row],[COMISIONES]]*0.21</f>
        <v>0</v>
      </c>
      <c r="V102"/>
      <c r="W102"/>
      <c r="X102"/>
      <c r="Z102" s="3"/>
      <c r="AA102" s="21">
        <f>Tabla35681321293971727475767778771727[[#This Row],[COMISIONES]]*0.21</f>
        <v>0</v>
      </c>
      <c r="AB102" s="21">
        <f>Tabla35681321293971727475767778771727[[#This Row],[COMISIONES]]*0.105</f>
        <v>0</v>
      </c>
      <c r="AC102" s="11"/>
      <c r="AD102" s="21"/>
      <c r="AF102"/>
      <c r="AG102"/>
      <c r="AH102"/>
      <c r="AI102"/>
      <c r="AJ102"/>
      <c r="AK102"/>
      <c r="AL102"/>
      <c r="AM102"/>
      <c r="AN102"/>
      <c r="AO102"/>
    </row>
    <row r="103" spans="1:41" s="6" customFormat="1" x14ac:dyDescent="0.25">
      <c r="A103"/>
      <c r="B103"/>
      <c r="C103"/>
      <c r="D103"/>
      <c r="E103"/>
      <c r="F103"/>
      <c r="H103"/>
      <c r="I103"/>
      <c r="J103"/>
      <c r="K103"/>
      <c r="L103"/>
      <c r="N103" s="18"/>
      <c r="O103" s="11">
        <f>Tabla351018263641424445464748441424[[#This Row],[COMISIONES]]*0.21</f>
        <v>0</v>
      </c>
      <c r="P103" s="18"/>
      <c r="Q103" s="18"/>
      <c r="R103" s="18"/>
      <c r="T103"/>
      <c r="U103" s="19">
        <f>Tabla612202833421020305060708090102030[[#This Row],[COMISIONES]]*0.21</f>
        <v>0</v>
      </c>
      <c r="V103"/>
      <c r="W103"/>
      <c r="X103"/>
      <c r="Z103" s="3"/>
      <c r="AA103" s="21">
        <f>Tabla35681321293971727475767778771727[[#This Row],[COMISIONES]]*0.21</f>
        <v>0</v>
      </c>
      <c r="AB103" s="21">
        <f>Tabla35681321293971727475767778771727[[#This Row],[COMISIONES]]*0.105</f>
        <v>0</v>
      </c>
      <c r="AC103" s="21"/>
      <c r="AD103" s="21"/>
      <c r="AF103"/>
      <c r="AG103"/>
      <c r="AH103"/>
      <c r="AI103"/>
      <c r="AJ103"/>
      <c r="AK103"/>
      <c r="AL103"/>
      <c r="AM103"/>
      <c r="AN103"/>
      <c r="AO103"/>
    </row>
    <row r="104" spans="1:41" s="6" customFormat="1" x14ac:dyDescent="0.25">
      <c r="A104"/>
      <c r="B104"/>
      <c r="C104"/>
      <c r="D104"/>
      <c r="E104"/>
      <c r="F104"/>
      <c r="H104"/>
      <c r="I104"/>
      <c r="J104"/>
      <c r="K104"/>
      <c r="L104"/>
      <c r="N104" s="18"/>
      <c r="O104" s="11">
        <f>Tabla351018263641424445464748441424[[#This Row],[COMISIONES]]*0.21</f>
        <v>0</v>
      </c>
      <c r="P104" s="18"/>
      <c r="Q104" s="18"/>
      <c r="R104" s="18"/>
      <c r="T104"/>
      <c r="U104" s="19">
        <f>Tabla612202833421020305060708090102030[[#This Row],[COMISIONES]]*0.21</f>
        <v>0</v>
      </c>
      <c r="V104"/>
      <c r="W104"/>
      <c r="X104"/>
      <c r="Z104" s="3"/>
      <c r="AA104" s="21">
        <f>Tabla35681321293971727475767778771727[[#This Row],[COMISIONES]]*0.21</f>
        <v>0</v>
      </c>
      <c r="AB104" s="21">
        <f>Tabla35681321293971727475767778771727[[#This Row],[COMISIONES]]*0.105</f>
        <v>0</v>
      </c>
      <c r="AC104" s="1"/>
      <c r="AD104" s="21"/>
      <c r="AF104"/>
      <c r="AG104"/>
      <c r="AH104"/>
      <c r="AI104"/>
      <c r="AJ104"/>
      <c r="AK104"/>
      <c r="AL104"/>
      <c r="AM104"/>
      <c r="AN104"/>
      <c r="AO104"/>
    </row>
    <row r="105" spans="1:41" s="6" customFormat="1" x14ac:dyDescent="0.25">
      <c r="A105"/>
      <c r="B105"/>
      <c r="C105"/>
      <c r="D105"/>
      <c r="E105"/>
      <c r="F105"/>
      <c r="H105"/>
      <c r="I105"/>
      <c r="J105"/>
      <c r="K105"/>
      <c r="L105"/>
      <c r="N105" s="18"/>
      <c r="O105" s="11">
        <f>Tabla351018263641424445464748441424[[#This Row],[COMISIONES]]*0.21</f>
        <v>0</v>
      </c>
      <c r="P105" s="18"/>
      <c r="Q105" s="18"/>
      <c r="R105" s="18"/>
      <c r="T105"/>
      <c r="U105" s="19">
        <f>Tabla612202833421020305060708090102030[[#This Row],[COMISIONES]]*0.21</f>
        <v>0</v>
      </c>
      <c r="V105"/>
      <c r="W105"/>
      <c r="X105"/>
      <c r="Z105" s="3"/>
      <c r="AA105" s="21">
        <f>Tabla35681321293971727475767778771727[[#This Row],[COMISIONES]]*0.21</f>
        <v>0</v>
      </c>
      <c r="AB105" s="21">
        <f>Tabla35681321293971727475767778771727[[#This Row],[COMISIONES]]*0.105</f>
        <v>0</v>
      </c>
      <c r="AC105" s="1"/>
      <c r="AD105"/>
      <c r="AF105"/>
      <c r="AG105"/>
      <c r="AH105"/>
      <c r="AI105"/>
      <c r="AJ105"/>
      <c r="AK105"/>
      <c r="AL105"/>
      <c r="AM105"/>
      <c r="AN105"/>
      <c r="AO105"/>
    </row>
    <row r="106" spans="1:41" s="6" customFormat="1" x14ac:dyDescent="0.25">
      <c r="A106"/>
      <c r="B106"/>
      <c r="C106"/>
      <c r="D106"/>
      <c r="E106"/>
      <c r="F106"/>
      <c r="H106"/>
      <c r="I106"/>
      <c r="J106"/>
      <c r="K106"/>
      <c r="L106"/>
      <c r="N106" s="18"/>
      <c r="O106" s="11">
        <f>Tabla351018263641424445464748441424[[#This Row],[COMISIONES]]*0.21</f>
        <v>0</v>
      </c>
      <c r="P106" s="18"/>
      <c r="Q106" s="18"/>
      <c r="R106" s="18"/>
      <c r="T106"/>
      <c r="U106" s="19">
        <f>Tabla612202833421020305060708090102030[[#This Row],[COMISIONES]]*0.21</f>
        <v>0</v>
      </c>
      <c r="V106"/>
      <c r="W106"/>
      <c r="X106"/>
      <c r="Z106" s="3"/>
      <c r="AA106" s="21">
        <f>Tabla35681321293971727475767778771727[[#This Row],[COMISIONES]]*0.21</f>
        <v>0</v>
      </c>
      <c r="AB106" s="21">
        <f>Tabla35681321293971727475767778771727[[#This Row],[COMISIONES]]*0.105</f>
        <v>0</v>
      </c>
      <c r="AC106" s="1"/>
      <c r="AD106" s="21"/>
      <c r="AF106"/>
      <c r="AG106"/>
      <c r="AH106"/>
      <c r="AI106"/>
      <c r="AJ106"/>
      <c r="AK106"/>
      <c r="AL106"/>
      <c r="AM106"/>
      <c r="AN106"/>
      <c r="AO106"/>
    </row>
    <row r="107" spans="1:41" s="6" customFormat="1" x14ac:dyDescent="0.25">
      <c r="A107"/>
      <c r="B107"/>
      <c r="C107"/>
      <c r="D107"/>
      <c r="E107"/>
      <c r="F107"/>
      <c r="H107"/>
      <c r="I107"/>
      <c r="J107"/>
      <c r="K107"/>
      <c r="L107"/>
      <c r="N107" s="18"/>
      <c r="O107" s="11">
        <f>Tabla351018263641424445464748441424[[#This Row],[COMISIONES]]*0.21</f>
        <v>0</v>
      </c>
      <c r="P107" s="18"/>
      <c r="Q107" s="18"/>
      <c r="R107" s="18"/>
      <c r="T107"/>
      <c r="U107" s="19">
        <f>Tabla612202833421020305060708090102030[[#This Row],[COMISIONES]]*0.21</f>
        <v>0</v>
      </c>
      <c r="V107"/>
      <c r="W107"/>
      <c r="X107"/>
      <c r="Z107" s="3"/>
      <c r="AA107" s="21">
        <f>Tabla35681321293971727475767778771727[[#This Row],[COMISIONES]]*0.21</f>
        <v>0</v>
      </c>
      <c r="AB107" s="21">
        <f>Tabla35681321293971727475767778771727[[#This Row],[COMISIONES]]*0.105</f>
        <v>0</v>
      </c>
      <c r="AC107" s="1"/>
      <c r="AD107"/>
      <c r="AF107"/>
      <c r="AG107"/>
      <c r="AH107"/>
      <c r="AI107"/>
      <c r="AJ107"/>
      <c r="AK107"/>
      <c r="AL107"/>
      <c r="AM107"/>
      <c r="AN107"/>
      <c r="AO107"/>
    </row>
    <row r="108" spans="1:41" s="6" customFormat="1" x14ac:dyDescent="0.25">
      <c r="A108"/>
      <c r="B108"/>
      <c r="C108"/>
      <c r="D108"/>
      <c r="E108"/>
      <c r="F108"/>
      <c r="H108"/>
      <c r="I108"/>
      <c r="J108"/>
      <c r="K108"/>
      <c r="L108"/>
      <c r="N108" s="18"/>
      <c r="O108" s="11">
        <f>Tabla351018263641424445464748441424[[#This Row],[COMISIONES]]*0.21</f>
        <v>0</v>
      </c>
      <c r="P108" s="18"/>
      <c r="Q108" s="18"/>
      <c r="R108" s="18"/>
      <c r="T108"/>
      <c r="U108" s="19">
        <f>Tabla612202833421020305060708090102030[[#This Row],[COMISIONES]]*0.21</f>
        <v>0</v>
      </c>
      <c r="V108"/>
      <c r="W108"/>
      <c r="X108"/>
      <c r="Z108" s="3"/>
      <c r="AA108" s="21">
        <f>Tabla35681321293971727475767778771727[[#This Row],[COMISIONES]]*0.21</f>
        <v>0</v>
      </c>
      <c r="AB108" s="21">
        <f>Tabla35681321293971727475767778771727[[#This Row],[COMISIONES]]*0.105</f>
        <v>0</v>
      </c>
      <c r="AC108" s="1"/>
      <c r="AD108"/>
      <c r="AF108"/>
      <c r="AG108"/>
      <c r="AH108"/>
      <c r="AI108"/>
      <c r="AJ108"/>
      <c r="AK108"/>
      <c r="AL108"/>
      <c r="AM108"/>
      <c r="AN108"/>
      <c r="AO108"/>
    </row>
    <row r="109" spans="1:41" s="6" customFormat="1" x14ac:dyDescent="0.25">
      <c r="A109"/>
      <c r="B109"/>
      <c r="C109"/>
      <c r="D109"/>
      <c r="E109"/>
      <c r="F109"/>
      <c r="H109"/>
      <c r="I109"/>
      <c r="J109"/>
      <c r="K109"/>
      <c r="L109"/>
      <c r="N109" s="18"/>
      <c r="O109" s="11">
        <f>Tabla351018263641424445464748441424[[#This Row],[COMISIONES]]*0.21</f>
        <v>0</v>
      </c>
      <c r="P109" s="18"/>
      <c r="Q109" s="18"/>
      <c r="R109" s="18"/>
      <c r="T109"/>
      <c r="U109" s="19">
        <f>Tabla612202833421020305060708090102030[[#This Row],[COMISIONES]]*0.21</f>
        <v>0</v>
      </c>
      <c r="V109"/>
      <c r="W109"/>
      <c r="X109"/>
      <c r="Z109" s="3"/>
      <c r="AA109" s="21">
        <f>Tabla35681321293971727475767778771727[[#This Row],[COMISIONES]]*0.21</f>
        <v>0</v>
      </c>
      <c r="AB109" s="21">
        <f>Tabla35681321293971727475767778771727[[#This Row],[COMISIONES]]*0.105</f>
        <v>0</v>
      </c>
      <c r="AC109" s="1"/>
      <c r="AD109"/>
      <c r="AF109"/>
      <c r="AG109"/>
      <c r="AH109"/>
      <c r="AI109"/>
      <c r="AJ109"/>
      <c r="AK109"/>
      <c r="AL109"/>
      <c r="AM109"/>
      <c r="AN109"/>
      <c r="AO109"/>
    </row>
    <row r="110" spans="1:41" s="6" customFormat="1" x14ac:dyDescent="0.25">
      <c r="A110"/>
      <c r="B110"/>
      <c r="C110"/>
      <c r="D110"/>
      <c r="E110"/>
      <c r="F110"/>
      <c r="H110"/>
      <c r="I110"/>
      <c r="J110"/>
      <c r="K110"/>
      <c r="L110"/>
      <c r="N110" s="18"/>
      <c r="O110" s="11">
        <f>Tabla351018263641424445464748441424[[#This Row],[COMISIONES]]*0.21</f>
        <v>0</v>
      </c>
      <c r="P110" s="18"/>
      <c r="Q110" s="18"/>
      <c r="R110" s="18"/>
      <c r="T110"/>
      <c r="U110" s="19">
        <f>Tabla612202833421020305060708090102030[[#This Row],[COMISIONES]]*0.21</f>
        <v>0</v>
      </c>
      <c r="V110"/>
      <c r="W110"/>
      <c r="X110"/>
      <c r="Z110" s="3"/>
      <c r="AA110" s="21">
        <f>Tabla35681321293971727475767778771727[[#This Row],[COMISIONES]]*0.21</f>
        <v>0</v>
      </c>
      <c r="AB110" s="21">
        <f>Tabla35681321293971727475767778771727[[#This Row],[COMISIONES]]*0.105</f>
        <v>0</v>
      </c>
      <c r="AC110" s="1"/>
      <c r="AD110" s="21"/>
      <c r="AF110"/>
      <c r="AG110"/>
      <c r="AH110"/>
      <c r="AI110"/>
      <c r="AJ110"/>
      <c r="AK110"/>
      <c r="AL110"/>
      <c r="AM110"/>
      <c r="AN110"/>
      <c r="AO110"/>
    </row>
    <row r="111" spans="1:41" s="6" customFormat="1" x14ac:dyDescent="0.25">
      <c r="A111"/>
      <c r="B111"/>
      <c r="C111"/>
      <c r="D111"/>
      <c r="E111"/>
      <c r="F111"/>
      <c r="H111"/>
      <c r="I111"/>
      <c r="J111"/>
      <c r="K111"/>
      <c r="L111"/>
      <c r="N111" s="18"/>
      <c r="O111" s="11">
        <f>Tabla351018263641424445464748441424[[#This Row],[COMISIONES]]*0.21</f>
        <v>0</v>
      </c>
      <c r="P111" s="18"/>
      <c r="Q111" s="18"/>
      <c r="R111" s="18"/>
      <c r="T111"/>
      <c r="U111" s="19">
        <f>Tabla612202833421020305060708090102030[[#This Row],[COMISIONES]]*0.21</f>
        <v>0</v>
      </c>
      <c r="V111"/>
      <c r="W111"/>
      <c r="X111"/>
      <c r="Z111" s="3"/>
      <c r="AA111" s="21">
        <f>Tabla35681321293971727475767778771727[[#This Row],[COMISIONES]]*0.21</f>
        <v>0</v>
      </c>
      <c r="AB111" s="21">
        <f>Tabla35681321293971727475767778771727[[#This Row],[COMISIONES]]*0.105</f>
        <v>0</v>
      </c>
      <c r="AC111" s="1"/>
      <c r="AD111" s="21"/>
      <c r="AF111"/>
      <c r="AG111"/>
      <c r="AH111"/>
      <c r="AI111"/>
      <c r="AJ111"/>
      <c r="AK111"/>
      <c r="AL111"/>
      <c r="AM111"/>
      <c r="AN111"/>
      <c r="AO111"/>
    </row>
    <row r="112" spans="1:41" s="6" customFormat="1" x14ac:dyDescent="0.25">
      <c r="A112"/>
      <c r="B112"/>
      <c r="C112"/>
      <c r="D112"/>
      <c r="E112"/>
      <c r="F112"/>
      <c r="H112"/>
      <c r="I112"/>
      <c r="J112"/>
      <c r="K112"/>
      <c r="L112"/>
      <c r="N112" s="18"/>
      <c r="O112" s="11">
        <f>Tabla351018263641424445464748441424[[#This Row],[COMISIONES]]*0.21</f>
        <v>0</v>
      </c>
      <c r="P112" s="18"/>
      <c r="Q112" s="18"/>
      <c r="R112" s="18"/>
      <c r="T112"/>
      <c r="U112" s="19">
        <f>Tabla612202833421020305060708090102030[[#This Row],[COMISIONES]]*0.21</f>
        <v>0</v>
      </c>
      <c r="V112"/>
      <c r="W112"/>
      <c r="X112"/>
      <c r="Z112" s="3"/>
      <c r="AA112" s="21">
        <f>Tabla35681321293971727475767778771727[[#This Row],[COMISIONES]]*0.21</f>
        <v>0</v>
      </c>
      <c r="AB112" s="21">
        <f>Tabla35681321293971727475767778771727[[#This Row],[COMISIONES]]*0.105</f>
        <v>0</v>
      </c>
      <c r="AC112" s="21"/>
      <c r="AD112" s="21"/>
      <c r="AF112"/>
      <c r="AG112"/>
      <c r="AH112"/>
      <c r="AI112"/>
      <c r="AJ112"/>
      <c r="AK112"/>
      <c r="AL112"/>
      <c r="AM112"/>
      <c r="AN112"/>
      <c r="AO112"/>
    </row>
    <row r="113" spans="1:41" s="6" customFormat="1" x14ac:dyDescent="0.25">
      <c r="A113"/>
      <c r="B113"/>
      <c r="C113"/>
      <c r="D113"/>
      <c r="E113"/>
      <c r="F113"/>
      <c r="H113"/>
      <c r="I113"/>
      <c r="J113"/>
      <c r="K113"/>
      <c r="L113"/>
      <c r="N113" s="18"/>
      <c r="O113" s="11">
        <f>Tabla351018263641424445464748441424[[#This Row],[COMISIONES]]*0.21</f>
        <v>0</v>
      </c>
      <c r="P113" s="18"/>
      <c r="Q113" s="18"/>
      <c r="R113" s="18"/>
      <c r="T113"/>
      <c r="U113" s="19">
        <f>Tabla612202833421020305060708090102030[[#This Row],[COMISIONES]]*0.21</f>
        <v>0</v>
      </c>
      <c r="V113"/>
      <c r="W113"/>
      <c r="X113"/>
      <c r="Z113" s="3"/>
      <c r="AA113" s="21">
        <f>Tabla35681321293971727475767778771727[[#This Row],[COMISIONES]]*0.21</f>
        <v>0</v>
      </c>
      <c r="AB113" s="21">
        <f>Tabla35681321293971727475767778771727[[#This Row],[COMISIONES]]*0.105</f>
        <v>0</v>
      </c>
      <c r="AC113" s="21"/>
      <c r="AD113" s="21"/>
      <c r="AF113"/>
      <c r="AG113"/>
      <c r="AH113"/>
      <c r="AI113"/>
      <c r="AJ113"/>
      <c r="AK113"/>
      <c r="AL113"/>
      <c r="AM113"/>
      <c r="AN113"/>
      <c r="AO113"/>
    </row>
    <row r="114" spans="1:41" s="6" customFormat="1" x14ac:dyDescent="0.25">
      <c r="A114"/>
      <c r="B114"/>
      <c r="C114"/>
      <c r="D114"/>
      <c r="E114"/>
      <c r="F114"/>
      <c r="H114"/>
      <c r="I114"/>
      <c r="J114"/>
      <c r="K114"/>
      <c r="L114"/>
      <c r="N114" s="18"/>
      <c r="O114" s="11">
        <f>Tabla351018263641424445464748441424[[#This Row],[COMISIONES]]*0.21</f>
        <v>0</v>
      </c>
      <c r="P114" s="18"/>
      <c r="Q114" s="18"/>
      <c r="R114" s="18"/>
      <c r="T114"/>
      <c r="U114" s="19">
        <f>Tabla612202833421020305060708090102030[[#This Row],[COMISIONES]]*0.21</f>
        <v>0</v>
      </c>
      <c r="V114"/>
      <c r="W114"/>
      <c r="X114"/>
      <c r="Z114" s="3"/>
      <c r="AA114" s="21">
        <f>Tabla35681321293971727475767778771727[[#This Row],[COMISIONES]]*0.21</f>
        <v>0</v>
      </c>
      <c r="AB114" s="21">
        <f>Tabla35681321293971727475767778771727[[#This Row],[COMISIONES]]*0.105</f>
        <v>0</v>
      </c>
      <c r="AC114" s="1"/>
      <c r="AD114" s="21"/>
      <c r="AF114"/>
      <c r="AG114"/>
      <c r="AH114"/>
      <c r="AI114"/>
      <c r="AJ114"/>
      <c r="AK114"/>
      <c r="AL114"/>
      <c r="AM114"/>
      <c r="AN114"/>
      <c r="AO114"/>
    </row>
    <row r="115" spans="1:41" s="6" customFormat="1" x14ac:dyDescent="0.25">
      <c r="A115"/>
      <c r="B115"/>
      <c r="C115"/>
      <c r="D115"/>
      <c r="E115"/>
      <c r="F115"/>
      <c r="H115"/>
      <c r="I115"/>
      <c r="J115"/>
      <c r="K115"/>
      <c r="L115"/>
      <c r="N115" s="18"/>
      <c r="O115" s="11">
        <f>Tabla351018263641424445464748441424[[#This Row],[COMISIONES]]*0.21</f>
        <v>0</v>
      </c>
      <c r="P115" s="18"/>
      <c r="Q115" s="18"/>
      <c r="R115" s="18"/>
      <c r="T115"/>
      <c r="U115" s="19">
        <f>Tabla612202833421020305060708090102030[[#This Row],[COMISIONES]]*0.21</f>
        <v>0</v>
      </c>
      <c r="V115"/>
      <c r="W115"/>
      <c r="X115"/>
      <c r="Z115" s="21"/>
      <c r="AA115" s="21">
        <f>Tabla35681321293971727475767778771727[[#This Row],[COMISIONES]]*0.21</f>
        <v>0</v>
      </c>
      <c r="AB115" s="21">
        <f>Tabla35681321293971727475767778771727[[#This Row],[COMISIONES]]*0.105</f>
        <v>0</v>
      </c>
      <c r="AC115" s="1"/>
      <c r="AD115" s="21"/>
      <c r="AF115"/>
      <c r="AG115"/>
      <c r="AH115"/>
      <c r="AI115"/>
      <c r="AJ115"/>
      <c r="AK115"/>
      <c r="AL115"/>
      <c r="AM115"/>
      <c r="AN115"/>
      <c r="AO115"/>
    </row>
    <row r="116" spans="1:41" s="6" customFormat="1" x14ac:dyDescent="0.25">
      <c r="A116"/>
      <c r="B116"/>
      <c r="C116"/>
      <c r="D116"/>
      <c r="E116"/>
      <c r="F116"/>
      <c r="H116"/>
      <c r="I116"/>
      <c r="J116"/>
      <c r="K116"/>
      <c r="L116"/>
      <c r="N116" s="18"/>
      <c r="O116" s="11">
        <f>Tabla351018263641424445464748441424[[#This Row],[COMISIONES]]*0.21</f>
        <v>0</v>
      </c>
      <c r="P116" s="18"/>
      <c r="Q116" s="18"/>
      <c r="R116" s="18"/>
      <c r="T116"/>
      <c r="U116" s="19">
        <f>Tabla612202833421020305060708090102030[[#This Row],[COMISIONES]]*0.21</f>
        <v>0</v>
      </c>
      <c r="V116"/>
      <c r="W116"/>
      <c r="X116"/>
      <c r="Z116" s="3"/>
      <c r="AA116" s="21">
        <f>Tabla35681321293971727475767778771727[[#This Row],[COMISIONES]]*0.21</f>
        <v>0</v>
      </c>
      <c r="AB116" s="21">
        <f>Tabla35681321293971727475767778771727[[#This Row],[COMISIONES]]*0.105</f>
        <v>0</v>
      </c>
      <c r="AC116" s="1"/>
      <c r="AD116" s="21"/>
      <c r="AF116"/>
      <c r="AG116"/>
      <c r="AH116"/>
      <c r="AI116"/>
      <c r="AJ116"/>
      <c r="AK116"/>
      <c r="AL116"/>
      <c r="AM116"/>
      <c r="AN116"/>
      <c r="AO116"/>
    </row>
    <row r="117" spans="1:41" s="6" customFormat="1" x14ac:dyDescent="0.25">
      <c r="A117"/>
      <c r="B117"/>
      <c r="C117"/>
      <c r="D117"/>
      <c r="E117"/>
      <c r="F117"/>
      <c r="H117"/>
      <c r="I117"/>
      <c r="J117"/>
      <c r="K117"/>
      <c r="L117"/>
      <c r="N117" s="18"/>
      <c r="O117" s="11">
        <f>Tabla351018263641424445464748441424[[#This Row],[COMISIONES]]*0.21</f>
        <v>0</v>
      </c>
      <c r="P117" s="18"/>
      <c r="Q117" s="18"/>
      <c r="R117" s="18"/>
      <c r="T117"/>
      <c r="U117" s="19">
        <f>Tabla612202833421020305060708090102030[[#This Row],[COMISIONES]]*0.21</f>
        <v>0</v>
      </c>
      <c r="V117"/>
      <c r="W117"/>
      <c r="X117"/>
      <c r="Z117" s="3"/>
      <c r="AA117" s="21">
        <f>Tabla35681321293971727475767778771727[[#This Row],[COMISIONES]]*0.21</f>
        <v>0</v>
      </c>
      <c r="AB117" s="21">
        <f>Tabla35681321293971727475767778771727[[#This Row],[COMISIONES]]*0.105</f>
        <v>0</v>
      </c>
      <c r="AC117" s="1"/>
      <c r="AD117"/>
      <c r="AF117"/>
      <c r="AG117"/>
      <c r="AH117"/>
      <c r="AI117"/>
      <c r="AJ117"/>
      <c r="AK117"/>
      <c r="AL117"/>
      <c r="AM117"/>
      <c r="AN117"/>
      <c r="AO117"/>
    </row>
    <row r="118" spans="1:41" s="6" customFormat="1" x14ac:dyDescent="0.25">
      <c r="A118"/>
      <c r="B118"/>
      <c r="C118"/>
      <c r="D118"/>
      <c r="E118"/>
      <c r="F118"/>
      <c r="H118"/>
      <c r="I118"/>
      <c r="J118"/>
      <c r="K118"/>
      <c r="L118"/>
      <c r="N118" s="18"/>
      <c r="O118" s="11">
        <f>Tabla351018263641424445464748441424[[#This Row],[COMISIONES]]*0.21</f>
        <v>0</v>
      </c>
      <c r="P118" s="18"/>
      <c r="Q118" s="18"/>
      <c r="R118" s="18"/>
      <c r="T118"/>
      <c r="U118" s="19">
        <f>Tabla612202833421020305060708090102030[[#This Row],[COMISIONES]]*0.21</f>
        <v>0</v>
      </c>
      <c r="V118"/>
      <c r="W118"/>
      <c r="X118"/>
      <c r="Z118" s="3"/>
      <c r="AA118" s="21">
        <f>Tabla35681321293971727475767778771727[[#This Row],[COMISIONES]]*0.21</f>
        <v>0</v>
      </c>
      <c r="AB118" s="21">
        <f>Tabla35681321293971727475767778771727[[#This Row],[COMISIONES]]*0.105</f>
        <v>0</v>
      </c>
      <c r="AC118" s="1"/>
      <c r="AD118"/>
      <c r="AF118"/>
      <c r="AG118"/>
      <c r="AH118"/>
      <c r="AI118"/>
      <c r="AJ118"/>
      <c r="AK118"/>
      <c r="AL118"/>
      <c r="AM118"/>
      <c r="AN118"/>
      <c r="AO118"/>
    </row>
    <row r="119" spans="1:41" s="6" customFormat="1" x14ac:dyDescent="0.25">
      <c r="A119"/>
      <c r="B119"/>
      <c r="C119"/>
      <c r="D119"/>
      <c r="E119"/>
      <c r="F119"/>
      <c r="H119"/>
      <c r="I119"/>
      <c r="J119"/>
      <c r="K119"/>
      <c r="L119"/>
      <c r="N119" s="18"/>
      <c r="O119" s="11">
        <f>Tabla351018263641424445464748441424[[#This Row],[COMISIONES]]*0.21</f>
        <v>0</v>
      </c>
      <c r="P119" s="18"/>
      <c r="Q119" s="18"/>
      <c r="R119" s="18"/>
      <c r="T119"/>
      <c r="U119" s="19">
        <f>Tabla612202833421020305060708090102030[[#This Row],[COMISIONES]]*0.21</f>
        <v>0</v>
      </c>
      <c r="V119"/>
      <c r="W119"/>
      <c r="X119"/>
      <c r="Z119" s="3"/>
      <c r="AA119" s="21">
        <f>Tabla35681321293971727475767778771727[[#This Row],[COMISIONES]]*0.21</f>
        <v>0</v>
      </c>
      <c r="AB119" s="21">
        <f>Tabla35681321293971727475767778771727[[#This Row],[COMISIONES]]*0.105</f>
        <v>0</v>
      </c>
      <c r="AC119" s="21"/>
      <c r="AD119" s="21"/>
      <c r="AF119"/>
      <c r="AG119"/>
      <c r="AH119"/>
      <c r="AI119"/>
      <c r="AJ119"/>
      <c r="AK119"/>
      <c r="AL119"/>
      <c r="AM119"/>
      <c r="AN119"/>
      <c r="AO119"/>
    </row>
    <row r="120" spans="1:41" s="6" customFormat="1" x14ac:dyDescent="0.25">
      <c r="A120"/>
      <c r="B120"/>
      <c r="C120"/>
      <c r="D120"/>
      <c r="E120"/>
      <c r="F120"/>
      <c r="H120"/>
      <c r="I120"/>
      <c r="J120"/>
      <c r="K120"/>
      <c r="L120"/>
      <c r="N120" s="18"/>
      <c r="O120" s="11">
        <f>Tabla351018263641424445464748441424[[#This Row],[COMISIONES]]*0.21</f>
        <v>0</v>
      </c>
      <c r="P120" s="18"/>
      <c r="Q120" s="18"/>
      <c r="R120" s="18"/>
      <c r="T120"/>
      <c r="U120" s="19">
        <f>Tabla612202833421020305060708090102030[[#This Row],[COMISIONES]]*0.21</f>
        <v>0</v>
      </c>
      <c r="V120"/>
      <c r="W120"/>
      <c r="X120"/>
      <c r="Z120" s="3"/>
      <c r="AA120" s="21">
        <f>Tabla35681321293971727475767778771727[[#This Row],[COMISIONES]]*0.21</f>
        <v>0</v>
      </c>
      <c r="AB120" s="21">
        <f>Tabla35681321293971727475767778771727[[#This Row],[COMISIONES]]*0.105</f>
        <v>0</v>
      </c>
      <c r="AC120" s="21"/>
      <c r="AD120" s="21"/>
      <c r="AF120"/>
      <c r="AG120"/>
      <c r="AH120"/>
      <c r="AI120"/>
      <c r="AJ120"/>
      <c r="AK120"/>
      <c r="AL120"/>
      <c r="AM120"/>
      <c r="AN120"/>
      <c r="AO120"/>
    </row>
    <row r="121" spans="1:41" s="6" customFormat="1" x14ac:dyDescent="0.25">
      <c r="A121"/>
      <c r="B121"/>
      <c r="C121"/>
      <c r="D121"/>
      <c r="E121"/>
      <c r="F121"/>
      <c r="H121"/>
      <c r="I121"/>
      <c r="J121"/>
      <c r="K121"/>
      <c r="L121"/>
      <c r="N121" s="18"/>
      <c r="O121" s="11">
        <f>Tabla351018263641424445464748441424[[#This Row],[COMISIONES]]*0.21</f>
        <v>0</v>
      </c>
      <c r="P121" s="18"/>
      <c r="Q121" s="18"/>
      <c r="R121" s="18"/>
      <c r="T121"/>
      <c r="U121" s="19">
        <f>Tabla612202833421020305060708090102030[[#This Row],[COMISIONES]]*0.21</f>
        <v>0</v>
      </c>
      <c r="V121"/>
      <c r="W121"/>
      <c r="X121"/>
      <c r="Z121" s="3"/>
      <c r="AA121" s="21">
        <f>Tabla35681321293971727475767778771727[[#This Row],[COMISIONES]]*0.21</f>
        <v>0</v>
      </c>
      <c r="AB121" s="21">
        <f>Tabla35681321293971727475767778771727[[#This Row],[COMISIONES]]*0.105</f>
        <v>0</v>
      </c>
      <c r="AC121" s="21"/>
      <c r="AD121" s="21"/>
      <c r="AF121"/>
      <c r="AG121"/>
      <c r="AH121"/>
      <c r="AI121"/>
      <c r="AJ121"/>
      <c r="AK121"/>
      <c r="AL121"/>
      <c r="AM121"/>
      <c r="AN121"/>
      <c r="AO121"/>
    </row>
    <row r="122" spans="1:41" s="6" customFormat="1" x14ac:dyDescent="0.25">
      <c r="A122"/>
      <c r="B122"/>
      <c r="C122"/>
      <c r="D122"/>
      <c r="E122"/>
      <c r="F122"/>
      <c r="H122"/>
      <c r="I122"/>
      <c r="J122"/>
      <c r="K122"/>
      <c r="L122"/>
      <c r="N122" s="18"/>
      <c r="O122" s="11">
        <f>Tabla351018263641424445464748441424[[#This Row],[COMISIONES]]*0.21</f>
        <v>0</v>
      </c>
      <c r="P122" s="18"/>
      <c r="Q122" s="18"/>
      <c r="R122" s="18"/>
      <c r="T122"/>
      <c r="U122" s="19">
        <f>Tabla612202833421020305060708090102030[[#This Row],[COMISIONES]]*0.21</f>
        <v>0</v>
      </c>
      <c r="V122"/>
      <c r="W122"/>
      <c r="X122"/>
      <c r="Z122" s="3"/>
      <c r="AA122" s="21">
        <f>Tabla35681321293971727475767778771727[[#This Row],[COMISIONES]]*0.21</f>
        <v>0</v>
      </c>
      <c r="AB122" s="21">
        <f>Tabla35681321293971727475767778771727[[#This Row],[COMISIONES]]*0.105</f>
        <v>0</v>
      </c>
      <c r="AC122" s="21"/>
      <c r="AD122" s="21"/>
      <c r="AF122"/>
      <c r="AG122"/>
      <c r="AH122"/>
      <c r="AI122"/>
      <c r="AJ122"/>
      <c r="AK122"/>
      <c r="AL122"/>
      <c r="AM122"/>
      <c r="AN122"/>
      <c r="AO122"/>
    </row>
    <row r="123" spans="1:41" s="6" customFormat="1" x14ac:dyDescent="0.25">
      <c r="A123"/>
      <c r="B123"/>
      <c r="C123"/>
      <c r="D123"/>
      <c r="E123"/>
      <c r="F123"/>
      <c r="H123"/>
      <c r="I123"/>
      <c r="J123"/>
      <c r="K123"/>
      <c r="L123"/>
      <c r="N123" s="18"/>
      <c r="O123" s="18"/>
      <c r="P123" s="18"/>
      <c r="Q123" s="18"/>
      <c r="R123" s="18"/>
      <c r="T123" s="4">
        <f>SUBTOTAL(109,Tabla612202833421020305060708090102030[COMISIONES])</f>
        <v>0</v>
      </c>
      <c r="U123" s="4">
        <f>SUBTOTAL(109,Tabla612202833421020305060708090102030[IVA 21])</f>
        <v>0</v>
      </c>
      <c r="V123" s="4">
        <f>SUBTOTAL(109,Tabla612202833421020305060708090102030[IVA 10,5])</f>
        <v>0</v>
      </c>
      <c r="W123" s="4">
        <f>SUBTOTAL(109,Tabla612202833421020305060708090102030[Ret IIBB Caba])</f>
        <v>0</v>
      </c>
      <c r="X123" s="4">
        <f>SUBTOTAL(109,Tabla612202833421020305060708090102030[PERC IVA])</f>
        <v>0</v>
      </c>
      <c r="Z123" s="3"/>
      <c r="AA123" s="21">
        <f>Tabla35681321293971727475767778771727[[#This Row],[COMISIONES]]*0.21</f>
        <v>0</v>
      </c>
      <c r="AB123" s="21">
        <f>Tabla35681321293971727475767778771727[[#This Row],[COMISIONES]]*0.105</f>
        <v>0</v>
      </c>
      <c r="AC123" s="21"/>
      <c r="AD123" s="21"/>
      <c r="AF123"/>
      <c r="AG123"/>
      <c r="AH123"/>
      <c r="AI123"/>
      <c r="AJ123"/>
      <c r="AK123"/>
      <c r="AL123"/>
      <c r="AM123"/>
      <c r="AN123"/>
      <c r="AO123"/>
    </row>
    <row r="124" spans="1:41" s="6" customFormat="1" x14ac:dyDescent="0.25">
      <c r="A124"/>
      <c r="B124"/>
      <c r="C124"/>
      <c r="D124"/>
      <c r="E124"/>
      <c r="F124"/>
      <c r="H124"/>
      <c r="I124"/>
      <c r="J124"/>
      <c r="K124"/>
      <c r="L124"/>
      <c r="N124" s="18"/>
      <c r="O124" s="18"/>
      <c r="P124" s="18"/>
      <c r="Q124" s="18"/>
      <c r="R124" s="18"/>
      <c r="T124"/>
      <c r="U124"/>
      <c r="V124"/>
      <c r="W124"/>
      <c r="X124"/>
      <c r="Z124" s="3"/>
      <c r="AA124" s="21">
        <f>Tabla35681321293971727475767778771727[[#This Row],[COMISIONES]]*0.21</f>
        <v>0</v>
      </c>
      <c r="AB124" s="21">
        <f>Tabla35681321293971727475767778771727[[#This Row],[COMISIONES]]*0.105</f>
        <v>0</v>
      </c>
      <c r="AC124" s="21"/>
      <c r="AD124" s="21"/>
      <c r="AF124"/>
      <c r="AG124"/>
      <c r="AH124"/>
      <c r="AI124"/>
      <c r="AJ124"/>
      <c r="AK124"/>
      <c r="AL124"/>
      <c r="AM124"/>
      <c r="AN124"/>
      <c r="AO124"/>
    </row>
    <row r="125" spans="1:41" s="6" customFormat="1" x14ac:dyDescent="0.25">
      <c r="A125"/>
      <c r="B125"/>
      <c r="C125"/>
      <c r="D125"/>
      <c r="E125"/>
      <c r="F125"/>
      <c r="H125"/>
      <c r="I125"/>
      <c r="J125"/>
      <c r="K125"/>
      <c r="L125"/>
      <c r="N125" s="18"/>
      <c r="O125" s="18"/>
      <c r="P125" s="18"/>
      <c r="Q125" s="18"/>
      <c r="R125" s="18"/>
      <c r="T125"/>
      <c r="U125"/>
      <c r="V125"/>
      <c r="W125"/>
      <c r="X125"/>
      <c r="Z125" s="3"/>
      <c r="AA125" s="21">
        <f>Tabla35681321293971727475767778771727[[#This Row],[COMISIONES]]*0.21</f>
        <v>0</v>
      </c>
      <c r="AB125" s="21">
        <f>Tabla35681321293971727475767778771727[[#This Row],[COMISIONES]]*0.105</f>
        <v>0</v>
      </c>
      <c r="AC125" s="21"/>
      <c r="AD125" s="21"/>
      <c r="AF125"/>
      <c r="AG125"/>
      <c r="AH125"/>
      <c r="AI125"/>
      <c r="AJ125"/>
      <c r="AK125"/>
      <c r="AL125"/>
      <c r="AM125"/>
      <c r="AN125"/>
      <c r="AO125"/>
    </row>
    <row r="126" spans="1:41" s="6" customFormat="1" x14ac:dyDescent="0.25">
      <c r="A126"/>
      <c r="B126"/>
      <c r="C126"/>
      <c r="D126"/>
      <c r="E126"/>
      <c r="F126"/>
      <c r="H126"/>
      <c r="I126"/>
      <c r="J126"/>
      <c r="K126"/>
      <c r="L126"/>
      <c r="N126" s="18"/>
      <c r="O126" s="18"/>
      <c r="P126" s="18"/>
      <c r="Q126" s="18"/>
      <c r="R126" s="18"/>
      <c r="T126"/>
      <c r="U126"/>
      <c r="V126"/>
      <c r="W126"/>
      <c r="X126"/>
      <c r="Z126" s="3"/>
      <c r="AA126" s="21">
        <f>Tabla35681321293971727475767778771727[[#This Row],[COMISIONES]]*0.21</f>
        <v>0</v>
      </c>
      <c r="AB126" s="21">
        <f>Tabla35681321293971727475767778771727[[#This Row],[COMISIONES]]*0.105</f>
        <v>0</v>
      </c>
      <c r="AC126" s="21"/>
      <c r="AD126" s="21"/>
      <c r="AF126"/>
      <c r="AG126"/>
      <c r="AH126"/>
      <c r="AI126"/>
      <c r="AJ126"/>
      <c r="AK126"/>
      <c r="AL126"/>
      <c r="AM126"/>
      <c r="AN126"/>
      <c r="AO126"/>
    </row>
    <row r="127" spans="1:41" s="6" customFormat="1" x14ac:dyDescent="0.25">
      <c r="A127"/>
      <c r="B127"/>
      <c r="C127"/>
      <c r="D127"/>
      <c r="E127"/>
      <c r="F127"/>
      <c r="H127"/>
      <c r="I127"/>
      <c r="J127"/>
      <c r="K127"/>
      <c r="L127"/>
      <c r="N127" s="18"/>
      <c r="O127" s="18"/>
      <c r="P127" s="18"/>
      <c r="Q127" s="18"/>
      <c r="R127" s="18"/>
      <c r="T127"/>
      <c r="U127"/>
      <c r="V127"/>
      <c r="W127"/>
      <c r="X127"/>
      <c r="Z127" s="3"/>
      <c r="AA127" s="21">
        <f>Tabla35681321293971727475767778771727[[#This Row],[COMISIONES]]*0.21</f>
        <v>0</v>
      </c>
      <c r="AB127" s="21">
        <f>Tabla35681321293971727475767778771727[[#This Row],[COMISIONES]]*0.105</f>
        <v>0</v>
      </c>
      <c r="AC127" s="21"/>
      <c r="AD127" s="21"/>
      <c r="AF127"/>
      <c r="AG127"/>
      <c r="AH127"/>
      <c r="AI127"/>
      <c r="AJ127"/>
      <c r="AK127"/>
      <c r="AL127"/>
      <c r="AM127"/>
      <c r="AN127"/>
      <c r="AO127"/>
    </row>
    <row r="128" spans="1:41" s="6" customFormat="1" x14ac:dyDescent="0.25">
      <c r="A128"/>
      <c r="B128"/>
      <c r="C128"/>
      <c r="D128"/>
      <c r="E128"/>
      <c r="F128"/>
      <c r="H128"/>
      <c r="I128"/>
      <c r="J128"/>
      <c r="K128"/>
      <c r="L128"/>
      <c r="N128" s="18"/>
      <c r="O128" s="18"/>
      <c r="P128" s="18"/>
      <c r="Q128" s="18"/>
      <c r="R128" s="18"/>
      <c r="T128"/>
      <c r="U128"/>
      <c r="V128"/>
      <c r="W128"/>
      <c r="X128"/>
      <c r="Z128" s="3"/>
      <c r="AA128" s="21">
        <f>Tabla35681321293971727475767778771727[[#This Row],[COMISIONES]]*0.21</f>
        <v>0</v>
      </c>
      <c r="AB128" s="21">
        <f>Tabla35681321293971727475767778771727[[#This Row],[COMISIONES]]*0.105</f>
        <v>0</v>
      </c>
      <c r="AC128" s="21"/>
      <c r="AD128" s="21"/>
      <c r="AF128"/>
      <c r="AG128"/>
      <c r="AH128"/>
      <c r="AI128"/>
      <c r="AJ128"/>
      <c r="AK128"/>
      <c r="AL128"/>
      <c r="AM128"/>
      <c r="AN128"/>
      <c r="AO128"/>
    </row>
    <row r="129" spans="1:41" s="6" customFormat="1" x14ac:dyDescent="0.25">
      <c r="A129"/>
      <c r="B129"/>
      <c r="C129"/>
      <c r="D129"/>
      <c r="E129"/>
      <c r="F129"/>
      <c r="H129"/>
      <c r="I129"/>
      <c r="J129"/>
      <c r="K129"/>
      <c r="L129"/>
      <c r="N129" s="18"/>
      <c r="O129" s="18"/>
      <c r="P129" s="18"/>
      <c r="Q129" s="18"/>
      <c r="R129" s="18"/>
      <c r="T129"/>
      <c r="U129"/>
      <c r="V129"/>
      <c r="W129"/>
      <c r="X129"/>
      <c r="Z129" s="21"/>
      <c r="AA129" s="21">
        <f>Tabla35681321293971727475767778771727[[#This Row],[COMISIONES]]*0.21</f>
        <v>0</v>
      </c>
      <c r="AB129" s="21">
        <f>Tabla35681321293971727475767778771727[[#This Row],[COMISIONES]]*0.105</f>
        <v>0</v>
      </c>
      <c r="AC129" s="21"/>
      <c r="AD129" s="21"/>
      <c r="AF129"/>
      <c r="AG129"/>
      <c r="AH129"/>
      <c r="AI129"/>
      <c r="AJ129"/>
      <c r="AK129"/>
      <c r="AL129"/>
      <c r="AM129"/>
      <c r="AN129"/>
      <c r="AO129"/>
    </row>
    <row r="130" spans="1:41" s="6" customFormat="1" x14ac:dyDescent="0.25">
      <c r="A130"/>
      <c r="B130"/>
      <c r="C130"/>
      <c r="D130"/>
      <c r="E130"/>
      <c r="F130"/>
      <c r="H130"/>
      <c r="I130"/>
      <c r="J130"/>
      <c r="K130"/>
      <c r="L130"/>
      <c r="N130" s="18"/>
      <c r="O130" s="18"/>
      <c r="P130" s="18"/>
      <c r="Q130" s="18"/>
      <c r="R130" s="18"/>
      <c r="T130"/>
      <c r="U130"/>
      <c r="V130"/>
      <c r="W130"/>
      <c r="X130"/>
      <c r="Z130" s="21"/>
      <c r="AA130" s="21">
        <f>Tabla35681321293971727475767778771727[[#This Row],[COMISIONES]]*0.21</f>
        <v>0</v>
      </c>
      <c r="AB130" s="21">
        <f>Tabla35681321293971727475767778771727[[#This Row],[COMISIONES]]*0.105</f>
        <v>0</v>
      </c>
      <c r="AC130" s="21"/>
      <c r="AD130" s="21"/>
      <c r="AF130"/>
      <c r="AG130"/>
      <c r="AH130"/>
      <c r="AI130"/>
      <c r="AJ130"/>
      <c r="AK130"/>
      <c r="AL130"/>
      <c r="AM130"/>
      <c r="AN130"/>
      <c r="AO130"/>
    </row>
    <row r="131" spans="1:41" s="6" customFormat="1" x14ac:dyDescent="0.25">
      <c r="A131"/>
      <c r="B131"/>
      <c r="C131"/>
      <c r="D131"/>
      <c r="E131"/>
      <c r="F131"/>
      <c r="H131"/>
      <c r="I131"/>
      <c r="J131"/>
      <c r="K131"/>
      <c r="L131"/>
      <c r="N131" s="18"/>
      <c r="O131" s="18"/>
      <c r="P131" s="18"/>
      <c r="Q131" s="18"/>
      <c r="R131" s="18"/>
      <c r="T131"/>
      <c r="U131"/>
      <c r="V131"/>
      <c r="W131"/>
      <c r="X131"/>
      <c r="Z131" s="21"/>
      <c r="AA131" s="21">
        <f>Tabla35681321293971727475767778771727[[#This Row],[COMISIONES]]*0.21</f>
        <v>0</v>
      </c>
      <c r="AB131" s="21">
        <f>Tabla35681321293971727475767778771727[[#This Row],[COMISIONES]]*0.105</f>
        <v>0</v>
      </c>
      <c r="AC131" s="21"/>
      <c r="AD131" s="21"/>
      <c r="AF131"/>
      <c r="AG131"/>
      <c r="AH131"/>
      <c r="AI131"/>
      <c r="AJ131"/>
      <c r="AK131"/>
      <c r="AL131"/>
      <c r="AM131"/>
      <c r="AN131"/>
      <c r="AO131"/>
    </row>
    <row r="132" spans="1:41" s="6" customFormat="1" x14ac:dyDescent="0.25">
      <c r="A132"/>
      <c r="B132"/>
      <c r="C132"/>
      <c r="D132"/>
      <c r="E132"/>
      <c r="F132"/>
      <c r="H132"/>
      <c r="I132"/>
      <c r="J132"/>
      <c r="K132"/>
      <c r="L132"/>
      <c r="N132" s="18"/>
      <c r="O132" s="18"/>
      <c r="P132" s="18"/>
      <c r="Q132" s="18"/>
      <c r="R132" s="18"/>
      <c r="T132"/>
      <c r="U132"/>
      <c r="V132"/>
      <c r="W132"/>
      <c r="X132"/>
      <c r="Z132" s="21"/>
      <c r="AA132" s="21">
        <f>Tabla35681321293971727475767778771727[[#This Row],[COMISIONES]]*0.21</f>
        <v>0</v>
      </c>
      <c r="AB132" s="21">
        <f>Tabla35681321293971727475767778771727[[#This Row],[COMISIONES]]*0.105</f>
        <v>0</v>
      </c>
      <c r="AC132" s="21"/>
      <c r="AD132" s="21"/>
      <c r="AF132"/>
      <c r="AG132"/>
      <c r="AH132"/>
      <c r="AI132"/>
      <c r="AJ132"/>
      <c r="AK132"/>
      <c r="AL132"/>
      <c r="AM132"/>
      <c r="AN132"/>
      <c r="AO132"/>
    </row>
    <row r="133" spans="1:41" s="6" customFormat="1" x14ac:dyDescent="0.25">
      <c r="A133"/>
      <c r="B133"/>
      <c r="C133"/>
      <c r="D133"/>
      <c r="E133"/>
      <c r="F133"/>
      <c r="H133"/>
      <c r="I133"/>
      <c r="J133"/>
      <c r="K133"/>
      <c r="L133"/>
      <c r="N133" s="18"/>
      <c r="O133" s="18"/>
      <c r="P133" s="18"/>
      <c r="Q133" s="18"/>
      <c r="R133" s="18"/>
      <c r="T133"/>
      <c r="U133"/>
      <c r="V133"/>
      <c r="W133"/>
      <c r="X133"/>
      <c r="Z133" s="21"/>
      <c r="AA133" s="21">
        <f>Tabla35681321293971727475767778771727[[#This Row],[COMISIONES]]*0.21</f>
        <v>0</v>
      </c>
      <c r="AB133" s="21">
        <f>Tabla35681321293971727475767778771727[[#This Row],[COMISIONES]]*0.105</f>
        <v>0</v>
      </c>
      <c r="AC133" s="21"/>
      <c r="AD133" s="21"/>
      <c r="AF133"/>
      <c r="AG133"/>
      <c r="AH133"/>
      <c r="AI133"/>
      <c r="AJ133"/>
      <c r="AK133"/>
      <c r="AL133"/>
      <c r="AM133"/>
      <c r="AN133"/>
      <c r="AO133"/>
    </row>
    <row r="134" spans="1:41" s="6" customFormat="1" x14ac:dyDescent="0.25">
      <c r="A134"/>
      <c r="B134"/>
      <c r="C134"/>
      <c r="D134"/>
      <c r="E134"/>
      <c r="F134"/>
      <c r="H134"/>
      <c r="I134"/>
      <c r="J134"/>
      <c r="K134"/>
      <c r="L134"/>
      <c r="N134" s="18"/>
      <c r="O134" s="18">
        <f>Tabla351018263641424445464748441424[[#This Row],[COMISIONES]]*0.21</f>
        <v>0</v>
      </c>
      <c r="P134" s="18"/>
      <c r="Q134" s="18"/>
      <c r="R134" s="18"/>
      <c r="T134"/>
      <c r="U134"/>
      <c r="V134"/>
      <c r="W134"/>
      <c r="X134"/>
      <c r="Z134" s="21"/>
      <c r="AA134" s="21">
        <f>Tabla35681321293971727475767778771727[[#This Row],[COMISIONES]]*0.21</f>
        <v>0</v>
      </c>
      <c r="AB134" s="21">
        <f>Tabla35681321293971727475767778771727[[#This Row],[COMISIONES]]*0.105</f>
        <v>0</v>
      </c>
      <c r="AC134" s="21"/>
      <c r="AD134" s="21"/>
      <c r="AF134"/>
      <c r="AG134"/>
      <c r="AH134"/>
      <c r="AI134"/>
      <c r="AJ134"/>
      <c r="AK134"/>
      <c r="AL134"/>
      <c r="AM134"/>
      <c r="AN134"/>
      <c r="AO134"/>
    </row>
    <row r="135" spans="1:41" s="6" customFormat="1" x14ac:dyDescent="0.25">
      <c r="A135"/>
      <c r="B135"/>
      <c r="C135"/>
      <c r="D135"/>
      <c r="E135"/>
      <c r="F135"/>
      <c r="H135"/>
      <c r="I135"/>
      <c r="J135"/>
      <c r="K135"/>
      <c r="L135"/>
      <c r="N135" s="4">
        <f>SUBTOTAL(109,Tabla351018263641424445464748441424[COMISIONES])</f>
        <v>5619.83</v>
      </c>
      <c r="O135" s="4">
        <f>SUBTOTAL(109,Tabla351018263641424445464748441424[IVA 21])</f>
        <v>1180.1642999999999</v>
      </c>
      <c r="P135" s="4">
        <f>SUBTOTAL(109,Tabla351018263641424445464748441424[IVA 10,5])</f>
        <v>0</v>
      </c>
      <c r="Q135" s="4">
        <f>SUBTOTAL(109,Tabla351018263641424445464748441424[Ret IIBB Caba])</f>
        <v>10708.88</v>
      </c>
      <c r="R135" s="4">
        <f>SUBTOTAL(109,Tabla351018263641424445464748441424[PERC IVA])</f>
        <v>271.55</v>
      </c>
      <c r="T135"/>
      <c r="U135"/>
      <c r="V135"/>
      <c r="W135"/>
      <c r="X135"/>
      <c r="Z135" s="21"/>
      <c r="AA135" s="21">
        <f>Tabla35681321293971727475767778771727[[#This Row],[COMISIONES]]*0.21</f>
        <v>0</v>
      </c>
      <c r="AB135" s="21">
        <f>Tabla35681321293971727475767778771727[[#This Row],[COMISIONES]]*0.105</f>
        <v>0</v>
      </c>
      <c r="AC135" s="21"/>
      <c r="AD135" s="21"/>
      <c r="AF135"/>
      <c r="AG135"/>
      <c r="AH135"/>
      <c r="AI135"/>
      <c r="AJ135"/>
      <c r="AK135"/>
      <c r="AL135"/>
      <c r="AM135"/>
      <c r="AN135"/>
      <c r="AO135"/>
    </row>
    <row r="136" spans="1:41" s="6" customFormat="1" x14ac:dyDescent="0.25">
      <c r="A136"/>
      <c r="B136"/>
      <c r="C136"/>
      <c r="D136"/>
      <c r="E136"/>
      <c r="F136"/>
      <c r="H136"/>
      <c r="I136"/>
      <c r="J136"/>
      <c r="K136"/>
      <c r="L136"/>
      <c r="N136"/>
      <c r="O136"/>
      <c r="P136"/>
      <c r="Q136"/>
      <c r="R136"/>
      <c r="T136"/>
      <c r="U136"/>
      <c r="V136"/>
      <c r="W136"/>
      <c r="X136"/>
      <c r="Z136" s="21"/>
      <c r="AA136" s="21">
        <f>Tabla35681321293971727475767778771727[[#This Row],[COMISIONES]]*0.21</f>
        <v>0</v>
      </c>
      <c r="AB136" s="21">
        <f>Tabla35681321293971727475767778771727[[#This Row],[COMISIONES]]*0.105</f>
        <v>0</v>
      </c>
      <c r="AC136" s="21"/>
      <c r="AD136" s="21"/>
      <c r="AF136"/>
      <c r="AG136"/>
      <c r="AH136"/>
      <c r="AI136"/>
      <c r="AJ136"/>
      <c r="AK136"/>
      <c r="AL136"/>
      <c r="AM136"/>
      <c r="AN136"/>
      <c r="AO136"/>
    </row>
    <row r="137" spans="1:41" s="6" customFormat="1" x14ac:dyDescent="0.25">
      <c r="A137"/>
      <c r="B137"/>
      <c r="C137"/>
      <c r="D137"/>
      <c r="E137"/>
      <c r="F137"/>
      <c r="H137"/>
      <c r="I137"/>
      <c r="J137"/>
      <c r="K137"/>
      <c r="L137"/>
      <c r="N137"/>
      <c r="O137"/>
      <c r="P137"/>
      <c r="Q137"/>
      <c r="R137"/>
      <c r="T137"/>
      <c r="U137"/>
      <c r="V137"/>
      <c r="W137"/>
      <c r="X137"/>
      <c r="Z137" s="21"/>
      <c r="AA137" s="21">
        <f>Tabla35681321293971727475767778771727[[#This Row],[COMISIONES]]*0.21</f>
        <v>0</v>
      </c>
      <c r="AB137" s="21">
        <f>Tabla35681321293971727475767778771727[[#This Row],[COMISIONES]]*0.105</f>
        <v>0</v>
      </c>
      <c r="AC137" s="21"/>
      <c r="AD137" s="21"/>
      <c r="AF137"/>
      <c r="AG137"/>
      <c r="AH137"/>
      <c r="AI137"/>
      <c r="AJ137"/>
      <c r="AK137"/>
      <c r="AL137"/>
      <c r="AM137"/>
      <c r="AN137"/>
      <c r="AO137"/>
    </row>
    <row r="138" spans="1:41" s="6" customFormat="1" x14ac:dyDescent="0.25">
      <c r="A138"/>
      <c r="B138"/>
      <c r="C138"/>
      <c r="D138"/>
      <c r="E138"/>
      <c r="F138"/>
      <c r="H138"/>
      <c r="I138"/>
      <c r="J138"/>
      <c r="K138"/>
      <c r="L138"/>
      <c r="N138"/>
      <c r="O138"/>
      <c r="P138"/>
      <c r="Q138"/>
      <c r="R138"/>
      <c r="T138"/>
      <c r="U138"/>
      <c r="V138"/>
      <c r="W138"/>
      <c r="X138"/>
      <c r="Z138" s="21"/>
      <c r="AA138" s="21">
        <f>Tabla35681321293971727475767778771727[[#This Row],[COMISIONES]]*0.21</f>
        <v>0</v>
      </c>
      <c r="AB138" s="21">
        <f>Tabla35681321293971727475767778771727[[#This Row],[COMISIONES]]*0.105</f>
        <v>0</v>
      </c>
      <c r="AC138" s="21"/>
      <c r="AD138" s="21"/>
      <c r="AF138"/>
      <c r="AG138"/>
      <c r="AH138"/>
      <c r="AI138"/>
      <c r="AJ138"/>
      <c r="AK138"/>
      <c r="AL138"/>
      <c r="AM138"/>
      <c r="AN138"/>
      <c r="AO138"/>
    </row>
    <row r="139" spans="1:41" s="6" customFormat="1" x14ac:dyDescent="0.25">
      <c r="A139"/>
      <c r="B139"/>
      <c r="C139"/>
      <c r="D139"/>
      <c r="E139"/>
      <c r="F139"/>
      <c r="H139"/>
      <c r="I139"/>
      <c r="J139"/>
      <c r="K139"/>
      <c r="L139"/>
      <c r="N139"/>
      <c r="O139"/>
      <c r="P139"/>
      <c r="Q139"/>
      <c r="R139"/>
      <c r="T139"/>
      <c r="U139"/>
      <c r="V139"/>
      <c r="W139"/>
      <c r="X139"/>
      <c r="Z139" s="21"/>
      <c r="AA139" s="21">
        <f>Tabla35681321293971727475767778771727[[#This Row],[COMISIONES]]*0.21</f>
        <v>0</v>
      </c>
      <c r="AB139" s="21">
        <f>Tabla35681321293971727475767778771727[[#This Row],[COMISIONES]]*0.105</f>
        <v>0</v>
      </c>
      <c r="AC139" s="21"/>
      <c r="AD139" s="21"/>
      <c r="AF139"/>
      <c r="AG139"/>
      <c r="AH139"/>
      <c r="AI139"/>
      <c r="AJ139"/>
      <c r="AK139"/>
      <c r="AL139"/>
      <c r="AM139"/>
      <c r="AN139"/>
      <c r="AO139"/>
    </row>
    <row r="140" spans="1:41" s="6" customFormat="1" x14ac:dyDescent="0.25">
      <c r="A140"/>
      <c r="B140"/>
      <c r="C140"/>
      <c r="D140"/>
      <c r="E140"/>
      <c r="F140"/>
      <c r="H140"/>
      <c r="I140"/>
      <c r="J140"/>
      <c r="K140"/>
      <c r="L140"/>
      <c r="N140"/>
      <c r="O140"/>
      <c r="P140"/>
      <c r="Q140"/>
      <c r="R140"/>
      <c r="T140"/>
      <c r="U140"/>
      <c r="V140"/>
      <c r="W140"/>
      <c r="X140"/>
      <c r="Z140" s="21"/>
      <c r="AA140" s="21">
        <f>Tabla35681321293971727475767778771727[[#This Row],[COMISIONES]]*0.21</f>
        <v>0</v>
      </c>
      <c r="AB140" s="21">
        <f>Tabla35681321293971727475767778771727[[#This Row],[COMISIONES]]*0.105</f>
        <v>0</v>
      </c>
      <c r="AC140" s="21"/>
      <c r="AD140" s="21"/>
      <c r="AF140"/>
      <c r="AG140"/>
      <c r="AH140"/>
      <c r="AI140"/>
      <c r="AJ140"/>
      <c r="AK140"/>
      <c r="AL140"/>
      <c r="AM140"/>
      <c r="AN140"/>
      <c r="AO140"/>
    </row>
    <row r="141" spans="1:41" s="6" customFormat="1" x14ac:dyDescent="0.25">
      <c r="A141"/>
      <c r="B141"/>
      <c r="C141"/>
      <c r="D141"/>
      <c r="E141"/>
      <c r="F141"/>
      <c r="H141"/>
      <c r="I141"/>
      <c r="J141"/>
      <c r="K141"/>
      <c r="L141"/>
      <c r="N141"/>
      <c r="O141"/>
      <c r="P141"/>
      <c r="Q141"/>
      <c r="R141"/>
      <c r="T141"/>
      <c r="U141"/>
      <c r="V141"/>
      <c r="W141"/>
      <c r="X141"/>
      <c r="Z141" s="21"/>
      <c r="AA141" s="21">
        <f>Tabla35681321293971727475767778771727[[#This Row],[COMISIONES]]*0.21</f>
        <v>0</v>
      </c>
      <c r="AB141" s="21">
        <f>Tabla35681321293971727475767778771727[[#This Row],[COMISIONES]]*0.105</f>
        <v>0</v>
      </c>
      <c r="AC141" s="21"/>
      <c r="AD141" s="21"/>
      <c r="AF141"/>
      <c r="AG141"/>
      <c r="AH141"/>
      <c r="AI141"/>
      <c r="AJ141"/>
      <c r="AK141"/>
      <c r="AL141"/>
      <c r="AM141"/>
      <c r="AN141"/>
      <c r="AO141"/>
    </row>
    <row r="142" spans="1:41" s="6" customFormat="1" x14ac:dyDescent="0.25">
      <c r="A142"/>
      <c r="B142"/>
      <c r="C142"/>
      <c r="D142"/>
      <c r="E142"/>
      <c r="F142"/>
      <c r="H142"/>
      <c r="I142"/>
      <c r="J142"/>
      <c r="K142"/>
      <c r="L142"/>
      <c r="N142"/>
      <c r="O142"/>
      <c r="P142"/>
      <c r="Q142"/>
      <c r="R142"/>
      <c r="T142"/>
      <c r="U142"/>
      <c r="V142"/>
      <c r="W142"/>
      <c r="X142"/>
      <c r="Z142" s="21"/>
      <c r="AA142" s="21">
        <f>Tabla35681321293971727475767778771727[[#This Row],[COMISIONES]]*0.21</f>
        <v>0</v>
      </c>
      <c r="AB142" s="21">
        <f>Tabla35681321293971727475767778771727[[#This Row],[COMISIONES]]*0.105</f>
        <v>0</v>
      </c>
      <c r="AC142" s="21"/>
      <c r="AD142" s="21"/>
      <c r="AF142"/>
      <c r="AG142"/>
      <c r="AH142"/>
      <c r="AI142"/>
      <c r="AJ142"/>
      <c r="AK142"/>
      <c r="AL142"/>
      <c r="AM142"/>
      <c r="AN142"/>
      <c r="AO142"/>
    </row>
    <row r="143" spans="1:41" s="6" customFormat="1" x14ac:dyDescent="0.25">
      <c r="A143"/>
      <c r="B143"/>
      <c r="C143"/>
      <c r="D143"/>
      <c r="E143"/>
      <c r="F143"/>
      <c r="H143"/>
      <c r="I143"/>
      <c r="J143"/>
      <c r="K143"/>
      <c r="L143"/>
      <c r="N143"/>
      <c r="O143"/>
      <c r="P143"/>
      <c r="Q143"/>
      <c r="R143"/>
      <c r="T143"/>
      <c r="U143"/>
      <c r="V143"/>
      <c r="W143"/>
      <c r="X143"/>
      <c r="Z143" s="21"/>
      <c r="AA143" s="21">
        <f>Tabla35681321293971727475767778771727[[#This Row],[COMISIONES]]*0.21</f>
        <v>0</v>
      </c>
      <c r="AB143" s="21">
        <f>Tabla35681321293971727475767778771727[[#This Row],[COMISIONES]]*0.105</f>
        <v>0</v>
      </c>
      <c r="AC143" s="21"/>
      <c r="AD143" s="21"/>
      <c r="AF143"/>
      <c r="AG143"/>
      <c r="AH143"/>
      <c r="AI143"/>
      <c r="AJ143"/>
      <c r="AK143"/>
      <c r="AL143"/>
      <c r="AM143"/>
      <c r="AN143"/>
      <c r="AO143"/>
    </row>
    <row r="144" spans="1:41" s="6" customFormat="1" x14ac:dyDescent="0.25">
      <c r="A144"/>
      <c r="B144"/>
      <c r="C144"/>
      <c r="D144"/>
      <c r="E144"/>
      <c r="F144"/>
      <c r="H144"/>
      <c r="I144"/>
      <c r="J144"/>
      <c r="K144"/>
      <c r="L144"/>
      <c r="N144"/>
      <c r="O144"/>
      <c r="P144"/>
      <c r="Q144"/>
      <c r="R144"/>
      <c r="T144"/>
      <c r="U144"/>
      <c r="V144"/>
      <c r="W144"/>
      <c r="X144"/>
      <c r="Z144" s="21"/>
      <c r="AA144" s="21">
        <f>Tabla35681321293971727475767778771727[[#This Row],[COMISIONES]]*0.21</f>
        <v>0</v>
      </c>
      <c r="AB144" s="21">
        <f>Tabla35681321293971727475767778771727[[#This Row],[COMISIONES]]*0.105</f>
        <v>0</v>
      </c>
      <c r="AC144" s="21"/>
      <c r="AD144" s="21"/>
      <c r="AF144"/>
      <c r="AG144"/>
      <c r="AH144"/>
      <c r="AI144"/>
      <c r="AJ144"/>
      <c r="AK144"/>
      <c r="AL144"/>
      <c r="AM144"/>
      <c r="AN144"/>
      <c r="AO144"/>
    </row>
    <row r="145" spans="1:41" s="6" customFormat="1" x14ac:dyDescent="0.25">
      <c r="A145"/>
      <c r="B145"/>
      <c r="C145"/>
      <c r="D145"/>
      <c r="E145"/>
      <c r="F145"/>
      <c r="H145"/>
      <c r="I145"/>
      <c r="J145"/>
      <c r="K145"/>
      <c r="L145"/>
      <c r="N145"/>
      <c r="O145"/>
      <c r="P145"/>
      <c r="Q145"/>
      <c r="R145"/>
      <c r="T145"/>
      <c r="U145"/>
      <c r="V145"/>
      <c r="W145"/>
      <c r="X145"/>
      <c r="Z145" s="21"/>
      <c r="AA145" s="21">
        <f>Tabla35681321293971727475767778771727[[#This Row],[COMISIONES]]*0.21</f>
        <v>0</v>
      </c>
      <c r="AB145" s="21">
        <f>Tabla35681321293971727475767778771727[[#This Row],[COMISIONES]]*0.105</f>
        <v>0</v>
      </c>
      <c r="AC145" s="21"/>
      <c r="AD145" s="21"/>
      <c r="AF145"/>
      <c r="AG145"/>
      <c r="AH145"/>
      <c r="AI145"/>
      <c r="AJ145"/>
      <c r="AK145"/>
      <c r="AL145"/>
      <c r="AM145"/>
      <c r="AN145"/>
      <c r="AO145"/>
    </row>
    <row r="146" spans="1:41" s="6" customFormat="1" x14ac:dyDescent="0.25">
      <c r="A146"/>
      <c r="B146"/>
      <c r="C146"/>
      <c r="D146"/>
      <c r="E146"/>
      <c r="F146"/>
      <c r="H146"/>
      <c r="I146"/>
      <c r="J146"/>
      <c r="K146"/>
      <c r="L146"/>
      <c r="N146"/>
      <c r="O146"/>
      <c r="P146"/>
      <c r="Q146"/>
      <c r="R146"/>
      <c r="T146"/>
      <c r="U146"/>
      <c r="V146"/>
      <c r="W146"/>
      <c r="X146"/>
      <c r="Z146" s="21"/>
      <c r="AA146" s="21">
        <f>Tabla35681321293971727475767778771727[[#This Row],[COMISIONES]]*0.21</f>
        <v>0</v>
      </c>
      <c r="AB146" s="21">
        <f>Tabla35681321293971727475767778771727[[#This Row],[COMISIONES]]*0.105</f>
        <v>0</v>
      </c>
      <c r="AC146" s="21"/>
      <c r="AD146" s="21"/>
      <c r="AF146"/>
      <c r="AG146"/>
      <c r="AH146"/>
      <c r="AI146"/>
      <c r="AJ146"/>
      <c r="AK146"/>
      <c r="AL146"/>
      <c r="AM146"/>
      <c r="AN146"/>
      <c r="AO146"/>
    </row>
    <row r="147" spans="1:41" s="6" customFormat="1" x14ac:dyDescent="0.25">
      <c r="A147"/>
      <c r="B147"/>
      <c r="C147"/>
      <c r="D147"/>
      <c r="E147"/>
      <c r="F147"/>
      <c r="H147"/>
      <c r="I147"/>
      <c r="J147"/>
      <c r="K147"/>
      <c r="L147"/>
      <c r="N147"/>
      <c r="O147"/>
      <c r="P147"/>
      <c r="Q147"/>
      <c r="R147"/>
      <c r="T147"/>
      <c r="U147"/>
      <c r="V147"/>
      <c r="W147"/>
      <c r="X147"/>
      <c r="Z147" s="21"/>
      <c r="AA147" s="21">
        <f>Tabla35681321293971727475767778771727[[#This Row],[COMISIONES]]*0.21</f>
        <v>0</v>
      </c>
      <c r="AB147" s="21">
        <f>Tabla35681321293971727475767778771727[[#This Row],[COMISIONES]]*0.105</f>
        <v>0</v>
      </c>
      <c r="AC147" s="21"/>
      <c r="AD147" s="21"/>
      <c r="AF147"/>
      <c r="AG147"/>
      <c r="AH147"/>
      <c r="AI147"/>
      <c r="AJ147"/>
      <c r="AK147"/>
      <c r="AL147"/>
      <c r="AM147"/>
      <c r="AN147"/>
      <c r="AO147"/>
    </row>
    <row r="148" spans="1:41" s="6" customFormat="1" x14ac:dyDescent="0.25">
      <c r="A148"/>
      <c r="B148"/>
      <c r="C148"/>
      <c r="D148"/>
      <c r="E148"/>
      <c r="F148"/>
      <c r="H148"/>
      <c r="I148"/>
      <c r="J148"/>
      <c r="K148"/>
      <c r="L148"/>
      <c r="N148"/>
      <c r="O148"/>
      <c r="P148"/>
      <c r="Q148"/>
      <c r="R148"/>
      <c r="T148"/>
      <c r="U148"/>
      <c r="V148"/>
      <c r="W148"/>
      <c r="X148"/>
      <c r="Z148" s="21"/>
      <c r="AA148" s="21">
        <f>Tabla35681321293971727475767778771727[[#This Row],[COMISIONES]]*0.21</f>
        <v>0</v>
      </c>
      <c r="AB148" s="21">
        <f>Tabla35681321293971727475767778771727[[#This Row],[COMISIONES]]*0.105</f>
        <v>0</v>
      </c>
      <c r="AC148" s="21"/>
      <c r="AD148" s="21"/>
      <c r="AF148"/>
      <c r="AG148"/>
      <c r="AH148"/>
      <c r="AI148"/>
      <c r="AJ148"/>
      <c r="AK148"/>
      <c r="AL148"/>
      <c r="AM148"/>
      <c r="AN148"/>
      <c r="AO148"/>
    </row>
    <row r="149" spans="1:41" s="6" customFormat="1" x14ac:dyDescent="0.25">
      <c r="A149"/>
      <c r="B149"/>
      <c r="C149"/>
      <c r="D149"/>
      <c r="E149"/>
      <c r="F149"/>
      <c r="H149"/>
      <c r="I149"/>
      <c r="J149"/>
      <c r="K149"/>
      <c r="L149"/>
      <c r="N149"/>
      <c r="O149"/>
      <c r="P149"/>
      <c r="Q149"/>
      <c r="R149"/>
      <c r="T149"/>
      <c r="U149"/>
      <c r="V149"/>
      <c r="W149"/>
      <c r="X149"/>
      <c r="Z149" s="21"/>
      <c r="AA149" s="21">
        <f>Tabla35681321293971727475767778771727[[#This Row],[COMISIONES]]*0.21</f>
        <v>0</v>
      </c>
      <c r="AB149" s="21">
        <f>Tabla35681321293971727475767778771727[[#This Row],[COMISIONES]]*0.105</f>
        <v>0</v>
      </c>
      <c r="AC149" s="21"/>
      <c r="AD149" s="21"/>
      <c r="AF149"/>
      <c r="AG149"/>
      <c r="AH149"/>
      <c r="AI149"/>
      <c r="AJ149"/>
      <c r="AK149"/>
      <c r="AL149"/>
      <c r="AM149"/>
      <c r="AN149"/>
      <c r="AO149"/>
    </row>
    <row r="150" spans="1:41" s="6" customFormat="1" x14ac:dyDescent="0.25">
      <c r="A150"/>
      <c r="B150"/>
      <c r="C150"/>
      <c r="D150"/>
      <c r="E150"/>
      <c r="F150"/>
      <c r="H150"/>
      <c r="I150"/>
      <c r="J150"/>
      <c r="K150"/>
      <c r="L150"/>
      <c r="N150"/>
      <c r="O150"/>
      <c r="P150"/>
      <c r="Q150"/>
      <c r="R150"/>
      <c r="T150"/>
      <c r="U150"/>
      <c r="V150"/>
      <c r="W150"/>
      <c r="X150"/>
      <c r="Z150" s="21"/>
      <c r="AA150" s="21">
        <f>Tabla35681321293971727475767778771727[[#This Row],[COMISIONES]]*0.21</f>
        <v>0</v>
      </c>
      <c r="AB150" s="21">
        <f>Tabla35681321293971727475767778771727[[#This Row],[COMISIONES]]*0.105</f>
        <v>0</v>
      </c>
      <c r="AC150" s="21"/>
      <c r="AD150" s="21"/>
      <c r="AF150"/>
      <c r="AG150"/>
      <c r="AH150"/>
      <c r="AI150"/>
      <c r="AJ150"/>
      <c r="AK150"/>
      <c r="AL150"/>
      <c r="AM150"/>
      <c r="AN150"/>
      <c r="AO150"/>
    </row>
    <row r="151" spans="1:41" s="6" customFormat="1" x14ac:dyDescent="0.25">
      <c r="A151"/>
      <c r="B151"/>
      <c r="C151"/>
      <c r="D151"/>
      <c r="E151"/>
      <c r="F151"/>
      <c r="H151"/>
      <c r="I151"/>
      <c r="J151"/>
      <c r="K151"/>
      <c r="L151"/>
      <c r="N151"/>
      <c r="O151"/>
      <c r="P151"/>
      <c r="Q151"/>
      <c r="R151"/>
      <c r="T151"/>
      <c r="U151"/>
      <c r="V151"/>
      <c r="W151"/>
      <c r="X151"/>
      <c r="Z151" s="21"/>
      <c r="AA151" s="21">
        <f>Tabla35681321293971727475767778771727[[#This Row],[COMISIONES]]*0.21</f>
        <v>0</v>
      </c>
      <c r="AB151" s="21">
        <f>Tabla35681321293971727475767778771727[[#This Row],[COMISIONES]]*0.105</f>
        <v>0</v>
      </c>
      <c r="AC151" s="21"/>
      <c r="AD151" s="21"/>
      <c r="AF151"/>
      <c r="AG151"/>
      <c r="AH151"/>
      <c r="AI151"/>
      <c r="AJ151"/>
      <c r="AK151"/>
      <c r="AL151"/>
      <c r="AM151"/>
      <c r="AN151"/>
      <c r="AO151"/>
    </row>
    <row r="152" spans="1:41" s="6" customFormat="1" x14ac:dyDescent="0.25">
      <c r="A152"/>
      <c r="B152"/>
      <c r="C152"/>
      <c r="D152"/>
      <c r="E152"/>
      <c r="F152"/>
      <c r="H152"/>
      <c r="I152"/>
      <c r="J152"/>
      <c r="K152"/>
      <c r="L152"/>
      <c r="N152"/>
      <c r="O152"/>
      <c r="P152"/>
      <c r="Q152"/>
      <c r="R152"/>
      <c r="T152"/>
      <c r="U152"/>
      <c r="V152"/>
      <c r="W152"/>
      <c r="X152"/>
      <c r="Z152" s="21"/>
      <c r="AA152" s="21">
        <f>Tabla35681321293971727475767778771727[[#This Row],[COMISIONES]]*0.21</f>
        <v>0</v>
      </c>
      <c r="AB152" s="21">
        <f>Tabla35681321293971727475767778771727[[#This Row],[COMISIONES]]*0.105</f>
        <v>0</v>
      </c>
      <c r="AC152" s="21"/>
      <c r="AD152" s="21"/>
      <c r="AF152"/>
      <c r="AG152"/>
      <c r="AH152"/>
      <c r="AI152"/>
      <c r="AJ152"/>
      <c r="AK152"/>
      <c r="AL152"/>
      <c r="AM152"/>
      <c r="AN152"/>
      <c r="AO152"/>
    </row>
    <row r="153" spans="1:41" s="6" customFormat="1" x14ac:dyDescent="0.25">
      <c r="A153"/>
      <c r="B153"/>
      <c r="C153"/>
      <c r="D153"/>
      <c r="E153"/>
      <c r="F153"/>
      <c r="H153"/>
      <c r="I153"/>
      <c r="J153"/>
      <c r="K153"/>
      <c r="L153"/>
      <c r="N153"/>
      <c r="O153"/>
      <c r="P153"/>
      <c r="Q153"/>
      <c r="R153"/>
      <c r="T153"/>
      <c r="U153"/>
      <c r="V153"/>
      <c r="W153"/>
      <c r="X153"/>
      <c r="Z153" s="21"/>
      <c r="AA153" s="21">
        <f>Tabla35681321293971727475767778771727[[#This Row],[COMISIONES]]*0.21</f>
        <v>0</v>
      </c>
      <c r="AB153" s="21">
        <f>Tabla35681321293971727475767778771727[[#This Row],[COMISIONES]]*0.105</f>
        <v>0</v>
      </c>
      <c r="AC153" s="21"/>
      <c r="AD153" s="21"/>
      <c r="AF153"/>
      <c r="AG153"/>
      <c r="AH153"/>
      <c r="AI153"/>
      <c r="AJ153"/>
      <c r="AK153"/>
      <c r="AL153"/>
      <c r="AM153"/>
      <c r="AN153"/>
      <c r="AO153"/>
    </row>
    <row r="154" spans="1:41" s="6" customFormat="1" x14ac:dyDescent="0.25">
      <c r="A154"/>
      <c r="B154"/>
      <c r="C154"/>
      <c r="D154"/>
      <c r="E154"/>
      <c r="F154"/>
      <c r="H154"/>
      <c r="I154"/>
      <c r="J154"/>
      <c r="K154"/>
      <c r="L154"/>
      <c r="N154"/>
      <c r="O154"/>
      <c r="P154"/>
      <c r="Q154"/>
      <c r="R154"/>
      <c r="T154"/>
      <c r="U154"/>
      <c r="V154"/>
      <c r="W154"/>
      <c r="X154"/>
      <c r="Z154" s="21"/>
      <c r="AA154" s="21">
        <f>Tabla35681321293971727475767778771727[[#This Row],[COMISIONES]]*0.21</f>
        <v>0</v>
      </c>
      <c r="AB154" s="21">
        <f>Tabla35681321293971727475767778771727[[#This Row],[COMISIONES]]*0.105</f>
        <v>0</v>
      </c>
      <c r="AC154" s="21"/>
      <c r="AD154" s="21"/>
      <c r="AF154"/>
      <c r="AG154"/>
      <c r="AH154"/>
      <c r="AI154"/>
      <c r="AJ154"/>
      <c r="AK154"/>
      <c r="AL154"/>
      <c r="AM154"/>
      <c r="AN154"/>
      <c r="AO154"/>
    </row>
    <row r="155" spans="1:41" s="6" customFormat="1" x14ac:dyDescent="0.25">
      <c r="A155"/>
      <c r="B155"/>
      <c r="C155"/>
      <c r="D155"/>
      <c r="E155"/>
      <c r="F155"/>
      <c r="H155"/>
      <c r="I155"/>
      <c r="J155"/>
      <c r="K155"/>
      <c r="L155"/>
      <c r="N155"/>
      <c r="O155"/>
      <c r="P155"/>
      <c r="Q155"/>
      <c r="R155"/>
      <c r="T155"/>
      <c r="U155"/>
      <c r="V155"/>
      <c r="W155"/>
      <c r="X155"/>
      <c r="Z155" s="21"/>
      <c r="AA155" s="21">
        <f>Tabla35681321293971727475767778771727[[#This Row],[COMISIONES]]*0.21</f>
        <v>0</v>
      </c>
      <c r="AB155" s="21">
        <f>Tabla35681321293971727475767778771727[[#This Row],[COMISIONES]]*0.105</f>
        <v>0</v>
      </c>
      <c r="AC155" s="21"/>
      <c r="AD155" s="21"/>
      <c r="AF155"/>
      <c r="AG155"/>
      <c r="AH155"/>
      <c r="AI155"/>
      <c r="AJ155"/>
      <c r="AK155"/>
      <c r="AL155"/>
      <c r="AM155"/>
      <c r="AN155"/>
      <c r="AO155"/>
    </row>
    <row r="156" spans="1:41" s="6" customFormat="1" x14ac:dyDescent="0.25">
      <c r="A156"/>
      <c r="B156"/>
      <c r="C156"/>
      <c r="D156"/>
      <c r="E156"/>
      <c r="F156"/>
      <c r="H156"/>
      <c r="I156"/>
      <c r="J156"/>
      <c r="K156"/>
      <c r="L156"/>
      <c r="N156"/>
      <c r="O156"/>
      <c r="P156"/>
      <c r="Q156"/>
      <c r="R156"/>
      <c r="T156"/>
      <c r="U156"/>
      <c r="V156"/>
      <c r="W156"/>
      <c r="X156"/>
      <c r="Z156" s="21"/>
      <c r="AA156" s="21">
        <f>Tabla35681321293971727475767778771727[[#This Row],[COMISIONES]]*0.21</f>
        <v>0</v>
      </c>
      <c r="AB156" s="21">
        <f>Tabla35681321293971727475767778771727[[#This Row],[COMISIONES]]*0.105</f>
        <v>0</v>
      </c>
      <c r="AC156" s="21"/>
      <c r="AD156" s="21"/>
      <c r="AF156"/>
      <c r="AG156"/>
      <c r="AH156"/>
      <c r="AI156"/>
      <c r="AJ156"/>
      <c r="AK156"/>
      <c r="AL156"/>
      <c r="AM156"/>
      <c r="AN156"/>
      <c r="AO156"/>
    </row>
    <row r="157" spans="1:41" s="6" customFormat="1" x14ac:dyDescent="0.25">
      <c r="A157"/>
      <c r="B157"/>
      <c r="C157"/>
      <c r="D157"/>
      <c r="E157"/>
      <c r="F157"/>
      <c r="H157"/>
      <c r="I157"/>
      <c r="J157"/>
      <c r="K157"/>
      <c r="L157"/>
      <c r="N157"/>
      <c r="O157"/>
      <c r="P157"/>
      <c r="Q157"/>
      <c r="R157"/>
      <c r="T157"/>
      <c r="U157"/>
      <c r="V157"/>
      <c r="W157"/>
      <c r="X157"/>
      <c r="Z157" s="21"/>
      <c r="AA157" s="21">
        <f>Tabla35681321293971727475767778771727[[#This Row],[COMISIONES]]*0.21</f>
        <v>0</v>
      </c>
      <c r="AB157" s="21">
        <f>Tabla35681321293971727475767778771727[[#This Row],[COMISIONES]]*0.105</f>
        <v>0</v>
      </c>
      <c r="AC157" s="21"/>
      <c r="AD157" s="21"/>
      <c r="AF157"/>
      <c r="AG157"/>
      <c r="AH157"/>
      <c r="AI157"/>
      <c r="AJ157"/>
      <c r="AK157"/>
      <c r="AL157"/>
      <c r="AM157"/>
      <c r="AN157"/>
      <c r="AO157"/>
    </row>
    <row r="158" spans="1:41" s="6" customFormat="1" x14ac:dyDescent="0.25">
      <c r="A158"/>
      <c r="B158"/>
      <c r="C158"/>
      <c r="D158"/>
      <c r="E158"/>
      <c r="F158"/>
      <c r="H158"/>
      <c r="I158"/>
      <c r="J158"/>
      <c r="K158"/>
      <c r="L158"/>
      <c r="N158"/>
      <c r="O158"/>
      <c r="P158"/>
      <c r="Q158"/>
      <c r="R158"/>
      <c r="T158"/>
      <c r="U158"/>
      <c r="V158"/>
      <c r="W158"/>
      <c r="X158"/>
      <c r="Z158" s="21"/>
      <c r="AA158" s="21">
        <f>Tabla35681321293971727475767778771727[[#This Row],[COMISIONES]]*0.21</f>
        <v>0</v>
      </c>
      <c r="AB158" s="21">
        <f>Tabla35681321293971727475767778771727[[#This Row],[COMISIONES]]*0.105</f>
        <v>0</v>
      </c>
      <c r="AC158" s="21"/>
      <c r="AD158" s="21"/>
      <c r="AF158"/>
      <c r="AG158"/>
      <c r="AH158"/>
      <c r="AI158"/>
      <c r="AJ158"/>
      <c r="AK158"/>
      <c r="AL158"/>
      <c r="AM158"/>
      <c r="AN158"/>
      <c r="AO158"/>
    </row>
    <row r="159" spans="1:41" s="6" customFormat="1" x14ac:dyDescent="0.25">
      <c r="A159"/>
      <c r="B159"/>
      <c r="C159"/>
      <c r="D159"/>
      <c r="E159"/>
      <c r="F159"/>
      <c r="H159"/>
      <c r="I159"/>
      <c r="J159"/>
      <c r="K159"/>
      <c r="L159"/>
      <c r="N159"/>
      <c r="O159"/>
      <c r="P159"/>
      <c r="Q159"/>
      <c r="R159"/>
      <c r="T159"/>
      <c r="U159"/>
      <c r="V159"/>
      <c r="W159"/>
      <c r="X159"/>
      <c r="Z159" s="21"/>
      <c r="AA159" s="21">
        <f>Tabla35681321293971727475767778771727[[#This Row],[COMISIONES]]*0.21</f>
        <v>0</v>
      </c>
      <c r="AB159" s="21">
        <f>Tabla35681321293971727475767778771727[[#This Row],[COMISIONES]]*0.105</f>
        <v>0</v>
      </c>
      <c r="AC159" s="21"/>
      <c r="AD159" s="21"/>
      <c r="AF159"/>
      <c r="AG159"/>
      <c r="AH159"/>
      <c r="AI159"/>
      <c r="AJ159"/>
      <c r="AK159"/>
      <c r="AL159"/>
      <c r="AM159"/>
      <c r="AN159"/>
      <c r="AO159"/>
    </row>
    <row r="160" spans="1:41" s="6" customFormat="1" x14ac:dyDescent="0.25">
      <c r="A160"/>
      <c r="B160"/>
      <c r="C160"/>
      <c r="D160"/>
      <c r="E160"/>
      <c r="F160"/>
      <c r="H160"/>
      <c r="I160"/>
      <c r="J160"/>
      <c r="K160"/>
      <c r="L160"/>
      <c r="N160"/>
      <c r="O160"/>
      <c r="P160"/>
      <c r="Q160"/>
      <c r="R160"/>
      <c r="T160"/>
      <c r="U160"/>
      <c r="V160"/>
      <c r="W160"/>
      <c r="X160"/>
      <c r="Z160" s="21"/>
      <c r="AA160" s="21">
        <f>Tabla35681321293971727475767778771727[[#This Row],[COMISIONES]]*0.21</f>
        <v>0</v>
      </c>
      <c r="AB160" s="21">
        <f>Tabla35681321293971727475767778771727[[#This Row],[COMISIONES]]*0.105</f>
        <v>0</v>
      </c>
      <c r="AC160" s="21"/>
      <c r="AD160" s="21"/>
      <c r="AF160"/>
      <c r="AG160"/>
      <c r="AH160"/>
      <c r="AI160"/>
      <c r="AJ160"/>
      <c r="AK160"/>
      <c r="AL160"/>
      <c r="AM160"/>
      <c r="AN160"/>
      <c r="AO160"/>
    </row>
    <row r="161" spans="1:41" s="6" customFormat="1" x14ac:dyDescent="0.25">
      <c r="A161"/>
      <c r="B161"/>
      <c r="C161"/>
      <c r="D161"/>
      <c r="E161"/>
      <c r="F161"/>
      <c r="H161"/>
      <c r="I161"/>
      <c r="J161"/>
      <c r="K161"/>
      <c r="L161"/>
      <c r="N161"/>
      <c r="O161"/>
      <c r="P161"/>
      <c r="Q161"/>
      <c r="R161"/>
      <c r="T161"/>
      <c r="U161"/>
      <c r="V161"/>
      <c r="W161"/>
      <c r="X161"/>
      <c r="Z161" s="21"/>
      <c r="AA161" s="21">
        <f>Tabla35681321293971727475767778771727[[#This Row],[COMISIONES]]*0.21</f>
        <v>0</v>
      </c>
      <c r="AB161" s="21">
        <f>Tabla35681321293971727475767778771727[[#This Row],[COMISIONES]]*0.105</f>
        <v>0</v>
      </c>
      <c r="AC161" s="21"/>
      <c r="AD161" s="21"/>
      <c r="AF161"/>
      <c r="AG161"/>
      <c r="AH161"/>
      <c r="AI161"/>
      <c r="AJ161"/>
      <c r="AK161"/>
      <c r="AL161"/>
      <c r="AM161"/>
      <c r="AN161"/>
      <c r="AO161"/>
    </row>
    <row r="162" spans="1:41" s="6" customFormat="1" x14ac:dyDescent="0.25">
      <c r="A162"/>
      <c r="B162"/>
      <c r="C162"/>
      <c r="D162"/>
      <c r="E162"/>
      <c r="F162"/>
      <c r="H162"/>
      <c r="I162"/>
      <c r="J162"/>
      <c r="K162"/>
      <c r="L162"/>
      <c r="N162"/>
      <c r="O162"/>
      <c r="P162"/>
      <c r="Q162"/>
      <c r="R162"/>
      <c r="T162"/>
      <c r="U162"/>
      <c r="V162"/>
      <c r="W162"/>
      <c r="X162"/>
      <c r="Z162" s="21"/>
      <c r="AA162" s="21">
        <f>Tabla35681321293971727475767778771727[[#This Row],[COMISIONES]]*0.21</f>
        <v>0</v>
      </c>
      <c r="AB162" s="21">
        <f>Tabla35681321293971727475767778771727[[#This Row],[COMISIONES]]*0.105</f>
        <v>0</v>
      </c>
      <c r="AC162" s="21"/>
      <c r="AD162" s="21"/>
      <c r="AF162"/>
      <c r="AG162"/>
      <c r="AH162"/>
      <c r="AI162"/>
      <c r="AJ162"/>
      <c r="AK162"/>
      <c r="AL162"/>
      <c r="AM162"/>
      <c r="AN162"/>
      <c r="AO162"/>
    </row>
    <row r="163" spans="1:41" s="6" customFormat="1" x14ac:dyDescent="0.25">
      <c r="A163"/>
      <c r="B163"/>
      <c r="C163"/>
      <c r="D163"/>
      <c r="E163"/>
      <c r="F163"/>
      <c r="H163"/>
      <c r="I163"/>
      <c r="J163"/>
      <c r="K163"/>
      <c r="L163"/>
      <c r="N163"/>
      <c r="O163"/>
      <c r="P163"/>
      <c r="Q163"/>
      <c r="R163"/>
      <c r="T163"/>
      <c r="U163"/>
      <c r="V163"/>
      <c r="W163"/>
      <c r="X163"/>
      <c r="Z163" s="21"/>
      <c r="AA163" s="21">
        <f>Tabla35681321293971727475767778771727[[#This Row],[COMISIONES]]*0.21</f>
        <v>0</v>
      </c>
      <c r="AB163" s="21">
        <f>Tabla35681321293971727475767778771727[[#This Row],[COMISIONES]]*0.105</f>
        <v>0</v>
      </c>
      <c r="AC163" s="21"/>
      <c r="AD163" s="21"/>
      <c r="AF163"/>
      <c r="AG163"/>
      <c r="AH163"/>
      <c r="AI163"/>
      <c r="AJ163"/>
      <c r="AK163"/>
      <c r="AL163"/>
      <c r="AM163"/>
      <c r="AN163"/>
      <c r="AO163"/>
    </row>
    <row r="164" spans="1:41" s="6" customFormat="1" x14ac:dyDescent="0.25">
      <c r="A164"/>
      <c r="B164"/>
      <c r="C164"/>
      <c r="D164"/>
      <c r="E164"/>
      <c r="F164"/>
      <c r="H164"/>
      <c r="I164"/>
      <c r="J164"/>
      <c r="K164"/>
      <c r="L164"/>
      <c r="N164"/>
      <c r="O164"/>
      <c r="P164"/>
      <c r="Q164"/>
      <c r="R164"/>
      <c r="T164"/>
      <c r="U164"/>
      <c r="V164"/>
      <c r="W164"/>
      <c r="X164"/>
      <c r="Z164" s="21"/>
      <c r="AA164" s="21">
        <f>Tabla35681321293971727475767778771727[[#This Row],[COMISIONES]]*0.21</f>
        <v>0</v>
      </c>
      <c r="AB164" s="21">
        <f>Tabla35681321293971727475767778771727[[#This Row],[COMISIONES]]*0.105</f>
        <v>0</v>
      </c>
      <c r="AC164" s="21"/>
      <c r="AD164" s="21"/>
      <c r="AF164"/>
      <c r="AG164"/>
      <c r="AH164"/>
      <c r="AI164"/>
      <c r="AJ164"/>
      <c r="AK164"/>
      <c r="AL164"/>
      <c r="AM164"/>
      <c r="AN164"/>
      <c r="AO164"/>
    </row>
    <row r="165" spans="1:41" s="6" customFormat="1" x14ac:dyDescent="0.25">
      <c r="A165"/>
      <c r="B165"/>
      <c r="C165"/>
      <c r="D165"/>
      <c r="E165"/>
      <c r="F165"/>
      <c r="H165"/>
      <c r="I165"/>
      <c r="J165"/>
      <c r="K165"/>
      <c r="L165"/>
      <c r="N165"/>
      <c r="O165"/>
      <c r="P165"/>
      <c r="Q165"/>
      <c r="R165"/>
      <c r="T165"/>
      <c r="U165"/>
      <c r="V165"/>
      <c r="W165"/>
      <c r="X165"/>
      <c r="Z165" s="21"/>
      <c r="AA165" s="21">
        <f>Tabla35681321293971727475767778771727[[#This Row],[COMISIONES]]*0.21</f>
        <v>0</v>
      </c>
      <c r="AB165" s="21">
        <f>Tabla35681321293971727475767778771727[[#This Row],[COMISIONES]]*0.105</f>
        <v>0</v>
      </c>
      <c r="AC165" s="21"/>
      <c r="AD165" s="21"/>
      <c r="AF165"/>
      <c r="AG165"/>
      <c r="AH165"/>
      <c r="AI165"/>
      <c r="AJ165"/>
      <c r="AK165"/>
      <c r="AL165"/>
      <c r="AM165"/>
      <c r="AN165"/>
      <c r="AO165"/>
    </row>
    <row r="166" spans="1:41" s="6" customFormat="1" x14ac:dyDescent="0.25">
      <c r="A166"/>
      <c r="B166"/>
      <c r="C166"/>
      <c r="D166"/>
      <c r="E166"/>
      <c r="F166"/>
      <c r="H166"/>
      <c r="I166"/>
      <c r="J166"/>
      <c r="K166"/>
      <c r="L166"/>
      <c r="N166"/>
      <c r="O166"/>
      <c r="P166"/>
      <c r="Q166"/>
      <c r="R166"/>
      <c r="T166"/>
      <c r="U166"/>
      <c r="V166"/>
      <c r="W166"/>
      <c r="X166"/>
      <c r="Z166" s="21"/>
      <c r="AA166" s="21">
        <f>Tabla35681321293971727475767778771727[[#This Row],[COMISIONES]]*0.21</f>
        <v>0</v>
      </c>
      <c r="AB166" s="21">
        <f>Tabla35681321293971727475767778771727[[#This Row],[COMISIONES]]*0.105</f>
        <v>0</v>
      </c>
      <c r="AC166" s="21"/>
      <c r="AD166" s="21"/>
      <c r="AF166"/>
      <c r="AG166"/>
      <c r="AH166"/>
      <c r="AI166"/>
      <c r="AJ166"/>
      <c r="AK166"/>
      <c r="AL166"/>
      <c r="AM166"/>
      <c r="AN166"/>
      <c r="AO166"/>
    </row>
    <row r="167" spans="1:41" s="6" customFormat="1" x14ac:dyDescent="0.25">
      <c r="A167"/>
      <c r="B167"/>
      <c r="C167"/>
      <c r="D167"/>
      <c r="E167"/>
      <c r="F167"/>
      <c r="H167"/>
      <c r="I167"/>
      <c r="J167"/>
      <c r="K167"/>
      <c r="L167"/>
      <c r="N167"/>
      <c r="O167"/>
      <c r="P167"/>
      <c r="Q167"/>
      <c r="R167"/>
      <c r="T167"/>
      <c r="U167"/>
      <c r="V167"/>
      <c r="W167"/>
      <c r="X167"/>
      <c r="Z167" s="21"/>
      <c r="AA167" s="21">
        <f>Tabla35681321293971727475767778771727[[#This Row],[COMISIONES]]*0.21</f>
        <v>0</v>
      </c>
      <c r="AB167" s="21">
        <f>Tabla35681321293971727475767778771727[[#This Row],[COMISIONES]]*0.105</f>
        <v>0</v>
      </c>
      <c r="AC167" s="21"/>
      <c r="AD167" s="21"/>
      <c r="AF167"/>
      <c r="AG167"/>
      <c r="AH167"/>
      <c r="AI167"/>
      <c r="AJ167"/>
      <c r="AK167"/>
      <c r="AL167"/>
      <c r="AM167"/>
      <c r="AN167"/>
      <c r="AO167"/>
    </row>
    <row r="168" spans="1:41" s="6" customFormat="1" x14ac:dyDescent="0.25">
      <c r="A168"/>
      <c r="B168"/>
      <c r="C168"/>
      <c r="D168"/>
      <c r="E168"/>
      <c r="F168"/>
      <c r="H168"/>
      <c r="I168"/>
      <c r="J168"/>
      <c r="K168"/>
      <c r="L168"/>
      <c r="N168"/>
      <c r="O168"/>
      <c r="P168"/>
      <c r="Q168"/>
      <c r="R168"/>
      <c r="T168"/>
      <c r="U168"/>
      <c r="V168"/>
      <c r="W168"/>
      <c r="X168"/>
      <c r="Z168" s="21"/>
      <c r="AA168" s="21">
        <f>Tabla35681321293971727475767778771727[[#This Row],[COMISIONES]]*0.21</f>
        <v>0</v>
      </c>
      <c r="AB168" s="21">
        <f>Tabla35681321293971727475767778771727[[#This Row],[COMISIONES]]*0.105</f>
        <v>0</v>
      </c>
      <c r="AC168" s="21"/>
      <c r="AD168" s="21"/>
      <c r="AF168"/>
      <c r="AG168"/>
      <c r="AH168"/>
      <c r="AI168"/>
      <c r="AJ168"/>
      <c r="AK168"/>
      <c r="AL168"/>
      <c r="AM168"/>
      <c r="AN168"/>
      <c r="AO168"/>
    </row>
    <row r="169" spans="1:41" s="6" customFormat="1" x14ac:dyDescent="0.25">
      <c r="A169"/>
      <c r="B169"/>
      <c r="C169"/>
      <c r="D169"/>
      <c r="E169"/>
      <c r="F169"/>
      <c r="H169"/>
      <c r="I169"/>
      <c r="J169"/>
      <c r="K169"/>
      <c r="L169"/>
      <c r="N169"/>
      <c r="O169"/>
      <c r="P169"/>
      <c r="Q169"/>
      <c r="R169"/>
      <c r="T169"/>
      <c r="U169"/>
      <c r="V169"/>
      <c r="W169"/>
      <c r="X169"/>
      <c r="Z169" s="4">
        <f>SUBTOTAL(109,Tabla35681321293971727475767778771727[COMISIONES])</f>
        <v>0</v>
      </c>
      <c r="AA169" s="4">
        <f>SUBTOTAL(109,Tabla35681321293971727475767778771727[IVA 21])</f>
        <v>0</v>
      </c>
      <c r="AB169" s="4">
        <f>SUBTOTAL(109,Tabla35681321293971727475767778771727[IVA 10,5])</f>
        <v>0</v>
      </c>
      <c r="AC169" s="4">
        <f>SUBTOTAL(109,Tabla35681321293971727475767778771727[Ret IIBB Caba])</f>
        <v>0</v>
      </c>
      <c r="AD169" s="4">
        <f>SUBTOTAL(109,Tabla35681321293971727475767778771727[PERC IVA])</f>
        <v>0</v>
      </c>
      <c r="AF169"/>
      <c r="AG169"/>
      <c r="AH169"/>
      <c r="AI169"/>
      <c r="AJ169"/>
      <c r="AK169"/>
      <c r="AL169"/>
      <c r="AM169"/>
      <c r="AN169"/>
      <c r="AO169"/>
    </row>
  </sheetData>
  <mergeCells count="13">
    <mergeCell ref="N14:R14"/>
    <mergeCell ref="H54:L54"/>
    <mergeCell ref="G2:H2"/>
    <mergeCell ref="J2:K2"/>
    <mergeCell ref="G12:H12"/>
    <mergeCell ref="B14:F14"/>
    <mergeCell ref="H14:L14"/>
    <mergeCell ref="T64:X64"/>
    <mergeCell ref="T14:X14"/>
    <mergeCell ref="AK14:AO14"/>
    <mergeCell ref="T32:X32"/>
    <mergeCell ref="Z14:AD14"/>
    <mergeCell ref="AF14:AJ14"/>
  </mergeCells>
  <pageMargins left="0.7" right="0.7" top="0.75" bottom="0.75" header="0.3" footer="0.3"/>
  <pageSetup paperSize="9" orientation="portrait" horizontalDpi="300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646F-3F2B-44D1-B6FF-76E36E4975EF}">
  <dimension ref="A1:AO169"/>
  <sheetViews>
    <sheetView showGridLines="0" zoomScale="115" zoomScaleNormal="115" workbookViewId="0">
      <selection activeCell="I12" sqref="I12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4" bestFit="1" customWidth="1"/>
    <col min="4" max="4" width="12.140625" bestFit="1" customWidth="1"/>
    <col min="5" max="5" width="11.5703125" customWidth="1"/>
    <col min="6" max="6" width="13" bestFit="1" customWidth="1"/>
    <col min="7" max="7" width="2.42578125" style="6" customWidth="1"/>
    <col min="8" max="8" width="12.7109375" customWidth="1"/>
    <col min="9" max="9" width="13.5703125" customWidth="1"/>
    <col min="10" max="10" width="12.28515625" bestFit="1" customWidth="1"/>
    <col min="11" max="11" width="12.85546875" customWidth="1"/>
    <col min="13" max="13" width="2.5703125" style="6" customWidth="1"/>
    <col min="14" max="14" width="12.7109375" customWidth="1"/>
    <col min="17" max="17" width="12.85546875" customWidth="1"/>
    <col min="19" max="19" width="2.5703125" style="6" customWidth="1"/>
    <col min="20" max="20" width="12.7109375" customWidth="1"/>
    <col min="23" max="23" width="12.85546875" customWidth="1"/>
    <col min="24" max="24" width="13.5703125" customWidth="1"/>
    <col min="25" max="25" width="2.5703125" style="6" customWidth="1"/>
    <col min="26" max="26" width="15.42578125" bestFit="1" customWidth="1"/>
    <col min="27" max="27" width="13.28515625" customWidth="1"/>
    <col min="29" max="29" width="15.7109375" bestFit="1" customWidth="1"/>
    <col min="31" max="31" width="2.5703125" style="6" customWidth="1"/>
    <col min="32" max="32" width="15.42578125" bestFit="1" customWidth="1"/>
    <col min="33" max="33" width="12.28515625" bestFit="1" customWidth="1"/>
    <col min="35" max="35" width="15.7109375" bestFit="1" customWidth="1"/>
  </cols>
  <sheetData>
    <row r="1" spans="1:41" x14ac:dyDescent="0.25">
      <c r="G1"/>
      <c r="M1"/>
      <c r="S1"/>
      <c r="Y1"/>
      <c r="AE1"/>
    </row>
    <row r="2" spans="1:41" ht="18.75" x14ac:dyDescent="0.25">
      <c r="C2" s="15" t="s">
        <v>2</v>
      </c>
      <c r="D2" s="16" t="s">
        <v>0</v>
      </c>
      <c r="E2" s="16" t="s">
        <v>1</v>
      </c>
      <c r="F2" s="16" t="s">
        <v>3</v>
      </c>
      <c r="G2" s="53" t="s">
        <v>4</v>
      </c>
      <c r="H2" s="54"/>
      <c r="J2" s="55">
        <v>45536</v>
      </c>
      <c r="K2" s="55"/>
      <c r="M2"/>
      <c r="S2"/>
      <c r="Y2"/>
      <c r="AE2"/>
    </row>
    <row r="3" spans="1:41" x14ac:dyDescent="0.25">
      <c r="B3" s="25" t="str">
        <f>+B14</f>
        <v>Extracto Santander</v>
      </c>
      <c r="C3" s="14">
        <v>143310.64000000001</v>
      </c>
      <c r="D3" s="14">
        <v>357</v>
      </c>
      <c r="E3" s="14">
        <v>357.27719999999999</v>
      </c>
      <c r="F3" s="14">
        <v>8598.64</v>
      </c>
      <c r="G3" s="32"/>
      <c r="H3" s="33">
        <v>4197.24</v>
      </c>
      <c r="J3" s="2"/>
      <c r="K3" s="3"/>
      <c r="M3"/>
      <c r="N3" t="s">
        <v>5</v>
      </c>
      <c r="S3"/>
      <c r="Y3"/>
      <c r="AE3"/>
    </row>
    <row r="4" spans="1:41" x14ac:dyDescent="0.25">
      <c r="B4" s="25" t="str">
        <f>+H14</f>
        <v>CABAL 22/3</v>
      </c>
      <c r="C4" s="14"/>
      <c r="D4" s="14"/>
      <c r="E4" s="14"/>
      <c r="F4" s="14"/>
      <c r="G4" s="32"/>
      <c r="H4" s="33"/>
      <c r="J4" s="2"/>
      <c r="K4" s="3"/>
      <c r="M4"/>
      <c r="S4"/>
      <c r="Y4"/>
      <c r="AE4"/>
    </row>
    <row r="5" spans="1:41" x14ac:dyDescent="0.25">
      <c r="B5" s="25" t="str">
        <f>+N14</f>
        <v>BBVA VISA</v>
      </c>
      <c r="C5" s="14">
        <v>6611.57</v>
      </c>
      <c r="D5" s="14">
        <v>1388.4296999999999</v>
      </c>
      <c r="E5" s="14"/>
      <c r="F5" s="14">
        <v>6820.74</v>
      </c>
      <c r="G5" s="32"/>
      <c r="H5" s="33">
        <v>198.35</v>
      </c>
      <c r="M5"/>
      <c r="S5"/>
      <c r="Y5"/>
      <c r="AE5"/>
    </row>
    <row r="6" spans="1:41" x14ac:dyDescent="0.25">
      <c r="B6" s="25" t="str">
        <f>+T14</f>
        <v>GALICIA EXTRACTO (31/03)</v>
      </c>
      <c r="C6" s="14">
        <v>48001.91</v>
      </c>
      <c r="D6" s="14">
        <v>10080</v>
      </c>
      <c r="E6" s="14"/>
      <c r="F6" s="14">
        <v>2880</v>
      </c>
      <c r="G6" s="32"/>
      <c r="H6" s="34">
        <v>1440</v>
      </c>
      <c r="M6"/>
      <c r="S6"/>
      <c r="Y6"/>
      <c r="AE6"/>
    </row>
    <row r="7" spans="1:41" x14ac:dyDescent="0.25">
      <c r="B7" s="25" t="str">
        <f>+Z14</f>
        <v>SANTANDER - GETNET</v>
      </c>
      <c r="C7" s="31">
        <v>1734362.5199999998</v>
      </c>
      <c r="D7" s="14">
        <v>186935.66889999996</v>
      </c>
      <c r="E7" s="14">
        <v>78732.792350000003</v>
      </c>
      <c r="F7" s="14">
        <v>1709480.09</v>
      </c>
      <c r="G7" s="32"/>
      <c r="H7" s="33"/>
      <c r="M7"/>
      <c r="S7"/>
      <c r="Y7"/>
      <c r="AE7"/>
    </row>
    <row r="8" spans="1:41" x14ac:dyDescent="0.25">
      <c r="B8" s="25" t="s">
        <v>14</v>
      </c>
      <c r="C8" s="14">
        <v>129733.23809523809</v>
      </c>
      <c r="D8" s="14">
        <v>27243.98</v>
      </c>
      <c r="E8" s="14"/>
      <c r="F8" s="14">
        <v>8597.7900000000009</v>
      </c>
      <c r="G8"/>
      <c r="H8" s="35">
        <v>3774.69</v>
      </c>
      <c r="I8" s="36"/>
      <c r="M8"/>
      <c r="S8"/>
      <c r="Y8"/>
      <c r="AE8"/>
    </row>
    <row r="9" spans="1:41" x14ac:dyDescent="0.25">
      <c r="B9" s="28" t="s">
        <v>17</v>
      </c>
      <c r="C9" s="14">
        <v>348324.14</v>
      </c>
      <c r="D9" s="14">
        <v>73148.069399999993</v>
      </c>
      <c r="E9" s="14"/>
      <c r="F9" s="14">
        <v>393606.68</v>
      </c>
      <c r="G9" s="32"/>
      <c r="H9" s="33"/>
      <c r="M9"/>
      <c r="S9"/>
      <c r="Y9"/>
      <c r="AE9"/>
    </row>
    <row r="10" spans="1:41" x14ac:dyDescent="0.25">
      <c r="B10" s="28" t="s">
        <v>15</v>
      </c>
      <c r="C10" s="14"/>
      <c r="D10" s="14"/>
      <c r="E10" s="14"/>
      <c r="F10" s="14"/>
      <c r="G10" s="32"/>
      <c r="H10" s="33"/>
      <c r="J10" s="3">
        <f>E7*100/10.5</f>
        <v>749836.11761904764</v>
      </c>
      <c r="M10"/>
      <c r="S10"/>
      <c r="Y10"/>
      <c r="AE10"/>
    </row>
    <row r="11" spans="1:41" x14ac:dyDescent="0.25">
      <c r="B11" s="28" t="s">
        <v>13</v>
      </c>
      <c r="C11" s="14">
        <v>3966.94</v>
      </c>
      <c r="D11" s="14">
        <v>833.05740000000003</v>
      </c>
      <c r="E11" s="14"/>
      <c r="F11" s="14">
        <v>532.20000000000005</v>
      </c>
      <c r="G11" s="32"/>
      <c r="H11" s="33">
        <v>119.01</v>
      </c>
      <c r="M11"/>
      <c r="S11"/>
      <c r="Y11"/>
      <c r="AE11"/>
    </row>
    <row r="12" spans="1:41" x14ac:dyDescent="0.25">
      <c r="A12" s="26"/>
      <c r="B12" s="26"/>
      <c r="C12" s="27">
        <f>SUM(C3:C11)</f>
        <v>2414310.9580952381</v>
      </c>
      <c r="D12" s="27">
        <f t="shared" ref="D12:F12" si="0">SUM(D3:D11)</f>
        <v>299986.20539999998</v>
      </c>
      <c r="E12" s="27">
        <f t="shared" si="0"/>
        <v>79090.06955</v>
      </c>
      <c r="F12" s="27">
        <f t="shared" si="0"/>
        <v>2130516.14</v>
      </c>
      <c r="G12" s="56">
        <f>SUM(G3:H11)</f>
        <v>9729.2900000000009</v>
      </c>
      <c r="H12" s="56"/>
      <c r="M12"/>
      <c r="S12"/>
      <c r="Y12"/>
      <c r="AE12"/>
    </row>
    <row r="13" spans="1:41" x14ac:dyDescent="0.25">
      <c r="A13" s="26"/>
      <c r="B13" s="26"/>
      <c r="G13"/>
      <c r="M13"/>
      <c r="S13"/>
      <c r="Y13"/>
      <c r="AE13"/>
    </row>
    <row r="14" spans="1:41" ht="16.5" customHeight="1" x14ac:dyDescent="0.3">
      <c r="B14" s="52" t="s">
        <v>10</v>
      </c>
      <c r="C14" s="52"/>
      <c r="D14" s="52"/>
      <c r="E14" s="52"/>
      <c r="F14" s="52"/>
      <c r="H14" s="52" t="s">
        <v>8</v>
      </c>
      <c r="I14" s="52"/>
      <c r="J14" s="52"/>
      <c r="K14" s="52"/>
      <c r="L14" s="52"/>
      <c r="N14" s="52" t="s">
        <v>11</v>
      </c>
      <c r="O14" s="52"/>
      <c r="P14" s="52"/>
      <c r="Q14" s="52"/>
      <c r="R14" s="52"/>
      <c r="T14" s="52" t="s">
        <v>6</v>
      </c>
      <c r="U14" s="52"/>
      <c r="V14" s="52"/>
      <c r="W14" s="52"/>
      <c r="X14" s="52"/>
      <c r="Z14" s="52" t="s">
        <v>16</v>
      </c>
      <c r="AA14" s="52"/>
      <c r="AB14" s="52"/>
      <c r="AC14" s="52"/>
      <c r="AD14" s="52"/>
      <c r="AF14" s="52" t="s">
        <v>17</v>
      </c>
      <c r="AG14" s="52"/>
      <c r="AH14" s="52"/>
      <c r="AI14" s="52"/>
      <c r="AJ14" s="52"/>
      <c r="AK14" s="52" t="s">
        <v>13</v>
      </c>
      <c r="AL14" s="52"/>
      <c r="AM14" s="52"/>
      <c r="AN14" s="52"/>
      <c r="AO14" s="52"/>
    </row>
    <row r="15" spans="1:41" s="5" customFormat="1" x14ac:dyDescent="0.25">
      <c r="B15" s="10" t="s">
        <v>2</v>
      </c>
      <c r="C15" s="9" t="s">
        <v>0</v>
      </c>
      <c r="D15" s="9" t="s">
        <v>1</v>
      </c>
      <c r="E15" s="9" t="s">
        <v>3</v>
      </c>
      <c r="F15" s="9" t="s">
        <v>4</v>
      </c>
      <c r="G15" s="7"/>
      <c r="H15" s="12" t="s">
        <v>2</v>
      </c>
      <c r="I15" s="13" t="s">
        <v>0</v>
      </c>
      <c r="J15" s="13" t="s">
        <v>1</v>
      </c>
      <c r="K15" s="13" t="s">
        <v>3</v>
      </c>
      <c r="L15" s="13" t="s">
        <v>4</v>
      </c>
      <c r="M15" s="7"/>
      <c r="N15" s="12" t="s">
        <v>2</v>
      </c>
      <c r="O15" s="13" t="s">
        <v>0</v>
      </c>
      <c r="P15" s="13" t="s">
        <v>1</v>
      </c>
      <c r="Q15" s="13" t="s">
        <v>3</v>
      </c>
      <c r="R15" s="13" t="s">
        <v>4</v>
      </c>
      <c r="S15" s="7"/>
      <c r="T15" s="12" t="s">
        <v>2</v>
      </c>
      <c r="U15" s="13" t="s">
        <v>0</v>
      </c>
      <c r="V15" s="13" t="s">
        <v>1</v>
      </c>
      <c r="W15" s="13" t="s">
        <v>3</v>
      </c>
      <c r="X15" s="13" t="s">
        <v>4</v>
      </c>
      <c r="Y15" s="7"/>
      <c r="Z15" s="12" t="s">
        <v>2</v>
      </c>
      <c r="AA15" s="13" t="s">
        <v>0</v>
      </c>
      <c r="AB15" s="13" t="s">
        <v>1</v>
      </c>
      <c r="AC15" s="13" t="s">
        <v>3</v>
      </c>
      <c r="AD15" s="13" t="s">
        <v>4</v>
      </c>
      <c r="AE15" s="7"/>
      <c r="AF15" s="12" t="s">
        <v>2</v>
      </c>
      <c r="AG15" s="13" t="s">
        <v>0</v>
      </c>
      <c r="AH15" s="13" t="s">
        <v>1</v>
      </c>
      <c r="AI15" s="13" t="s">
        <v>3</v>
      </c>
      <c r="AJ15" s="13" t="s">
        <v>4</v>
      </c>
      <c r="AK15" s="12" t="s">
        <v>2</v>
      </c>
      <c r="AL15" s="13" t="s">
        <v>0</v>
      </c>
      <c r="AM15" s="13" t="s">
        <v>1</v>
      </c>
      <c r="AN15" s="13" t="s">
        <v>3</v>
      </c>
      <c r="AO15" s="13" t="s">
        <v>4</v>
      </c>
    </row>
    <row r="16" spans="1:41" x14ac:dyDescent="0.25">
      <c r="B16" s="2">
        <v>75008</v>
      </c>
      <c r="C16" s="2">
        <f>Tabla131624322122233526272822122232[[#This Row],[COMISIONES]]*0.21</f>
        <v>15751.68</v>
      </c>
      <c r="D16" s="3" t="s">
        <v>18</v>
      </c>
      <c r="E16" s="3">
        <v>4500.4799999999996</v>
      </c>
      <c r="F16" s="1">
        <v>2250.2399999999998</v>
      </c>
      <c r="G16" s="8"/>
      <c r="H16" s="3"/>
      <c r="I16" s="11">
        <f>Tabla391725353132334536373833132333[[#This Row],[COMISIONES]]*0.21</f>
        <v>0</v>
      </c>
      <c r="J16" s="11"/>
      <c r="K16" s="11"/>
      <c r="L16" s="3"/>
      <c r="M16" s="8"/>
      <c r="N16" s="3">
        <v>6611.57</v>
      </c>
      <c r="O16" s="11">
        <f>Tabla35101826364142444546474844142434[[#This Row],[COMISIONES]]*0.21</f>
        <v>1388.4296999999999</v>
      </c>
      <c r="P16" s="11"/>
      <c r="Q16" s="1">
        <v>49.98</v>
      </c>
      <c r="R16">
        <v>198.35</v>
      </c>
      <c r="S16" s="8"/>
      <c r="T16" s="11">
        <v>48000</v>
      </c>
      <c r="U16" s="11">
        <f>Tabla356111927375152545556575855152535[[#This Row],[COMISIONES]]*0.21</f>
        <v>10080</v>
      </c>
      <c r="V16" s="11"/>
      <c r="W16" s="11">
        <v>2880</v>
      </c>
      <c r="X16" s="11">
        <v>1440</v>
      </c>
      <c r="Y16" s="8"/>
      <c r="Z16" s="3">
        <v>624</v>
      </c>
      <c r="AA16" s="11">
        <f>Tabla3568132129397172747576777877172737[[#This Row],[COMISIONES]]*0.21</f>
        <v>131.04</v>
      </c>
      <c r="AB16" s="3"/>
      <c r="AC16" s="1">
        <v>38.619999999999997</v>
      </c>
      <c r="AE16" s="8"/>
      <c r="AF16" s="3">
        <v>348324.14</v>
      </c>
      <c r="AG16" s="11">
        <f>Tabla356813142230408182848586878888182838[[#This Row],[COMISIONES]]*0.21</f>
        <v>73148.069399999993</v>
      </c>
      <c r="AH16" s="11"/>
      <c r="AI16" s="1">
        <v>5026.45</v>
      </c>
      <c r="AJ16" s="11"/>
      <c r="AK16" s="11">
        <v>3966.94</v>
      </c>
      <c r="AL16" s="11">
        <f>Tabla3561119273443112131516171819111213141[[#This Row],[COMISIONES]]*0.21</f>
        <v>833.05740000000003</v>
      </c>
      <c r="AM16" s="11"/>
      <c r="AN16" s="11">
        <v>300.44</v>
      </c>
      <c r="AO16" s="11">
        <v>119.01</v>
      </c>
    </row>
    <row r="17" spans="2:41" x14ac:dyDescent="0.25">
      <c r="B17" s="3">
        <v>3402.64</v>
      </c>
      <c r="C17" s="2" t="s">
        <v>18</v>
      </c>
      <c r="D17" s="3">
        <f>Tabla131624322122233526272822122232[[#This Row],[COMISIONES]]*0.105</f>
        <v>357.27719999999999</v>
      </c>
      <c r="E17" s="3">
        <v>204.16</v>
      </c>
      <c r="F17" s="3"/>
      <c r="G17" s="8"/>
      <c r="H17" s="11"/>
      <c r="I17" s="11">
        <f>Tabla391725353132334536373833132333[[#This Row],[COMISIONES]]*0.21</f>
        <v>0</v>
      </c>
      <c r="J17" s="11"/>
      <c r="K17" s="11"/>
      <c r="L17" s="11"/>
      <c r="M17" s="8"/>
      <c r="N17" s="11"/>
      <c r="O17" s="11">
        <f>Tabla35101826364142444546474844142434[[#This Row],[COMISIONES]]*0.21</f>
        <v>0</v>
      </c>
      <c r="P17" s="11"/>
      <c r="Q17" s="1">
        <v>6770.76</v>
      </c>
      <c r="S17" s="8"/>
      <c r="T17" s="11">
        <v>1.91</v>
      </c>
      <c r="U17" s="11"/>
      <c r="V17" s="11">
        <f>Tabla356111927375152545556575855152535[[#This Row],[COMISIONES]]*0.105</f>
        <v>0.20054999999999998</v>
      </c>
      <c r="W17" s="11"/>
      <c r="X17" s="11"/>
      <c r="Y17" s="8"/>
      <c r="Z17" s="3">
        <v>174.96</v>
      </c>
      <c r="AA17" s="11">
        <f>Tabla3568132129397172747576777877172737[[#This Row],[COMISIONES]]*0.21</f>
        <v>36.741599999999998</v>
      </c>
      <c r="AB17" s="3"/>
      <c r="AC17" s="1">
        <v>3476.02</v>
      </c>
      <c r="AE17" s="8"/>
      <c r="AF17" s="11"/>
      <c r="AG17" s="11">
        <f>Tabla356813142230408182848586878888182838[[#This Row],[COMISIONES]]*0.21</f>
        <v>0</v>
      </c>
      <c r="AH17" s="11"/>
      <c r="AI17" s="11">
        <v>388580.23</v>
      </c>
      <c r="AJ17" s="11"/>
      <c r="AK17" s="11"/>
      <c r="AL17" s="11">
        <f>Tabla3561119273443112131516171819111213141[[#This Row],[COMISIONES]]*0.21</f>
        <v>0</v>
      </c>
      <c r="AM17" s="11"/>
      <c r="AN17" s="11">
        <v>231.76</v>
      </c>
      <c r="AO17" s="11" t="s">
        <v>18</v>
      </c>
    </row>
    <row r="18" spans="2:41" x14ac:dyDescent="0.25">
      <c r="B18" s="3">
        <v>53300</v>
      </c>
      <c r="C18" s="2">
        <f>Tabla131624322122233526272822122232[[#This Row],[COMISIONES]]*0.21</f>
        <v>11193</v>
      </c>
      <c r="D18" s="3" t="s">
        <v>18</v>
      </c>
      <c r="E18" s="3">
        <v>3198</v>
      </c>
      <c r="F18" s="3">
        <v>1599</v>
      </c>
      <c r="H18" s="11"/>
      <c r="I18" s="11">
        <f>Tabla391725353132334536373833132333[[#This Row],[COMISIONES]]*0.21</f>
        <v>0</v>
      </c>
      <c r="J18" s="11"/>
      <c r="K18" s="11"/>
      <c r="L18" s="11"/>
      <c r="N18" s="1"/>
      <c r="O18" s="11">
        <f>Tabla35101826364142444546474844142434[[#This Row],[COMISIONES]]*0.21</f>
        <v>0</v>
      </c>
      <c r="P18" s="11"/>
      <c r="Q18" s="11"/>
      <c r="R18" s="23"/>
      <c r="T18" s="11"/>
      <c r="U18" s="11">
        <f>Tabla356111927375152545556575855152535[[#This Row],[COMISIONES]]*0.21</f>
        <v>0</v>
      </c>
      <c r="V18" s="11"/>
      <c r="W18" s="11"/>
      <c r="X18" s="11"/>
      <c r="Z18" s="3">
        <v>8431.23</v>
      </c>
      <c r="AA18" s="11">
        <f>Tabla3568132129397172747576777877172737[[#This Row],[COMISIONES]]*0.21</f>
        <v>1770.5582999999999</v>
      </c>
      <c r="AB18" s="3"/>
      <c r="AC18">
        <v>10.83</v>
      </c>
      <c r="AF18" s="11"/>
      <c r="AG18" s="11">
        <f>Tabla356813142230408182848586878888182838[[#This Row],[COMISIONES]]*0.21</f>
        <v>0</v>
      </c>
      <c r="AH18" s="11"/>
      <c r="AI18" s="11"/>
      <c r="AJ18" s="11"/>
      <c r="AK18" s="11"/>
      <c r="AL18" s="11">
        <f>Tabla3561119273443112131516171819111213141[[#This Row],[COMISIONES]]*0.21</f>
        <v>0</v>
      </c>
      <c r="AM18" s="11"/>
      <c r="AN18" s="11"/>
      <c r="AO18" s="11"/>
    </row>
    <row r="19" spans="2:41" x14ac:dyDescent="0.25">
      <c r="B19" s="3">
        <v>11600</v>
      </c>
      <c r="C19" s="2">
        <f>Tabla131624322122233526272822122232[[#This Row],[COMISIONES]]*0.21</f>
        <v>2436</v>
      </c>
      <c r="D19" s="3" t="s">
        <v>18</v>
      </c>
      <c r="E19" s="3">
        <v>696</v>
      </c>
      <c r="F19" s="3">
        <v>348</v>
      </c>
      <c r="G19" s="8"/>
      <c r="H19" s="11"/>
      <c r="I19" s="11">
        <f>Tabla391725353132334536373833132333[[#This Row],[COMISIONES]]*0.21</f>
        <v>0</v>
      </c>
      <c r="J19" s="11"/>
      <c r="K19" s="11"/>
      <c r="L19" s="11"/>
      <c r="M19" s="8"/>
      <c r="N19" s="1"/>
      <c r="O19" s="11">
        <f>Tabla35101826364142444546474844142434[[#This Row],[COMISIONES]]*0.21</f>
        <v>0</v>
      </c>
      <c r="P19" s="11"/>
      <c r="Q19" s="11"/>
      <c r="R19" s="23"/>
      <c r="S19" s="8"/>
      <c r="T19" s="11"/>
      <c r="U19" s="11">
        <f>Tabla356111927375152545556575855152535[[#This Row],[COMISIONES]]*0.21</f>
        <v>0</v>
      </c>
      <c r="V19" s="11"/>
      <c r="W19" s="11"/>
      <c r="X19" s="11"/>
      <c r="Y19" s="8"/>
      <c r="Z19" s="3">
        <v>28888.18</v>
      </c>
      <c r="AA19" s="11">
        <f>Tabla3568132129397172747576777877172737[[#This Row],[COMISIONES]]*0.21</f>
        <v>6066.5177999999996</v>
      </c>
      <c r="AB19" s="3"/>
      <c r="AC19" s="1">
        <v>974.62</v>
      </c>
      <c r="AE19" s="8"/>
      <c r="AF19" s="11"/>
      <c r="AG19" s="11">
        <f>Tabla356813142230408182848586878888182838[[#This Row],[COMISIONES]]*0.21</f>
        <v>0</v>
      </c>
      <c r="AH19" s="11"/>
      <c r="AI19" s="11"/>
      <c r="AJ19" s="11"/>
      <c r="AK19" s="11"/>
      <c r="AL19" s="11">
        <f>Tabla3561119273443112131516171819111213141[[#This Row],[COMISIONES]]*0.21</f>
        <v>0</v>
      </c>
      <c r="AM19" s="11"/>
      <c r="AN19" s="11"/>
      <c r="AO19" s="11"/>
    </row>
    <row r="20" spans="2:41" x14ac:dyDescent="0.25">
      <c r="B20" s="3"/>
      <c r="C20" s="2">
        <f>Tabla131624322122233526272822122232[[#This Row],[COMISIONES]]*0.21</f>
        <v>0</v>
      </c>
      <c r="D20" s="3">
        <f>Tabla131624322122233526272822122232[[#This Row],[COMISIONES]]*0.105</f>
        <v>0</v>
      </c>
      <c r="E20" s="3"/>
      <c r="F20" s="3"/>
      <c r="H20" s="11"/>
      <c r="I20" s="11">
        <f>Tabla391725353132334536373833132333[[#This Row],[COMISIONES]]*0.21</f>
        <v>0</v>
      </c>
      <c r="J20" s="11"/>
      <c r="K20" s="11"/>
      <c r="L20" s="11"/>
      <c r="N20" s="1"/>
      <c r="O20" s="11">
        <f>Tabla35101826364142444546474844142434[[#This Row],[COMISIONES]]*0.21</f>
        <v>0</v>
      </c>
      <c r="P20" s="11"/>
      <c r="Q20" s="11"/>
      <c r="R20" s="23"/>
      <c r="T20" s="11"/>
      <c r="U20" s="11">
        <f>Tabla356111927375152545556575855152535[[#This Row],[COMISIONES]]*0.21</f>
        <v>0</v>
      </c>
      <c r="V20" s="11"/>
      <c r="W20" s="11"/>
      <c r="X20" s="11"/>
      <c r="Z20" s="3">
        <v>1077.72</v>
      </c>
      <c r="AA20" s="11">
        <f>Tabla3568132129397172747576777877172737[[#This Row],[COMISIONES]]*0.21</f>
        <v>226.3212</v>
      </c>
      <c r="AB20" s="11"/>
      <c r="AC20" s="1">
        <v>37481.449999999997</v>
      </c>
      <c r="AF20" s="11"/>
      <c r="AG20" s="11">
        <f>Tabla356813142230408182848586878888182838[[#This Row],[COMISIONES]]*0.21</f>
        <v>0</v>
      </c>
      <c r="AH20" s="11"/>
      <c r="AI20" s="11"/>
      <c r="AJ20" s="11"/>
      <c r="AK20" s="11"/>
      <c r="AL20" s="11">
        <f>Tabla3561119273443112131516171819111213141[[#This Row],[COMISIONES]]*0.21</f>
        <v>0</v>
      </c>
      <c r="AM20" s="11"/>
      <c r="AN20" s="11"/>
      <c r="AO20" s="11"/>
    </row>
    <row r="21" spans="2:41" x14ac:dyDescent="0.25">
      <c r="B21" s="3"/>
      <c r="C21" s="2">
        <f>Tabla131624322122233526272822122232[[#This Row],[COMISIONES]]*0.21</f>
        <v>0</v>
      </c>
      <c r="D21" s="3">
        <f>Tabla131624322122233526272822122232[[#This Row],[COMISIONES]]*0.105</f>
        <v>0</v>
      </c>
      <c r="E21" s="3"/>
      <c r="F21" s="3"/>
      <c r="H21" s="11"/>
      <c r="I21" s="11">
        <f>Tabla391725353132334536373833132333[[#This Row],[COMISIONES]]*0.21</f>
        <v>0</v>
      </c>
      <c r="J21" s="11"/>
      <c r="K21" s="11"/>
      <c r="L21" s="11"/>
      <c r="N21" s="11"/>
      <c r="O21" s="11">
        <f>Tabla35101826364142444546474844142434[[#This Row],[COMISIONES]]*0.21</f>
        <v>0</v>
      </c>
      <c r="P21" s="11"/>
      <c r="Q21" s="11"/>
      <c r="R21" s="11"/>
      <c r="T21" s="11"/>
      <c r="U21" s="11">
        <f>Tabla356111927375152545556575855152535[[#This Row],[COMISIONES]]*0.21</f>
        <v>0</v>
      </c>
      <c r="V21" s="11"/>
      <c r="W21" s="11"/>
      <c r="X21" s="11"/>
      <c r="Z21" s="3">
        <v>18834.150000000001</v>
      </c>
      <c r="AA21" s="11">
        <f>Tabla3568132129397172747576777877172737[[#This Row],[COMISIONES]]*0.21</f>
        <v>3955.1715000000004</v>
      </c>
      <c r="AB21" s="11"/>
      <c r="AC21" s="1">
        <v>416.46</v>
      </c>
      <c r="AF21" s="11"/>
      <c r="AG21" s="11">
        <f>Tabla356813142230408182848586878888182838[[#This Row],[COMISIONES]]*0.21</f>
        <v>0</v>
      </c>
      <c r="AH21" s="11"/>
      <c r="AI21" s="11"/>
      <c r="AJ21" s="11"/>
      <c r="AK21" s="11"/>
      <c r="AL21" s="11">
        <f>Tabla3561119273443112131516171819111213141[[#This Row],[COMISIONES]]*0.21</f>
        <v>0</v>
      </c>
      <c r="AM21" s="11"/>
      <c r="AN21" s="11"/>
      <c r="AO21" s="11"/>
    </row>
    <row r="22" spans="2:41" x14ac:dyDescent="0.25">
      <c r="B22" s="3"/>
      <c r="C22" s="2">
        <f>Tabla131624322122233526272822122232[[#This Row],[COMISIONES]]*0.21</f>
        <v>0</v>
      </c>
      <c r="D22" s="3">
        <f>Tabla131624322122233526272822122232[[#This Row],[COMISIONES]]*0.105</f>
        <v>0</v>
      </c>
      <c r="E22" s="3"/>
      <c r="F22" s="3"/>
      <c r="H22" s="11"/>
      <c r="I22" s="11">
        <f>Tabla391725353132334536373833132333[[#This Row],[COMISIONES]]*0.21</f>
        <v>0</v>
      </c>
      <c r="J22" s="11"/>
      <c r="K22" s="11"/>
      <c r="L22" s="11"/>
      <c r="N22" s="11"/>
      <c r="O22" s="11">
        <f>Tabla35101826364142444546474844142434[[#This Row],[COMISIONES]]*0.21</f>
        <v>0</v>
      </c>
      <c r="P22" s="11"/>
      <c r="Q22" s="11"/>
      <c r="R22" s="11"/>
      <c r="T22" s="11"/>
      <c r="U22" s="11">
        <f>Tabla356111927375152545556575855152535[[#This Row],[COMISIONES]]*0.21</f>
        <v>0</v>
      </c>
      <c r="V22" s="11"/>
      <c r="W22" s="11"/>
      <c r="X22" s="11"/>
      <c r="Z22" s="3">
        <v>12445.7</v>
      </c>
      <c r="AA22" s="11">
        <f>Tabla3568132129397172747576777877172737[[#This Row],[COMISIONES]]*0.21</f>
        <v>2613.5970000000002</v>
      </c>
      <c r="AB22" s="29"/>
      <c r="AC22" s="1">
        <v>658.78</v>
      </c>
      <c r="AD22" s="11"/>
      <c r="AF22" s="11"/>
      <c r="AG22" s="11">
        <f>Tabla356813142230408182848586878888182838[[#This Row],[COMISIONES]]*0.21</f>
        <v>0</v>
      </c>
      <c r="AH22" s="11"/>
      <c r="AI22" s="11"/>
      <c r="AJ22" s="11"/>
      <c r="AK22" s="11"/>
      <c r="AL22" s="11">
        <f>Tabla3561119273443112131516171819111213141[[#This Row],[COMISIONES]]*0.21</f>
        <v>0</v>
      </c>
      <c r="AM22" s="11"/>
      <c r="AN22" s="11"/>
      <c r="AO22" s="11"/>
    </row>
    <row r="23" spans="2:41" x14ac:dyDescent="0.25">
      <c r="B23" s="3"/>
      <c r="C23" s="2">
        <f>Tabla131624322122233526272822122232[[#This Row],[COMISIONES]]*0.21</f>
        <v>0</v>
      </c>
      <c r="D23" s="3">
        <f>Tabla131624322122233526272822122232[[#This Row],[COMISIONES]]*0.105</f>
        <v>0</v>
      </c>
      <c r="E23" s="3"/>
      <c r="F23" s="3"/>
      <c r="H23" s="11"/>
      <c r="I23" s="11">
        <f>Tabla391725353132334536373833132333[[#This Row],[COMISIONES]]*0.21</f>
        <v>0</v>
      </c>
      <c r="J23" s="11"/>
      <c r="K23" s="11"/>
      <c r="L23" s="11"/>
      <c r="N23" s="11"/>
      <c r="O23" s="11">
        <f>Tabla35101826364142444546474844142434[[#This Row],[COMISIONES]]*0.21</f>
        <v>0</v>
      </c>
      <c r="P23" s="11"/>
      <c r="Q23" s="11"/>
      <c r="R23" s="11"/>
      <c r="T23" s="11"/>
      <c r="U23" s="11">
        <f>Tabla356111927375152545556575855152535[[#This Row],[COMISIONES]]*0.21</f>
        <v>0</v>
      </c>
      <c r="V23" s="11"/>
      <c r="W23" s="11"/>
      <c r="X23" s="11"/>
      <c r="Z23" s="3">
        <v>24586.48</v>
      </c>
      <c r="AA23" s="11"/>
      <c r="AB23" s="3">
        <f>Tabla3568132129397172747576777877172737[[#This Row],[COMISIONES]]*0.105</f>
        <v>2581.5803999999998</v>
      </c>
      <c r="AC23" s="1">
        <v>59290.6</v>
      </c>
      <c r="AD23" s="11"/>
      <c r="AF23" s="11"/>
      <c r="AG23" s="11">
        <f>Tabla356813142230408182848586878888182838[[#This Row],[COMISIONES]]*0.21</f>
        <v>0</v>
      </c>
      <c r="AH23" s="11"/>
      <c r="AI23" s="11"/>
      <c r="AJ23" s="11"/>
      <c r="AK23" s="11"/>
      <c r="AL23" s="11">
        <f>Tabla3561119273443112131516171819111213141[[#This Row],[COMISIONES]]*0.21</f>
        <v>0</v>
      </c>
      <c r="AM23" s="11"/>
      <c r="AN23" s="11"/>
      <c r="AO23" s="11"/>
    </row>
    <row r="24" spans="2:41" x14ac:dyDescent="0.25">
      <c r="B24" s="3"/>
      <c r="C24" s="2">
        <f>Tabla131624322122233526272822122232[[#This Row],[COMISIONES]]*0.21</f>
        <v>0</v>
      </c>
      <c r="D24" s="3">
        <f>Tabla131624322122233526272822122232[[#This Row],[COMISIONES]]*0.105</f>
        <v>0</v>
      </c>
      <c r="E24" s="3"/>
      <c r="F24" s="3"/>
      <c r="H24" s="11"/>
      <c r="I24" s="11">
        <f>Tabla391725353132334536373833132333[[#This Row],[COMISIONES]]*0.21</f>
        <v>0</v>
      </c>
      <c r="J24" s="11"/>
      <c r="K24" s="11"/>
      <c r="L24" s="11"/>
      <c r="N24" s="11"/>
      <c r="O24" s="11">
        <f>Tabla35101826364142444546474844142434[[#This Row],[COMISIONES]]*0.21</f>
        <v>0</v>
      </c>
      <c r="P24" s="11"/>
      <c r="Q24" s="11"/>
      <c r="R24" s="11"/>
      <c r="T24" s="11"/>
      <c r="U24" s="11">
        <f>Tabla356111927375152545556575855152535[[#This Row],[COMISIONES]]*0.21</f>
        <v>0</v>
      </c>
      <c r="V24" s="11"/>
      <c r="W24" s="11"/>
      <c r="X24" s="11"/>
      <c r="Z24" s="3">
        <v>1730.2</v>
      </c>
      <c r="AA24" s="11">
        <f>Tabla3568132129397172747576777877172737[[#This Row],[COMISIONES]]*0.21</f>
        <v>363.34199999999998</v>
      </c>
      <c r="AB24" s="11"/>
      <c r="AC24" s="1">
        <v>66.7</v>
      </c>
      <c r="AD24" s="11"/>
      <c r="AF24" s="11"/>
      <c r="AG24" s="11">
        <f>Tabla356813142230408182848586878888182838[[#This Row],[COMISIONES]]*0.21</f>
        <v>0</v>
      </c>
      <c r="AH24" s="11"/>
      <c r="AI24" s="11"/>
      <c r="AJ24" s="11"/>
      <c r="AK24" s="11"/>
      <c r="AL24" s="11">
        <f>Tabla3561119273443112131516171819111213141[[#This Row],[COMISIONES]]*0.21</f>
        <v>0</v>
      </c>
      <c r="AM24" s="11"/>
      <c r="AN24" s="11"/>
      <c r="AO24" s="11"/>
    </row>
    <row r="25" spans="2:41" x14ac:dyDescent="0.25">
      <c r="B25" s="3"/>
      <c r="C25" s="2">
        <f>Tabla131624322122233526272822122232[[#This Row],[COMISIONES]]*0.21</f>
        <v>0</v>
      </c>
      <c r="D25" s="3">
        <f>Tabla131624322122233526272822122232[[#This Row],[COMISIONES]]*0.105</f>
        <v>0</v>
      </c>
      <c r="E25" s="3"/>
      <c r="F25" s="3"/>
      <c r="H25" s="11"/>
      <c r="I25" s="11">
        <f>Tabla391725353132334536373833132333[[#This Row],[COMISIONES]]*0.21</f>
        <v>0</v>
      </c>
      <c r="J25" s="11"/>
      <c r="K25" s="11"/>
      <c r="L25" s="11"/>
      <c r="N25" s="11"/>
      <c r="O25" s="11">
        <f>Tabla35101826364142444546474844142434[[#This Row],[COMISIONES]]*0.21</f>
        <v>0</v>
      </c>
      <c r="P25" s="11"/>
      <c r="Q25" s="11"/>
      <c r="R25" s="11"/>
      <c r="T25" s="11"/>
      <c r="U25" s="11">
        <f>Tabla356111927375152545556575855152535[[#This Row],[COMISIONES]]*0.21</f>
        <v>0</v>
      </c>
      <c r="V25" s="11"/>
      <c r="W25" s="11"/>
      <c r="X25" s="11"/>
      <c r="Z25" s="3">
        <v>3266.9</v>
      </c>
      <c r="AA25" s="11">
        <f>Tabla3568132129397172747576777877172737[[#This Row],[COMISIONES]]*0.21</f>
        <v>686.04899999999998</v>
      </c>
      <c r="AB25" s="11"/>
      <c r="AC25" s="1">
        <v>6003.49</v>
      </c>
      <c r="AD25" s="11"/>
      <c r="AF25" s="11"/>
      <c r="AG25" s="11">
        <f>Tabla356813142230408182848586878888182838[[#This Row],[COMISIONES]]*0.21</f>
        <v>0</v>
      </c>
      <c r="AH25" s="11"/>
      <c r="AI25" s="11"/>
      <c r="AJ25" s="11"/>
      <c r="AK25" s="11"/>
      <c r="AL25" s="11">
        <f>Tabla3561119273443112131516171819111213141[[#This Row],[COMISIONES]]*0.21</f>
        <v>0</v>
      </c>
      <c r="AM25" s="11"/>
      <c r="AN25" s="11"/>
      <c r="AO25" s="11"/>
    </row>
    <row r="26" spans="2:41" x14ac:dyDescent="0.25">
      <c r="B26" s="3"/>
      <c r="C26" s="2">
        <f>Tabla131624322122233526272822122232[[#This Row],[COMISIONES]]*0.21</f>
        <v>0</v>
      </c>
      <c r="D26" s="3">
        <f>Tabla131624322122233526272822122232[[#This Row],[COMISIONES]]*0.105</f>
        <v>0</v>
      </c>
      <c r="E26" s="3"/>
      <c r="F26" s="3"/>
      <c r="H26" s="11"/>
      <c r="I26" s="11">
        <f>Tabla391725353132334536373833132333[[#This Row],[COMISIONES]]*0.21</f>
        <v>0</v>
      </c>
      <c r="J26" s="11"/>
      <c r="K26" s="11"/>
      <c r="L26" s="11"/>
      <c r="N26" s="11"/>
      <c r="O26" s="11">
        <f>Tabla35101826364142444546474844142434[[#This Row],[COMISIONES]]*0.21</f>
        <v>0</v>
      </c>
      <c r="P26" s="11"/>
      <c r="Q26" s="11"/>
      <c r="R26" s="11"/>
      <c r="T26" s="11"/>
      <c r="U26" s="11">
        <f>Tabla356111927375152545556575855152535[[#This Row],[COMISIONES]]*0.21</f>
        <v>0</v>
      </c>
      <c r="V26" s="11"/>
      <c r="W26" s="11"/>
      <c r="X26" s="11"/>
      <c r="Z26" s="3">
        <v>17835.490000000002</v>
      </c>
      <c r="AA26" s="11">
        <f>Tabla3568132129397172747576777877172737[[#This Row],[COMISIONES]]*0.21</f>
        <v>3745.4529000000002</v>
      </c>
      <c r="AB26" s="11"/>
      <c r="AC26" s="1">
        <v>930.31</v>
      </c>
      <c r="AD26" s="11"/>
      <c r="AF26" s="4">
        <f>SUBTOTAL(109,Tabla356813142230408182848586878888182838[COMISIONES])</f>
        <v>348324.14</v>
      </c>
      <c r="AG26" s="4">
        <f>SUBTOTAL(109,Tabla356813142230408182848586878888182838[IVA 21])</f>
        <v>73148.069399999993</v>
      </c>
      <c r="AH26" s="4">
        <f>SUBTOTAL(109,Tabla356813142230408182848586878888182838[IVA 10,5])</f>
        <v>0</v>
      </c>
      <c r="AI26" s="4">
        <f>SUBTOTAL(109,Tabla356813142230408182848586878888182838[Ret IIBB Caba])</f>
        <v>393606.68</v>
      </c>
      <c r="AJ26" s="4">
        <f>SUBTOTAL(109,Tabla356813142230408182848586878888182838[PERC IVA])</f>
        <v>0</v>
      </c>
      <c r="AK26" s="11"/>
      <c r="AL26" s="11">
        <f>Tabla3561119273443112131516171819111213141[[#This Row],[COMISIONES]]*0.21</f>
        <v>0</v>
      </c>
      <c r="AM26" s="11"/>
      <c r="AN26" s="11"/>
      <c r="AO26" s="11"/>
    </row>
    <row r="27" spans="2:41" x14ac:dyDescent="0.25">
      <c r="B27" s="3"/>
      <c r="C27" s="2">
        <f>Tabla131624322122233526272822122232[[#This Row],[COMISIONES]]*0.21</f>
        <v>0</v>
      </c>
      <c r="D27" s="3">
        <f>Tabla131624322122233526272822122232[[#This Row],[COMISIONES]]*0.105</f>
        <v>0</v>
      </c>
      <c r="E27" s="3"/>
      <c r="F27" s="3"/>
      <c r="H27" s="11"/>
      <c r="I27" s="11">
        <f>Tabla391725353132334536373833132333[[#This Row],[COMISIONES]]*0.21</f>
        <v>0</v>
      </c>
      <c r="J27" s="11"/>
      <c r="K27" s="11"/>
      <c r="L27" s="11"/>
      <c r="N27" s="11"/>
      <c r="O27" s="11">
        <f>Tabla35101826364142444546474844142434[[#This Row],[COMISIONES]]*0.21</f>
        <v>0</v>
      </c>
      <c r="P27" s="11"/>
      <c r="Q27" s="11"/>
      <c r="R27" s="11"/>
      <c r="T27" s="11"/>
      <c r="U27" s="11">
        <f>Tabla356111927375152545556575855152535[[#This Row],[COMISIONES]]*0.21</f>
        <v>0</v>
      </c>
      <c r="V27" s="11"/>
      <c r="W27" s="11"/>
      <c r="X27" s="11"/>
      <c r="Z27" s="3">
        <v>65350.9</v>
      </c>
      <c r="AA27" s="11" t="s">
        <v>18</v>
      </c>
      <c r="AB27" s="11">
        <v>5790.11</v>
      </c>
      <c r="AC27" s="1">
        <v>83728.160000000003</v>
      </c>
      <c r="AK27" s="11"/>
      <c r="AL27" s="11">
        <f>Tabla3561119273443112131516171819111213141[[#This Row],[COMISIONES]]*0.21</f>
        <v>0</v>
      </c>
      <c r="AM27" s="11"/>
      <c r="AN27" s="11"/>
      <c r="AO27" s="11"/>
    </row>
    <row r="28" spans="2:41" x14ac:dyDescent="0.25">
      <c r="B28" s="3"/>
      <c r="C28" s="2">
        <f>Tabla131624322122233526272822122232[[#This Row],[COMISIONES]]*0.21</f>
        <v>0</v>
      </c>
      <c r="D28" s="3">
        <f>Tabla131624322122233526272822122232[[#This Row],[COMISIONES]]*0.105</f>
        <v>0</v>
      </c>
      <c r="E28" s="3"/>
      <c r="F28" s="3"/>
      <c r="H28" s="11"/>
      <c r="I28" s="11">
        <f>Tabla391725353132334536373833132333[[#This Row],[COMISIONES]]*0.21</f>
        <v>0</v>
      </c>
      <c r="J28" s="11"/>
      <c r="K28" s="11"/>
      <c r="L28" s="11"/>
      <c r="N28" s="11"/>
      <c r="O28" s="11">
        <f>Tabla35101826364142444546474844142434[[#This Row],[COMISIONES]]*0.21</f>
        <v>0</v>
      </c>
      <c r="P28" s="11"/>
      <c r="Q28" s="11"/>
      <c r="R28" s="11"/>
      <c r="T28" s="11"/>
      <c r="U28" s="11">
        <f>Tabla356111927375152545556575855152535[[#This Row],[COMISIONES]]*0.21</f>
        <v>0</v>
      </c>
      <c r="V28" s="11"/>
      <c r="W28" s="11"/>
      <c r="X28" s="11"/>
      <c r="Z28" s="3">
        <v>876.24</v>
      </c>
      <c r="AA28" s="11">
        <f>Tabla3568132129397172747576777877172737[[#This Row],[COMISIONES]]*0.21</f>
        <v>184.0104</v>
      </c>
      <c r="AB28" s="1"/>
      <c r="AC28" s="1">
        <v>273.47000000000003</v>
      </c>
      <c r="AD28" s="11"/>
      <c r="AK28" s="11"/>
      <c r="AL28" s="11">
        <f>Tabla3561119273443112131516171819111213141[[#This Row],[COMISIONES]]*0.21</f>
        <v>0</v>
      </c>
      <c r="AM28" s="11"/>
      <c r="AN28" s="11"/>
      <c r="AO28" s="11"/>
    </row>
    <row r="29" spans="2:41" x14ac:dyDescent="0.25">
      <c r="B29" s="3"/>
      <c r="C29" s="2">
        <f>Tabla131624322122233526272822122232[[#This Row],[COMISIONES]]*0.21</f>
        <v>0</v>
      </c>
      <c r="D29" s="3">
        <f>Tabla131624322122233526272822122232[[#This Row],[COMISIONES]]*0.105</f>
        <v>0</v>
      </c>
      <c r="E29" s="3"/>
      <c r="F29" s="3"/>
      <c r="H29" s="11"/>
      <c r="I29" s="11">
        <f>Tabla391725353132334536373833132333[[#This Row],[COMISIONES]]*0.21</f>
        <v>0</v>
      </c>
      <c r="J29" s="11"/>
      <c r="K29" s="11"/>
      <c r="L29" s="11"/>
      <c r="N29" s="11"/>
      <c r="O29" s="11">
        <f>Tabla35101826364142444546474844142434[[#This Row],[COMISIONES]]*0.21</f>
        <v>0</v>
      </c>
      <c r="P29" s="11"/>
      <c r="Q29" s="11"/>
      <c r="R29" s="11"/>
      <c r="T29" s="18"/>
      <c r="U29" s="18">
        <f>Tabla356111927375152545556575855152535[[#This Row],[COMISIONES]]*0.21</f>
        <v>0</v>
      </c>
      <c r="V29" s="18"/>
      <c r="W29" s="18"/>
      <c r="X29" s="18"/>
      <c r="Z29" s="3">
        <v>8679.1</v>
      </c>
      <c r="AA29" s="11">
        <f>Tabla3568132129397172747576777877172737[[#This Row],[COMISIONES]]*0.21</f>
        <v>1822.6110000000001</v>
      </c>
      <c r="AB29" s="1"/>
      <c r="AC29">
        <v>24612.55</v>
      </c>
      <c r="AD29" s="11"/>
      <c r="AK29" s="18"/>
      <c r="AL29" s="18">
        <f>Tabla3561119273443112131516171819111213141[[#This Row],[COMISIONES]]*0.21</f>
        <v>0</v>
      </c>
      <c r="AM29" s="18"/>
      <c r="AN29" s="18"/>
      <c r="AO29" s="18"/>
    </row>
    <row r="30" spans="2:41" x14ac:dyDescent="0.25">
      <c r="B30" s="3"/>
      <c r="C30" s="2">
        <f>Tabla131624322122233526272822122232[[#This Row],[COMISIONES]]*0.21</f>
        <v>0</v>
      </c>
      <c r="D30" s="3">
        <f>Tabla131624322122233526272822122232[[#This Row],[COMISIONES]]*0.105</f>
        <v>0</v>
      </c>
      <c r="E30" s="3"/>
      <c r="F30" s="3"/>
      <c r="H30" s="11"/>
      <c r="I30" s="11">
        <f>Tabla391725353132334536373833132333[[#This Row],[COMISIONES]]*0.21</f>
        <v>0</v>
      </c>
      <c r="J30" s="11"/>
      <c r="K30" s="11"/>
      <c r="L30" s="11"/>
      <c r="N30" s="11"/>
      <c r="O30" s="11">
        <f>Tabla35101826364142444546474844142434[[#This Row],[COMISIONES]]*0.21</f>
        <v>0</v>
      </c>
      <c r="P30" s="11"/>
      <c r="Q30" s="11"/>
      <c r="R30" s="11"/>
      <c r="T30" s="18"/>
      <c r="U30" s="18">
        <f>Tabla356111927375152545556575855152535[[#This Row],[COMISIONES]]*0.21</f>
        <v>0</v>
      </c>
      <c r="V30" s="18"/>
      <c r="W30" s="18"/>
      <c r="X30" s="18"/>
      <c r="Z30" s="3">
        <v>16689.55</v>
      </c>
      <c r="AA30" s="11">
        <f>Tabla3568132129397172747576777877172737[[#This Row],[COMISIONES]]*0.21</f>
        <v>3504.8054999999999</v>
      </c>
      <c r="AB30" s="11"/>
      <c r="AC30" s="11">
        <v>107.09</v>
      </c>
      <c r="AD30" s="11"/>
      <c r="AK30" s="18"/>
      <c r="AL30" s="18">
        <f>Tabla3561119273443112131516171819111213141[[#This Row],[COMISIONES]]*0.21</f>
        <v>0</v>
      </c>
      <c r="AM30" s="18"/>
      <c r="AN30" s="18"/>
      <c r="AO30" s="18"/>
    </row>
    <row r="31" spans="2:41" x14ac:dyDescent="0.25">
      <c r="B31" s="3"/>
      <c r="C31" s="2">
        <f>Tabla131624322122233526272822122232[[#This Row],[COMISIONES]]*0.21</f>
        <v>0</v>
      </c>
      <c r="D31" s="3">
        <f>Tabla131624322122233526272822122232[[#This Row],[COMISIONES]]*0.105</f>
        <v>0</v>
      </c>
      <c r="E31" s="1"/>
      <c r="F31" s="3"/>
      <c r="H31" s="11"/>
      <c r="I31" s="11">
        <f>Tabla391725353132334536373833132333[[#This Row],[COMISIONES]]*0.21</f>
        <v>0</v>
      </c>
      <c r="J31" s="11"/>
      <c r="K31" s="11"/>
      <c r="L31" s="11"/>
      <c r="N31" s="11"/>
      <c r="O31" s="11">
        <f>Tabla35101826364142444546474844142434[[#This Row],[COMISIONES]]*0.21</f>
        <v>0</v>
      </c>
      <c r="P31" s="11"/>
      <c r="Q31" s="11"/>
      <c r="R31" s="11"/>
      <c r="T31" s="4">
        <f>SUBTOTAL(109,Tabla356111927375152545556575855152535[COMISIONES])</f>
        <v>48001.91</v>
      </c>
      <c r="U31" s="4">
        <f>SUBTOTAL(109,Tabla356111927375152545556575855152535[IVA 21])</f>
        <v>10080</v>
      </c>
      <c r="V31" s="4">
        <f>SUBTOTAL(109,Tabla356111927375152545556575855152535[IVA 10,5])</f>
        <v>0.20054999999999998</v>
      </c>
      <c r="W31" s="4">
        <f>SUBTOTAL(109,Tabla356111927375152545556575855152535[Ret IIBB Caba])</f>
        <v>2880</v>
      </c>
      <c r="X31" s="4">
        <f>SUBTOTAL(109,Tabla356111927375152545556575855152535[PERC IVA])</f>
        <v>1440</v>
      </c>
      <c r="Z31" s="3">
        <v>5690.11</v>
      </c>
      <c r="AA31" s="11"/>
      <c r="AB31" s="11">
        <f>Tabla3568132129397172747576777877172737[[#This Row],[COMISIONES]]*0.105</f>
        <v>597.46154999999999</v>
      </c>
      <c r="AC31" s="1">
        <v>9638.17</v>
      </c>
      <c r="AK31" s="4">
        <f>SUBTOTAL(109,Tabla3561119273443112131516171819111213141[COMISIONES])</f>
        <v>3966.94</v>
      </c>
      <c r="AL31" s="4">
        <f>SUBTOTAL(109,Tabla3561119273443112131516171819111213141[IVA 21])</f>
        <v>833.05740000000003</v>
      </c>
      <c r="AM31" s="4">
        <f>SUBTOTAL(109,Tabla3561119273443112131516171819111213141[IVA 10,5])</f>
        <v>0</v>
      </c>
      <c r="AN31" s="4">
        <f>SUBTOTAL(109,Tabla3561119273443112131516171819111213141[Ret IIBB Caba])</f>
        <v>532.20000000000005</v>
      </c>
      <c r="AO31" s="4">
        <f>SUBTOTAL(109,Tabla3561119273443112131516171819111213141[PERC IVA])</f>
        <v>119.01</v>
      </c>
    </row>
    <row r="32" spans="2:41" ht="18.75" x14ac:dyDescent="0.3">
      <c r="B32" s="3"/>
      <c r="C32" s="2">
        <f>Tabla131624322122233526272822122232[[#This Row],[COMISIONES]]*0.21</f>
        <v>0</v>
      </c>
      <c r="D32" s="3">
        <f>Tabla131624322122233526272822122232[[#This Row],[COMISIONES]]*0.105</f>
        <v>0</v>
      </c>
      <c r="E32" s="3"/>
      <c r="F32" s="3"/>
      <c r="H32" s="11"/>
      <c r="I32" s="11">
        <f>Tabla391725353132334536373833132333[[#This Row],[COMISIONES]]*0.21</f>
        <v>0</v>
      </c>
      <c r="J32" s="11"/>
      <c r="K32" s="11"/>
      <c r="L32" s="11"/>
      <c r="N32" s="11"/>
      <c r="O32" s="11">
        <f>Tabla35101826364142444546474844142434[[#This Row],[COMISIONES]]*0.21</f>
        <v>0</v>
      </c>
      <c r="P32" s="11"/>
      <c r="Q32" s="11"/>
      <c r="R32" s="11"/>
      <c r="T32" s="52" t="s">
        <v>9</v>
      </c>
      <c r="U32" s="52"/>
      <c r="V32" s="52"/>
      <c r="W32" s="52"/>
      <c r="X32" s="52"/>
      <c r="Z32" s="3">
        <v>389.12</v>
      </c>
      <c r="AA32" s="11">
        <f>Tabla3568132129397172747576777877172737[[#This Row],[COMISIONES]]*0.21</f>
        <v>81.715199999999996</v>
      </c>
      <c r="AB32" s="1"/>
      <c r="AC32" s="11">
        <v>14523.17</v>
      </c>
      <c r="AD32" s="11"/>
    </row>
    <row r="33" spans="2:31" x14ac:dyDescent="0.25">
      <c r="B33" s="3"/>
      <c r="C33" s="2">
        <f>Tabla131624322122233526272822122232[[#This Row],[COMISIONES]]*0.21</f>
        <v>0</v>
      </c>
      <c r="D33" s="3">
        <f>Tabla131624322122233526272822122232[[#This Row],[COMISIONES]]*0.105</f>
        <v>0</v>
      </c>
      <c r="E33" s="3"/>
      <c r="F33" s="3"/>
      <c r="H33" s="11"/>
      <c r="I33" s="11">
        <f>Tabla391725353132334536373833132333[[#This Row],[COMISIONES]]*0.21</f>
        <v>0</v>
      </c>
      <c r="J33" s="11"/>
      <c r="K33" s="11"/>
      <c r="L33" s="11"/>
      <c r="N33" s="11"/>
      <c r="O33" s="11">
        <f>Tabla35101826364142444546474844142434[[#This Row],[COMISIONES]]*0.21</f>
        <v>0</v>
      </c>
      <c r="P33" s="11"/>
      <c r="Q33" s="11"/>
      <c r="R33" s="11"/>
      <c r="T33" s="12" t="s">
        <v>2</v>
      </c>
      <c r="U33" s="13" t="s">
        <v>0</v>
      </c>
      <c r="V33" s="13" t="s">
        <v>1</v>
      </c>
      <c r="W33" s="13" t="s">
        <v>3</v>
      </c>
      <c r="X33" s="13" t="s">
        <v>4</v>
      </c>
      <c r="Z33" s="3">
        <v>6384.6</v>
      </c>
      <c r="AA33" s="11">
        <f>Tabla3568132129397172747576777877172737[[#This Row],[COMISIONES]]*0.21</f>
        <v>1340.7660000000001</v>
      </c>
      <c r="AB33" s="29"/>
      <c r="AC33" s="11">
        <v>161.37</v>
      </c>
      <c r="AD33" s="11"/>
    </row>
    <row r="34" spans="2:31" x14ac:dyDescent="0.25">
      <c r="B34" s="3"/>
      <c r="C34" s="2">
        <f>Tabla131624322122233526272822122232[[#This Row],[COMISIONES]]*0.21</f>
        <v>0</v>
      </c>
      <c r="D34" s="3">
        <f>Tabla131624322122233526272822122232[[#This Row],[COMISIONES]]*0.105</f>
        <v>0</v>
      </c>
      <c r="E34" s="3"/>
      <c r="F34" s="3"/>
      <c r="H34" s="11"/>
      <c r="I34" s="11">
        <f>Tabla391725353132334536373833132333[[#This Row],[COMISIONES]]*0.21</f>
        <v>0</v>
      </c>
      <c r="J34" s="11"/>
      <c r="K34" s="11"/>
      <c r="L34" s="11"/>
      <c r="N34" s="11"/>
      <c r="O34" s="11">
        <f>Tabla35101826364142444546474844142434[[#This Row],[COMISIONES]]*0.21</f>
        <v>0</v>
      </c>
      <c r="P34" s="11"/>
      <c r="Q34" s="11"/>
      <c r="R34" s="11"/>
      <c r="T34" s="11">
        <v>10</v>
      </c>
      <c r="U34" s="11">
        <f>Tabla6122028386162646566676866162636[[#This Row],[COMISIONES]]*0.21</f>
        <v>2.1</v>
      </c>
      <c r="V34" s="11"/>
      <c r="W34" s="11">
        <v>2096.79</v>
      </c>
      <c r="X34" s="11">
        <v>524.19000000000005</v>
      </c>
      <c r="Z34" s="3">
        <v>14120.9</v>
      </c>
      <c r="AA34" s="11">
        <f>Tabla3568132129397172747576777877172737[[#This Row],[COMISIONES]]*0.21</f>
        <v>2965.3889999999997</v>
      </c>
      <c r="AB34" s="11"/>
      <c r="AC34" s="11">
        <v>35673.879999999997</v>
      </c>
      <c r="AD34" s="11"/>
    </row>
    <row r="35" spans="2:31" x14ac:dyDescent="0.25">
      <c r="B35" s="3"/>
      <c r="C35" s="2">
        <f>Tabla131624322122233526272822122232[[#This Row],[COMISIONES]]*0.21</f>
        <v>0</v>
      </c>
      <c r="D35" s="3">
        <f>Tabla131624322122233526272822122232[[#This Row],[COMISIONES]]*0.105</f>
        <v>0</v>
      </c>
      <c r="E35" s="3"/>
      <c r="F35" s="3"/>
      <c r="H35" s="11"/>
      <c r="I35" s="11">
        <f>Tabla391725353132334536373833132333[[#This Row],[COMISIONES]]*0.21</f>
        <v>0</v>
      </c>
      <c r="J35" s="11"/>
      <c r="K35" s="11"/>
      <c r="L35" s="11"/>
      <c r="N35" s="11"/>
      <c r="O35" s="11">
        <f>Tabla35101826364142444546474844142434[[#This Row],[COMISIONES]]*0.21</f>
        <v>0</v>
      </c>
      <c r="P35" s="11"/>
      <c r="Q35" s="11"/>
      <c r="R35" s="11"/>
      <c r="T35" s="11">
        <f>Tabla6122028386162646566676866162636[[#This Row],[IVA 21]]*100/21</f>
        <v>17473.238095238095</v>
      </c>
      <c r="U35" s="11">
        <v>3669.38</v>
      </c>
      <c r="V35" s="11"/>
      <c r="W35" s="11">
        <v>3138</v>
      </c>
      <c r="X35" s="11">
        <v>1569</v>
      </c>
      <c r="Z35" s="3">
        <v>255.68</v>
      </c>
      <c r="AA35" s="11">
        <f>Tabla3568132129397172747576777877172737[[#This Row],[COMISIONES]]*0.21</f>
        <v>53.692799999999998</v>
      </c>
      <c r="AB35" s="11"/>
      <c r="AC35" s="11">
        <v>396.38</v>
      </c>
      <c r="AD35" s="11"/>
    </row>
    <row r="36" spans="2:31" x14ac:dyDescent="0.25">
      <c r="B36" s="3"/>
      <c r="C36" s="2">
        <f>Tabla131624322122233526272822122232[[#This Row],[COMISIONES]]*0.21</f>
        <v>0</v>
      </c>
      <c r="D36" s="3">
        <f>Tabla131624322122233526272822122232[[#This Row],[COMISIONES]]*0.105</f>
        <v>0</v>
      </c>
      <c r="E36" s="3"/>
      <c r="F36" s="3"/>
      <c r="H36" s="11"/>
      <c r="I36" s="11">
        <f>Tabla391725353132334536373833132333[[#This Row],[COMISIONES]]*0.21</f>
        <v>0</v>
      </c>
      <c r="J36" s="11"/>
      <c r="K36" s="11"/>
      <c r="L36" s="11"/>
      <c r="N36" s="11"/>
      <c r="O36" s="11">
        <f>Tabla35101826364142444546474844142434[[#This Row],[COMISIONES]]*0.21</f>
        <v>0</v>
      </c>
      <c r="P36" s="11"/>
      <c r="Q36" s="11"/>
      <c r="R36" s="11"/>
      <c r="T36" s="11">
        <v>52300</v>
      </c>
      <c r="U36" s="11">
        <f>Tabla6122028386162646566676866162636[[#This Row],[COMISIONES]]*0.21</f>
        <v>10983</v>
      </c>
      <c r="V36" s="19" t="s">
        <v>18</v>
      </c>
      <c r="W36" s="3">
        <v>3363</v>
      </c>
      <c r="X36" s="3">
        <v>1681.5</v>
      </c>
      <c r="Z36" s="3">
        <v>242.76</v>
      </c>
      <c r="AA36" s="11">
        <f>Tabla3568132129397172747576777877172737[[#This Row],[COMISIONES]]*0.21</f>
        <v>50.979599999999998</v>
      </c>
      <c r="AB36" s="1"/>
      <c r="AC36" s="11">
        <v>54.24</v>
      </c>
      <c r="AD36" s="11"/>
    </row>
    <row r="37" spans="2:31" x14ac:dyDescent="0.25">
      <c r="B37" s="3"/>
      <c r="C37" s="2">
        <f>Tabla131624322122233526272822122232[[#This Row],[COMISIONES]]*0.21</f>
        <v>0</v>
      </c>
      <c r="D37" s="3">
        <f>Tabla131624322122233526272822122232[[#This Row],[COMISIONES]]*0.105</f>
        <v>0</v>
      </c>
      <c r="E37" s="3"/>
      <c r="F37" s="3"/>
      <c r="H37" s="11"/>
      <c r="I37" s="11">
        <f>Tabla391725353132334536373833132333[[#This Row],[COMISIONES]]*0.21</f>
        <v>0</v>
      </c>
      <c r="J37" s="11"/>
      <c r="K37" s="11"/>
      <c r="L37" s="11"/>
      <c r="N37" s="11"/>
      <c r="O37" s="11">
        <f>Tabla35101826364142444546474844142434[[#This Row],[COMISIONES]]*0.21</f>
        <v>0</v>
      </c>
      <c r="P37" s="11"/>
      <c r="Q37" s="11"/>
      <c r="R37" s="11"/>
      <c r="T37" s="11">
        <v>56050</v>
      </c>
      <c r="U37" s="19">
        <f>Tabla6122028386162646566676866162636[[#This Row],[COMISIONES]]*0.21</f>
        <v>11770.5</v>
      </c>
      <c r="Z37" s="3">
        <v>3327.62</v>
      </c>
      <c r="AA37" s="11">
        <f>Tabla3568132129397172747576777877172737[[#This Row],[COMISIONES]]*0.21</f>
        <v>698.8001999999999</v>
      </c>
      <c r="AB37" s="11"/>
      <c r="AC37" s="21">
        <v>4881.1400000000003</v>
      </c>
      <c r="AD37" s="22"/>
    </row>
    <row r="38" spans="2:31" x14ac:dyDescent="0.25">
      <c r="B38" s="3"/>
      <c r="C38" s="2">
        <f>Tabla131624322122233526272822122232[[#This Row],[COMISIONES]]*0.21</f>
        <v>0</v>
      </c>
      <c r="D38" s="3">
        <f>Tabla131624322122233526272822122232[[#This Row],[COMISIONES]]*0.105</f>
        <v>0</v>
      </c>
      <c r="E38" s="3"/>
      <c r="F38" s="3"/>
      <c r="H38" s="11"/>
      <c r="I38" s="11">
        <f>Tabla391725353132334536373833132333[[#This Row],[COMISIONES]]*0.21</f>
        <v>0</v>
      </c>
      <c r="J38" s="11"/>
      <c r="K38" s="11"/>
      <c r="L38" s="11"/>
      <c r="N38" s="11"/>
      <c r="O38" s="11">
        <f>Tabla35101826364142444546474844142434[[#This Row],[COMISIONES]]*0.21</f>
        <v>0</v>
      </c>
      <c r="P38" s="11"/>
      <c r="Q38" s="11"/>
      <c r="R38" s="11"/>
      <c r="T38" s="11">
        <v>300</v>
      </c>
      <c r="U38" s="19">
        <f>Tabla6122028386162646566676866162636[[#This Row],[COMISIONES]]*0.21</f>
        <v>63</v>
      </c>
      <c r="Z38" s="3">
        <v>59549.46</v>
      </c>
      <c r="AA38" s="11">
        <f>Tabla3568132129397172747576777877172737[[#This Row],[COMISIONES]]*0.21</f>
        <v>12505.3866</v>
      </c>
      <c r="AB38" s="1"/>
      <c r="AC38" s="1">
        <v>428.7</v>
      </c>
    </row>
    <row r="39" spans="2:31" x14ac:dyDescent="0.25">
      <c r="B39" s="3"/>
      <c r="C39" s="2">
        <f>Tabla131624322122233526272822122232[[#This Row],[COMISIONES]]*0.21</f>
        <v>0</v>
      </c>
      <c r="D39" s="3">
        <f>Tabla131624322122233526272822122232[[#This Row],[COMISIONES]]*0.105</f>
        <v>0</v>
      </c>
      <c r="E39" s="3"/>
      <c r="F39" s="3"/>
      <c r="H39" s="11"/>
      <c r="I39" s="11">
        <f>Tabla391725353132334536373833132333[[#This Row],[COMISIONES]]*0.21</f>
        <v>0</v>
      </c>
      <c r="J39" s="11"/>
      <c r="K39" s="11"/>
      <c r="L39" s="11"/>
      <c r="N39" s="11"/>
      <c r="O39" s="11">
        <f>Tabla35101826364142444546474844142434[[#This Row],[COMISIONES]]*0.21</f>
        <v>0</v>
      </c>
      <c r="P39" s="11"/>
      <c r="Q39" s="11"/>
      <c r="R39" s="11"/>
      <c r="T39" s="11">
        <v>300</v>
      </c>
      <c r="U39" s="19">
        <f>Tabla6122028386162646566676866162636[[#This Row],[COMISIONES]]*0.21</f>
        <v>63</v>
      </c>
      <c r="V39" s="19"/>
      <c r="Z39" s="3">
        <v>214758.71</v>
      </c>
      <c r="AA39" s="11">
        <v>33456.83</v>
      </c>
      <c r="AB39" s="21">
        <v>5821.26</v>
      </c>
      <c r="AC39" s="21">
        <v>38583.370000000003</v>
      </c>
      <c r="AD39" s="21"/>
    </row>
    <row r="40" spans="2:31" x14ac:dyDescent="0.25">
      <c r="B40" s="3"/>
      <c r="C40" s="2">
        <f>Tabla131624322122233526272822122232[[#This Row],[COMISIONES]]*0.21</f>
        <v>0</v>
      </c>
      <c r="D40" s="3">
        <f>Tabla131624322122233526272822122232[[#This Row],[COMISIONES]]*0.105</f>
        <v>0</v>
      </c>
      <c r="E40" s="3"/>
      <c r="F40" s="3"/>
      <c r="H40" s="11"/>
      <c r="I40" s="11">
        <f>Tabla391725353132334536373833132333[[#This Row],[COMISIONES]]*0.21</f>
        <v>0</v>
      </c>
      <c r="J40" s="11"/>
      <c r="K40" s="11"/>
      <c r="L40" s="11"/>
      <c r="N40" s="11"/>
      <c r="O40" s="11">
        <f>Tabla35101826364142444546474844142434[[#This Row],[COMISIONES]]*0.21</f>
        <v>0</v>
      </c>
      <c r="P40" s="11"/>
      <c r="Q40" s="11"/>
      <c r="R40" s="11"/>
      <c r="T40" s="11">
        <v>300</v>
      </c>
      <c r="U40" s="19">
        <f>Tabla6122028386162646566676866162636[[#This Row],[COMISIONES]]*0.21</f>
        <v>63</v>
      </c>
      <c r="Z40" s="3">
        <v>1515.4</v>
      </c>
      <c r="AA40" s="11">
        <f>Tabla3568132129397172747576777877172737[[#This Row],[COMISIONES]]*0.21</f>
        <v>318.23399999999998</v>
      </c>
      <c r="AB40" s="21"/>
      <c r="AC40" s="21">
        <v>398.44</v>
      </c>
      <c r="AD40" s="21"/>
    </row>
    <row r="41" spans="2:31" x14ac:dyDescent="0.25">
      <c r="B41" s="3"/>
      <c r="C41" s="2">
        <f>Tabla131624322122233526272822122232[[#This Row],[COMISIONES]]*0.21</f>
        <v>0</v>
      </c>
      <c r="D41" s="3">
        <f>Tabla131624322122233526272822122232[[#This Row],[COMISIONES]]*0.105</f>
        <v>0</v>
      </c>
      <c r="E41" s="3"/>
      <c r="F41" s="3"/>
      <c r="H41" s="18"/>
      <c r="I41" s="18">
        <f>Tabla391725353132334536373833132333[[#This Row],[COMISIONES]]*0.21</f>
        <v>0</v>
      </c>
      <c r="J41" s="18"/>
      <c r="K41" s="18"/>
      <c r="L41" s="18"/>
      <c r="N41" s="11"/>
      <c r="O41" s="11">
        <f>Tabla35101826364142444546474844142434[[#This Row],[COMISIONES]]*0.21</f>
        <v>0</v>
      </c>
      <c r="P41" s="11"/>
      <c r="Q41" s="11"/>
      <c r="R41" s="11"/>
      <c r="T41" s="11">
        <v>300</v>
      </c>
      <c r="U41" s="19">
        <f>Tabla6122028386162646566676866162636[[#This Row],[COMISIONES]]*0.21</f>
        <v>63</v>
      </c>
      <c r="Z41" s="3">
        <v>9127.5300000000007</v>
      </c>
      <c r="AA41" s="11">
        <f>Tabla3568132129397172747576777877172737[[#This Row],[COMISIONES]]*0.21</f>
        <v>1916.7813000000001</v>
      </c>
      <c r="AB41" s="21"/>
      <c r="AC41" s="21">
        <v>35859.99</v>
      </c>
      <c r="AD41" s="21"/>
    </row>
    <row r="42" spans="2:31" x14ac:dyDescent="0.25">
      <c r="B42" s="3"/>
      <c r="C42" s="2">
        <f>Tabla131624322122233526272822122232[[#This Row],[COMISIONES]]*0.21</f>
        <v>0</v>
      </c>
      <c r="D42" s="3">
        <f>Tabla131624322122233526272822122232[[#This Row],[COMISIONES]]*0.105</f>
        <v>0</v>
      </c>
      <c r="E42" s="3"/>
      <c r="F42" s="3"/>
      <c r="H42" s="18"/>
      <c r="I42" s="18">
        <f>Tabla391725353132334536373833132333[[#This Row],[COMISIONES]]*0.21</f>
        <v>0</v>
      </c>
      <c r="J42" s="18"/>
      <c r="K42" s="18"/>
      <c r="L42" s="18"/>
      <c r="N42" s="11"/>
      <c r="O42" s="11">
        <f>Tabla35101826364142444546474844142434[[#This Row],[COMISIONES]]*0.21</f>
        <v>0</v>
      </c>
      <c r="P42" s="11"/>
      <c r="Q42" s="11"/>
      <c r="R42" s="11"/>
      <c r="T42" s="11">
        <v>300</v>
      </c>
      <c r="U42" s="19">
        <f>Tabla6122028386162646566676866162636[[#This Row],[COMISIONES]]*0.21</f>
        <v>63</v>
      </c>
      <c r="Z42" s="3">
        <v>10090.5</v>
      </c>
      <c r="AA42" s="11">
        <f>Tabla3568132129397172747576777877172737[[#This Row],[COMISIONES]]*0.21</f>
        <v>2119.0050000000001</v>
      </c>
      <c r="AB42" s="21"/>
      <c r="AC42" s="21">
        <v>24.08</v>
      </c>
      <c r="AD42" s="21"/>
    </row>
    <row r="43" spans="2:31" x14ac:dyDescent="0.25">
      <c r="B43" s="3"/>
      <c r="C43" s="2">
        <f>Tabla131624322122233526272822122232[[#This Row],[COMISIONES]]*0.21</f>
        <v>0</v>
      </c>
      <c r="D43" s="3">
        <f>Tabla131624322122233526272822122232[[#This Row],[COMISIONES]]*0.105</f>
        <v>0</v>
      </c>
      <c r="E43" s="3"/>
      <c r="F43" s="3"/>
      <c r="G43" s="8"/>
      <c r="H43" s="18"/>
      <c r="I43" s="18">
        <f>Tabla391725353132334536373833132333[[#This Row],[COMISIONES]]*0.21</f>
        <v>0</v>
      </c>
      <c r="J43" s="18"/>
      <c r="K43" s="18"/>
      <c r="L43" s="18"/>
      <c r="M43" s="8"/>
      <c r="N43" s="11"/>
      <c r="O43" s="11">
        <f>Tabla35101826364142444546474844142434[[#This Row],[COMISIONES]]*0.21</f>
        <v>0</v>
      </c>
      <c r="P43" s="11"/>
      <c r="Q43" s="11"/>
      <c r="R43" s="11"/>
      <c r="S43" s="8"/>
      <c r="T43" s="11">
        <v>300</v>
      </c>
      <c r="U43" s="19">
        <f>Tabla6122028386162646566676866162636[[#This Row],[COMISIONES]]*0.21</f>
        <v>63</v>
      </c>
      <c r="Y43" s="8"/>
      <c r="Z43" s="3">
        <v>1363.82</v>
      </c>
      <c r="AA43" s="11">
        <f>Tabla3568132129397172747576777877172737[[#This Row],[COMISIONES]]*0.21</f>
        <v>286.40219999999999</v>
      </c>
      <c r="AB43" s="21"/>
      <c r="AC43" s="21">
        <v>2167.61</v>
      </c>
      <c r="AD43" s="21"/>
      <c r="AE43" s="8"/>
    </row>
    <row r="44" spans="2:31" x14ac:dyDescent="0.25">
      <c r="B44" s="3"/>
      <c r="C44" s="2">
        <f>Tabla131624322122233526272822122232[[#This Row],[COMISIONES]]*0.21</f>
        <v>0</v>
      </c>
      <c r="D44" s="3">
        <f>Tabla131624322122233526272822122232[[#This Row],[COMISIONES]]*0.105</f>
        <v>0</v>
      </c>
      <c r="E44" s="3"/>
      <c r="F44" s="3"/>
      <c r="H44" s="18"/>
      <c r="I44" s="18">
        <f>Tabla391725353132334536373833132333[[#This Row],[COMISIONES]]*0.21</f>
        <v>0</v>
      </c>
      <c r="J44" s="18"/>
      <c r="K44" s="18"/>
      <c r="L44" s="18"/>
      <c r="N44" s="11"/>
      <c r="O44" s="11">
        <f>Tabla35101826364142444546474844142434[[#This Row],[COMISIONES]]*0.21</f>
        <v>0</v>
      </c>
      <c r="P44" s="11"/>
      <c r="Q44" s="11"/>
      <c r="R44" s="11"/>
      <c r="T44">
        <v>300</v>
      </c>
      <c r="U44" s="19">
        <f>Tabla6122028386162646566676866162636[[#This Row],[COMISIONES]]*0.21</f>
        <v>63</v>
      </c>
      <c r="Z44" s="3">
        <v>14546.95</v>
      </c>
      <c r="AA44" s="11">
        <f>Tabla3568132129397172747576777877172737[[#This Row],[COMISIONES]]*0.21</f>
        <v>3054.8595</v>
      </c>
      <c r="AB44" s="21"/>
      <c r="AC44" s="21">
        <v>28383.06</v>
      </c>
      <c r="AD44" s="21"/>
    </row>
    <row r="45" spans="2:31" x14ac:dyDescent="0.25">
      <c r="B45" s="3"/>
      <c r="C45" s="2">
        <f>Tabla131624322122233526272822122232[[#This Row],[COMISIONES]]*0.21</f>
        <v>0</v>
      </c>
      <c r="D45" s="3">
        <f>Tabla131624322122233526272822122232[[#This Row],[COMISIONES]]*0.105</f>
        <v>0</v>
      </c>
      <c r="E45" s="3"/>
      <c r="F45" s="3"/>
      <c r="H45" s="18"/>
      <c r="I45" s="18">
        <f>Tabla391725353132334536373833132333[[#This Row],[COMISIONES]]*0.21</f>
        <v>0</v>
      </c>
      <c r="J45" s="18"/>
      <c r="K45" s="18"/>
      <c r="L45" s="18"/>
      <c r="N45" s="11"/>
      <c r="O45" s="11">
        <f>Tabla35101826364142444546474844142434[[#This Row],[COMISIONES]]*0.21</f>
        <v>0</v>
      </c>
      <c r="P45" s="11"/>
      <c r="Q45" s="11"/>
      <c r="R45" s="11"/>
      <c r="T45">
        <v>300</v>
      </c>
      <c r="U45" s="19">
        <f>Tabla6122028386162646566676866162636[[#This Row],[COMISIONES]]*0.21</f>
        <v>63</v>
      </c>
      <c r="Z45" s="3">
        <v>29605.5</v>
      </c>
      <c r="AA45" s="11">
        <f>Tabla3568132129397172747576777877172737[[#This Row],[COMISIONES]]*0.21</f>
        <v>6217.1549999999997</v>
      </c>
      <c r="AB45" s="11" t="s">
        <v>18</v>
      </c>
      <c r="AC45" s="21">
        <v>315.37</v>
      </c>
      <c r="AD45" s="21"/>
    </row>
    <row r="46" spans="2:31" x14ac:dyDescent="0.25">
      <c r="B46" s="3"/>
      <c r="C46" s="2">
        <f>Tabla131624322122233526272822122232[[#This Row],[COMISIONES]]*0.21</f>
        <v>0</v>
      </c>
      <c r="D46" s="3">
        <f>Tabla131624322122233526272822122232[[#This Row],[COMISIONES]]*0.105</f>
        <v>0</v>
      </c>
      <c r="E46" s="3"/>
      <c r="F46" s="3"/>
      <c r="H46" s="18"/>
      <c r="I46" s="18">
        <f>Tabla391725353132334536373833132333[[#This Row],[COMISIONES]]*0.21</f>
        <v>0</v>
      </c>
      <c r="J46" s="18"/>
      <c r="K46" s="18"/>
      <c r="L46" s="18"/>
      <c r="N46" s="11"/>
      <c r="O46" s="11">
        <f>Tabla35101826364142444546474844142434[[#This Row],[COMISIONES]]*0.21</f>
        <v>0</v>
      </c>
      <c r="P46" s="11"/>
      <c r="Q46" s="11"/>
      <c r="R46" s="11"/>
      <c r="T46">
        <v>300</v>
      </c>
      <c r="U46" s="19">
        <f>Tabla6122028386162646566676866162636[[#This Row],[COMISIONES]]*0.21</f>
        <v>63</v>
      </c>
      <c r="Z46" s="3">
        <v>618.48</v>
      </c>
      <c r="AA46" s="11">
        <f>Tabla3568132129397172747576777877172737[[#This Row],[COMISIONES]]*0.21</f>
        <v>129.88079999999999</v>
      </c>
      <c r="AB46" s="21"/>
      <c r="AC46" s="21">
        <v>31003.14</v>
      </c>
      <c r="AD46" s="21"/>
    </row>
    <row r="47" spans="2:31" x14ac:dyDescent="0.25">
      <c r="B47" s="3"/>
      <c r="C47" s="2">
        <f>Tabla131624322122233526272822122232[[#This Row],[COMISIONES]]*0.21</f>
        <v>0</v>
      </c>
      <c r="D47" s="3">
        <f>Tabla131624322122233526272822122232[[#This Row],[COMISIONES]]*0.105</f>
        <v>0</v>
      </c>
      <c r="E47" s="3"/>
      <c r="F47" s="3"/>
      <c r="H47" s="18"/>
      <c r="I47" s="18">
        <f>Tabla391725353132334536373833132333[[#This Row],[COMISIONES]]*0.21</f>
        <v>0</v>
      </c>
      <c r="J47" s="18"/>
      <c r="K47" s="18"/>
      <c r="L47" s="18"/>
      <c r="N47" s="11"/>
      <c r="O47" s="11">
        <f>Tabla35101826364142444546474844142434[[#This Row],[COMISIONES]]*0.21</f>
        <v>0</v>
      </c>
      <c r="P47" s="11"/>
      <c r="Q47" s="11"/>
      <c r="R47" s="11"/>
      <c r="T47">
        <v>300</v>
      </c>
      <c r="U47" s="19">
        <f>Tabla6122028386162646566676866162636[[#This Row],[COMISIONES]]*0.21</f>
        <v>63</v>
      </c>
      <c r="Z47" s="3">
        <v>7371.8</v>
      </c>
      <c r="AA47" s="11">
        <f>Tabla3568132129397172747576777877172737[[#This Row],[COMISIONES]]*0.21</f>
        <v>1548.078</v>
      </c>
      <c r="AB47" s="21"/>
      <c r="AC47" s="21">
        <v>344.48</v>
      </c>
      <c r="AD47" s="21"/>
    </row>
    <row r="48" spans="2:31" x14ac:dyDescent="0.25">
      <c r="B48" s="3"/>
      <c r="C48" s="2">
        <f>Tabla131624322122233526272822122232[[#This Row],[COMISIONES]]*0.21</f>
        <v>0</v>
      </c>
      <c r="D48" s="3">
        <f>Tabla131624322122233526272822122232[[#This Row],[COMISIONES]]*0.105</f>
        <v>0</v>
      </c>
      <c r="E48" s="3"/>
      <c r="F48" s="3"/>
      <c r="H48" s="18"/>
      <c r="I48" s="18">
        <f>Tabla391725353132334536373833132333[[#This Row],[COMISIONES]]*0.21</f>
        <v>0</v>
      </c>
      <c r="J48" s="18"/>
      <c r="K48" s="18"/>
      <c r="L48" s="18"/>
      <c r="N48" s="11"/>
      <c r="O48" s="11">
        <f>Tabla35101826364142444546474844142434[[#This Row],[COMISIONES]]*0.21</f>
        <v>0</v>
      </c>
      <c r="P48" s="11"/>
      <c r="Q48" s="11"/>
      <c r="R48" s="11"/>
      <c r="T48">
        <v>300</v>
      </c>
      <c r="U48" s="19">
        <f>Tabla6122028386162646566676866162636[[#This Row],[COMISIONES]]*0.21</f>
        <v>63</v>
      </c>
      <c r="Z48" s="3">
        <v>33931.040000000001</v>
      </c>
      <c r="AA48" s="11">
        <f>Tabla3568132129397172747576777877172737[[#This Row],[COMISIONES]]*0.21</f>
        <v>7125.5183999999999</v>
      </c>
      <c r="AB48" s="21"/>
      <c r="AC48" s="21">
        <v>15.83</v>
      </c>
      <c r="AD48" s="21"/>
    </row>
    <row r="49" spans="1:41" x14ac:dyDescent="0.25">
      <c r="B49" s="3"/>
      <c r="C49" s="2">
        <f>Tabla131624322122233526272822122232[[#This Row],[COMISIONES]]*0.21</f>
        <v>0</v>
      </c>
      <c r="D49" s="3">
        <f>Tabla131624322122233526272822122232[[#This Row],[COMISIONES]]*0.105</f>
        <v>0</v>
      </c>
      <c r="E49" s="3"/>
      <c r="F49" s="3"/>
      <c r="H49" s="18"/>
      <c r="I49" s="18">
        <f>Tabla391725353132334536373833132333[[#This Row],[COMISIONES]]*0.21</f>
        <v>0</v>
      </c>
      <c r="J49" s="18"/>
      <c r="K49" s="18"/>
      <c r="L49" s="18"/>
      <c r="N49" s="11"/>
      <c r="O49" s="11">
        <f>Tabla35101826364142444546474844142434[[#This Row],[COMISIONES]]*0.21</f>
        <v>0</v>
      </c>
      <c r="P49" s="11"/>
      <c r="Q49" s="11"/>
      <c r="R49" s="11"/>
      <c r="T49">
        <v>300</v>
      </c>
      <c r="U49" s="19">
        <f>Tabla6122028386162646566676866162636[[#This Row],[COMISIONES]]*0.21</f>
        <v>63</v>
      </c>
      <c r="Z49" s="3">
        <v>1960.25</v>
      </c>
      <c r="AA49" s="11">
        <f>Tabla3568132129397172747576777877172737[[#This Row],[COMISIONES]]*0.21</f>
        <v>411.65249999999997</v>
      </c>
      <c r="AB49" s="1"/>
      <c r="AC49" s="21">
        <v>1424.28</v>
      </c>
      <c r="AD49" s="21"/>
    </row>
    <row r="50" spans="1:41" s="6" customFormat="1" x14ac:dyDescent="0.25">
      <c r="A50"/>
      <c r="B50" s="3"/>
      <c r="C50" s="2">
        <f>Tabla131624322122233526272822122232[[#This Row],[COMISIONES]]*0.21</f>
        <v>0</v>
      </c>
      <c r="D50" s="3">
        <f>Tabla131624322122233526272822122232[[#This Row],[COMISIONES]]*0.105</f>
        <v>0</v>
      </c>
      <c r="E50" s="3"/>
      <c r="F50" s="3"/>
      <c r="H50" s="18"/>
      <c r="I50" s="18">
        <f>Tabla391725353132334536373833132333[[#This Row],[COMISIONES]]*0.21</f>
        <v>0</v>
      </c>
      <c r="J50" s="18"/>
      <c r="K50" s="18"/>
      <c r="L50" s="18"/>
      <c r="N50" s="11"/>
      <c r="O50" s="11">
        <f>Tabla35101826364142444546474844142434[[#This Row],[COMISIONES]]*0.21</f>
        <v>0</v>
      </c>
      <c r="P50" s="11"/>
      <c r="Q50" s="11"/>
      <c r="R50" s="11"/>
      <c r="T50">
        <v>300</v>
      </c>
      <c r="U50" s="19">
        <f>Tabla6122028386162646566676866162636[[#This Row],[COMISIONES]]*0.21</f>
        <v>63</v>
      </c>
      <c r="V50"/>
      <c r="W50"/>
      <c r="X50"/>
      <c r="Z50" s="3">
        <v>12760.4</v>
      </c>
      <c r="AA50" s="11">
        <f>Tabla3568132129397172747576777877172737[[#This Row],[COMISIONES]]*0.21</f>
        <v>2679.6839999999997</v>
      </c>
      <c r="AB50" s="21"/>
      <c r="AC50" s="21">
        <v>15.03</v>
      </c>
      <c r="AD50" s="21"/>
      <c r="AF50"/>
      <c r="AG50"/>
      <c r="AH50"/>
      <c r="AI50"/>
      <c r="AJ50"/>
      <c r="AK50"/>
      <c r="AL50"/>
      <c r="AM50"/>
      <c r="AN50"/>
      <c r="AO50"/>
    </row>
    <row r="51" spans="1:41" s="6" customFormat="1" x14ac:dyDescent="0.25">
      <c r="A51"/>
      <c r="B51" s="2"/>
      <c r="C51" s="2">
        <f>Tabla131624322122233526272822122232[[#This Row],[COMISIONES]]*0.21</f>
        <v>0</v>
      </c>
      <c r="D51" s="2">
        <f>Tabla131624322122233526272822122232[[#This Row],[COMISIONES]]*0.105</f>
        <v>0</v>
      </c>
      <c r="E51" s="2"/>
      <c r="F51"/>
      <c r="H51" s="18"/>
      <c r="I51" s="18">
        <f>Tabla391725353132334536373833132333[[#This Row],[COMISIONES]]*0.21</f>
        <v>0</v>
      </c>
      <c r="J51" s="18"/>
      <c r="K51" s="18"/>
      <c r="L51" s="18"/>
      <c r="N51" s="11"/>
      <c r="O51" s="11">
        <f>Tabla35101826364142444546474844142434[[#This Row],[COMISIONES]]*0.21</f>
        <v>0</v>
      </c>
      <c r="P51" s="11"/>
      <c r="Q51" s="11"/>
      <c r="R51" s="11"/>
      <c r="T51"/>
      <c r="U51" s="19">
        <f>Tabla6122028386162646566676866162636[[#This Row],[COMISIONES]]*0.21</f>
        <v>0</v>
      </c>
      <c r="V51"/>
      <c r="W51"/>
      <c r="X51"/>
      <c r="Z51" s="3">
        <v>1139.32</v>
      </c>
      <c r="AA51" s="21">
        <f>Tabla3568132129397172747576777877172737[[#This Row],[COMISIONES]]*0.21</f>
        <v>239.25719999999998</v>
      </c>
      <c r="AB51" s="11" t="s">
        <v>18</v>
      </c>
      <c r="AC51" s="21">
        <v>1352.31</v>
      </c>
      <c r="AD51" s="21"/>
      <c r="AF51"/>
      <c r="AG51"/>
      <c r="AH51"/>
      <c r="AI51"/>
      <c r="AJ51"/>
      <c r="AK51"/>
      <c r="AL51"/>
      <c r="AM51"/>
      <c r="AN51"/>
      <c r="AO51"/>
    </row>
    <row r="52" spans="1:41" s="6" customFormat="1" x14ac:dyDescent="0.25">
      <c r="A52"/>
      <c r="B52" s="2"/>
      <c r="C52" s="2">
        <f>Tabla131624322122233526272822122232[[#This Row],[COMISIONES]]*0.21</f>
        <v>0</v>
      </c>
      <c r="D52" s="2">
        <f>Tabla131624322122233526272822122232[[#This Row],[COMISIONES]]*0.105</f>
        <v>0</v>
      </c>
      <c r="E52" s="2"/>
      <c r="F52"/>
      <c r="H52" s="18"/>
      <c r="I52" s="18">
        <f>Tabla391725353132334536373833132333[[#This Row],[COMISIONES]]*0.21</f>
        <v>0</v>
      </c>
      <c r="J52" s="18"/>
      <c r="K52" s="18"/>
      <c r="L52" s="18"/>
      <c r="N52" s="11"/>
      <c r="O52" s="11">
        <f>Tabla35101826364142444546474844142434[[#This Row],[COMISIONES]]*0.21</f>
        <v>0</v>
      </c>
      <c r="P52" s="11"/>
      <c r="Q52" s="11"/>
      <c r="R52" s="11"/>
      <c r="T52"/>
      <c r="U52" s="19">
        <f>Tabla6122028386162646566676866162636[[#This Row],[COMISIONES]]*0.21</f>
        <v>0</v>
      </c>
      <c r="V52"/>
      <c r="W52"/>
      <c r="X52"/>
      <c r="Z52" s="3">
        <v>526.08000000000004</v>
      </c>
      <c r="AA52" s="21">
        <f>Tabla3568132129397172747576777877172737[[#This Row],[COMISIONES]]*0.21</f>
        <v>110.47680000000001</v>
      </c>
      <c r="AB52" s="30"/>
      <c r="AC52" s="21">
        <v>14793.1</v>
      </c>
      <c r="AD52" s="21"/>
      <c r="AF52"/>
      <c r="AG52"/>
      <c r="AH52"/>
      <c r="AI52"/>
      <c r="AJ52"/>
      <c r="AK52"/>
      <c r="AL52"/>
      <c r="AM52"/>
      <c r="AN52"/>
      <c r="AO52"/>
    </row>
    <row r="53" spans="1:41" s="6" customFormat="1" x14ac:dyDescent="0.25">
      <c r="A53"/>
      <c r="B53" s="2"/>
      <c r="C53" s="2">
        <f>Tabla131624322122233526272822122232[[#This Row],[COMISIONES]]*0.21</f>
        <v>0</v>
      </c>
      <c r="D53" s="2">
        <f>Tabla131624322122233526272822122232[[#This Row],[COMISIONES]]*0.105</f>
        <v>0</v>
      </c>
      <c r="E53" s="2"/>
      <c r="F53"/>
      <c r="H53" s="24">
        <f>SUBTOTAL(109,Tabla391725353132334536373833132333[COMISIONES])</f>
        <v>0</v>
      </c>
      <c r="I53" s="24">
        <f>SUBTOTAL(109,Tabla391725353132334536373833132333[IVA 21])</f>
        <v>0</v>
      </c>
      <c r="J53" s="24">
        <f>SUBTOTAL(109,Tabla391725353132334536373833132333[IVA 10,5])</f>
        <v>0</v>
      </c>
      <c r="K53" s="24">
        <f>SUBTOTAL(109,Tabla391725353132334536373833132333[Ret IIBB Caba])</f>
        <v>0</v>
      </c>
      <c r="L53" s="24">
        <f>SUBTOTAL(109,Tabla391725353132334536373833132333[PERC IVA])</f>
        <v>0</v>
      </c>
      <c r="N53" s="11"/>
      <c r="O53" s="11">
        <f>Tabla35101826364142444546474844142434[[#This Row],[COMISIONES]]*0.21</f>
        <v>0</v>
      </c>
      <c r="P53" s="11"/>
      <c r="Q53" s="11"/>
      <c r="R53" s="11"/>
      <c r="T53"/>
      <c r="U53" s="19">
        <f>Tabla6122028386162646566676866162636[[#This Row],[COMISIONES]]*0.21</f>
        <v>0</v>
      </c>
      <c r="V53"/>
      <c r="W53"/>
      <c r="X53"/>
      <c r="Z53" s="3">
        <v>1455</v>
      </c>
      <c r="AA53" s="21">
        <f>Tabla3568132129397172747576777877172737[[#This Row],[COMISIONES]]*0.21</f>
        <v>305.55</v>
      </c>
      <c r="AB53" s="1"/>
      <c r="AC53" s="21">
        <v>164.37</v>
      </c>
      <c r="AD53" s="21"/>
      <c r="AF53"/>
      <c r="AG53"/>
      <c r="AH53"/>
      <c r="AI53"/>
      <c r="AJ53"/>
      <c r="AK53"/>
      <c r="AL53"/>
      <c r="AM53"/>
      <c r="AN53"/>
      <c r="AO53"/>
    </row>
    <row r="54" spans="1:41" s="6" customFormat="1" ht="18.75" x14ac:dyDescent="0.3">
      <c r="A54"/>
      <c r="B54" s="2"/>
      <c r="C54" s="2">
        <f>Tabla131624322122233526272822122232[[#This Row],[COMISIONES]]*0.21</f>
        <v>0</v>
      </c>
      <c r="D54" s="2">
        <f>Tabla131624322122233526272822122232[[#This Row],[COMISIONES]]*0.105</f>
        <v>0</v>
      </c>
      <c r="E54" s="2"/>
      <c r="F54"/>
      <c r="H54" s="52" t="s">
        <v>12</v>
      </c>
      <c r="I54" s="52"/>
      <c r="J54" s="52"/>
      <c r="K54" s="52"/>
      <c r="L54" s="52"/>
      <c r="N54" s="11"/>
      <c r="O54" s="11">
        <f>Tabla35101826364142444546474844142434[[#This Row],[COMISIONES]]*0.21</f>
        <v>0</v>
      </c>
      <c r="P54" s="11"/>
      <c r="Q54" s="11"/>
      <c r="R54" s="11"/>
      <c r="T54"/>
      <c r="U54" s="19">
        <f>Tabla6122028386162646566676866162636[[#This Row],[COMISIONES]]*0.21</f>
        <v>0</v>
      </c>
      <c r="V54"/>
      <c r="W54"/>
      <c r="X54"/>
      <c r="Z54" s="3">
        <v>11051.75</v>
      </c>
      <c r="AA54" s="21">
        <f>Tabla3568132129397172747576777877172737[[#This Row],[COMISIONES]]*0.21</f>
        <v>2320.8674999999998</v>
      </c>
      <c r="AB54" s="21"/>
      <c r="AC54" s="1">
        <v>1324.7</v>
      </c>
      <c r="AD54" s="21"/>
      <c r="AF54"/>
      <c r="AG54"/>
      <c r="AH54"/>
      <c r="AI54"/>
      <c r="AJ54"/>
      <c r="AK54"/>
      <c r="AL54"/>
      <c r="AM54"/>
      <c r="AN54"/>
      <c r="AO54"/>
    </row>
    <row r="55" spans="1:41" s="6" customFormat="1" x14ac:dyDescent="0.25">
      <c r="A55"/>
      <c r="B55" s="2"/>
      <c r="C55" s="2">
        <f>Tabla131624322122233526272822122232[[#This Row],[COMISIONES]]*0.21</f>
        <v>0</v>
      </c>
      <c r="D55" s="2">
        <f>Tabla131624322122233526272822122232[[#This Row],[COMISIONES]]*0.105</f>
        <v>0</v>
      </c>
      <c r="E55" s="2"/>
      <c r="F55"/>
      <c r="H55" s="12" t="s">
        <v>2</v>
      </c>
      <c r="I55" s="13" t="s">
        <v>0</v>
      </c>
      <c r="J55" s="13" t="s">
        <v>1</v>
      </c>
      <c r="K55" s="13" t="s">
        <v>3</v>
      </c>
      <c r="L55" s="13" t="s">
        <v>4</v>
      </c>
      <c r="N55" s="11"/>
      <c r="O55" s="11">
        <f>Tabla35101826364142444546474844142434[[#This Row],[COMISIONES]]*0.21</f>
        <v>0</v>
      </c>
      <c r="P55" s="11"/>
      <c r="Q55" s="11"/>
      <c r="R55" s="11"/>
      <c r="T55"/>
      <c r="U55" s="19">
        <f>Tabla6122028386162646566676866162636[[#This Row],[COMISIONES]]*0.21</f>
        <v>0</v>
      </c>
      <c r="V55"/>
      <c r="W55"/>
      <c r="X55"/>
      <c r="Z55" s="3">
        <v>2997.04</v>
      </c>
      <c r="AA55" s="21"/>
      <c r="AB55" s="3">
        <f>Tabla3568132129397172747576777877172737[[#This Row],[COMISIONES]]*0.105</f>
        <v>314.68919999999997</v>
      </c>
      <c r="AC55" s="1">
        <v>119223.15</v>
      </c>
      <c r="AD55" s="21"/>
      <c r="AF55"/>
      <c r="AG55"/>
      <c r="AH55"/>
      <c r="AI55"/>
      <c r="AJ55"/>
      <c r="AK55"/>
      <c r="AL55"/>
      <c r="AM55"/>
      <c r="AN55"/>
      <c r="AO55"/>
    </row>
    <row r="56" spans="1:41" s="6" customFormat="1" x14ac:dyDescent="0.25">
      <c r="A56"/>
      <c r="B56" s="2"/>
      <c r="C56" s="2">
        <f>Tabla131624322122233526272822122232[[#This Row],[COMISIONES]]*0.21</f>
        <v>0</v>
      </c>
      <c r="D56" s="2">
        <f>Tabla131624322122233526272822122232[[#This Row],[COMISIONES]]*0.105</f>
        <v>0</v>
      </c>
      <c r="E56" s="2"/>
      <c r="F56"/>
      <c r="H56" s="1"/>
      <c r="I56" s="11">
        <f>Tabla39152331419192949596979899192939[[#This Row],[COMISIONES]]*0.21</f>
        <v>0</v>
      </c>
      <c r="J56" s="11"/>
      <c r="K56" s="11"/>
      <c r="L56" s="1"/>
      <c r="N56" s="11"/>
      <c r="O56" s="11">
        <f>Tabla35101826364142444546474844142434[[#This Row],[COMISIONES]]*0.21</f>
        <v>0</v>
      </c>
      <c r="P56" s="11"/>
      <c r="Q56" s="11"/>
      <c r="R56" s="11"/>
      <c r="T56"/>
      <c r="U56" s="19">
        <f>Tabla6122028386162646566676866162636[[#This Row],[COMISIONES]]*0.21</f>
        <v>0</v>
      </c>
      <c r="V56"/>
      <c r="W56"/>
      <c r="X56"/>
      <c r="Z56" s="3">
        <v>328.8</v>
      </c>
      <c r="AA56" s="21">
        <f>Tabla3568132129397172747576777877172737[[#This Row],[COMISIONES]]*0.21</f>
        <v>69.048000000000002</v>
      </c>
      <c r="AB56" s="3"/>
      <c r="AC56">
        <v>93.79</v>
      </c>
      <c r="AD56" s="21"/>
      <c r="AF56"/>
      <c r="AG56"/>
      <c r="AH56"/>
      <c r="AI56"/>
      <c r="AJ56"/>
      <c r="AK56"/>
      <c r="AL56"/>
      <c r="AM56"/>
      <c r="AN56"/>
      <c r="AO56"/>
    </row>
    <row r="57" spans="1:41" s="6" customFormat="1" x14ac:dyDescent="0.25">
      <c r="A57"/>
      <c r="B57" s="2"/>
      <c r="C57" s="2">
        <f>Tabla131624322122233526272822122232[[#This Row],[COMISIONES]]*0.21</f>
        <v>0</v>
      </c>
      <c r="D57" s="2">
        <f>Tabla131624322122233526272822122232[[#This Row],[COMISIONES]]*0.105</f>
        <v>0</v>
      </c>
      <c r="E57" s="2"/>
      <c r="F57"/>
      <c r="H57" s="11"/>
      <c r="I57" s="11">
        <f>Tabla39152331419192949596979899192939[[#This Row],[COMISIONES]]*0.21</f>
        <v>0</v>
      </c>
      <c r="J57" s="11"/>
      <c r="K57" s="11"/>
      <c r="L57" s="21"/>
      <c r="N57" s="11"/>
      <c r="O57" s="11">
        <f>Tabla35101826364142444546474844142434[[#This Row],[COMISIONES]]*0.21</f>
        <v>0</v>
      </c>
      <c r="P57" s="11"/>
      <c r="Q57" s="11"/>
      <c r="R57" s="11"/>
      <c r="T57"/>
      <c r="U57" s="19">
        <f>Tabla6122028386162646566676866162636[[#This Row],[COMISIONES]]*0.21</f>
        <v>0</v>
      </c>
      <c r="V57"/>
      <c r="W57"/>
      <c r="X57"/>
      <c r="Z57" s="3">
        <v>4412.16</v>
      </c>
      <c r="AA57" s="21">
        <f>Tabla3568132129397172747576777877172737[[#This Row],[COMISIONES]]*0.21</f>
        <v>926.55359999999996</v>
      </c>
      <c r="AB57" s="21"/>
      <c r="AC57" s="21">
        <v>8441.61</v>
      </c>
      <c r="AD57" s="21"/>
      <c r="AF57"/>
      <c r="AG57"/>
      <c r="AH57"/>
      <c r="AI57"/>
      <c r="AJ57"/>
      <c r="AK57"/>
      <c r="AL57"/>
      <c r="AM57"/>
      <c r="AN57"/>
      <c r="AO57"/>
    </row>
    <row r="58" spans="1:41" s="6" customFormat="1" x14ac:dyDescent="0.25">
      <c r="A58"/>
      <c r="B58" s="2"/>
      <c r="C58" s="2">
        <f>Tabla131624322122233526272822122232[[#This Row],[COMISIONES]]*0.21</f>
        <v>0</v>
      </c>
      <c r="D58" s="1">
        <f>Tabla131624322122233526272822122232[[#This Row],[COMISIONES]]*0.105</f>
        <v>0</v>
      </c>
      <c r="E58" s="2"/>
      <c r="F58"/>
      <c r="H58" s="11"/>
      <c r="I58" s="11">
        <f>Tabla39152331419192949596979899192939[[#This Row],[COMISIONES]]*0.21</f>
        <v>0</v>
      </c>
      <c r="J58" s="11"/>
      <c r="K58" s="11"/>
      <c r="L58" s="11"/>
      <c r="N58" s="11"/>
      <c r="O58" s="11">
        <f>Tabla35101826364142444546474844142434[[#This Row],[COMISIONES]]*0.21</f>
        <v>0</v>
      </c>
      <c r="P58" s="11"/>
      <c r="Q58" s="11"/>
      <c r="R58" s="11"/>
      <c r="T58"/>
      <c r="U58" s="19">
        <f>Tabla6122028386162646566676866162636[[#This Row],[COMISIONES]]*0.21</f>
        <v>0</v>
      </c>
      <c r="V58"/>
      <c r="W58"/>
      <c r="X58"/>
      <c r="Z58" s="3">
        <v>7161.98</v>
      </c>
      <c r="AA58" s="21">
        <f>Tabla3568132129397172747576777877172737[[#This Row],[COMISIONES]]*0.21</f>
        <v>1504.0157999999999</v>
      </c>
      <c r="AB58" s="21"/>
      <c r="AC58" s="21">
        <v>40576.89</v>
      </c>
      <c r="AD58" s="21"/>
      <c r="AF58"/>
      <c r="AG58"/>
      <c r="AH58"/>
      <c r="AI58"/>
      <c r="AJ58"/>
      <c r="AK58"/>
      <c r="AL58"/>
      <c r="AM58"/>
      <c r="AN58"/>
      <c r="AO58"/>
    </row>
    <row r="59" spans="1:41" s="6" customFormat="1" x14ac:dyDescent="0.25">
      <c r="A59"/>
      <c r="B59" s="2"/>
      <c r="C59" s="2">
        <f>Tabla131624322122233526272822122232[[#This Row],[COMISIONES]]*0.21</f>
        <v>0</v>
      </c>
      <c r="D59" s="2">
        <f>Tabla131624322122233526272822122232[[#This Row],[COMISIONES]]*0.105</f>
        <v>0</v>
      </c>
      <c r="E59" s="2"/>
      <c r="F59"/>
      <c r="H59" s="11"/>
      <c r="I59" s="11">
        <f>Tabla39152331419192949596979899192939[[#This Row],[COMISIONES]]*0.21</f>
        <v>0</v>
      </c>
      <c r="J59" s="11"/>
      <c r="K59" s="11"/>
      <c r="L59" s="11"/>
      <c r="N59" s="11"/>
      <c r="O59" s="11">
        <f>Tabla35101826364142444546474844142434[[#This Row],[COMISIONES]]*0.21</f>
        <v>0</v>
      </c>
      <c r="P59" s="11"/>
      <c r="Q59" s="11"/>
      <c r="R59" s="11"/>
      <c r="T59"/>
      <c r="U59" s="19">
        <f>Tabla6122028386162646566676866162636[[#This Row],[COMISIONES]]*0.21</f>
        <v>0</v>
      </c>
      <c r="V59"/>
      <c r="W59"/>
      <c r="X59"/>
      <c r="Z59" s="3">
        <v>600.32000000000005</v>
      </c>
      <c r="AA59" s="21">
        <f>Tabla3568132129397172747576777877172737[[#This Row],[COMISIONES]]*0.21</f>
        <v>126.0672</v>
      </c>
      <c r="AB59" s="21"/>
      <c r="AC59" s="21">
        <v>450.85</v>
      </c>
      <c r="AD59" s="21"/>
      <c r="AF59"/>
      <c r="AG59"/>
      <c r="AH59"/>
      <c r="AI59"/>
      <c r="AJ59"/>
      <c r="AK59"/>
      <c r="AL59"/>
      <c r="AM59"/>
      <c r="AN59"/>
      <c r="AO59"/>
    </row>
    <row r="60" spans="1:41" s="6" customFormat="1" x14ac:dyDescent="0.25">
      <c r="A60"/>
      <c r="B60" s="2"/>
      <c r="C60" s="2">
        <f>Tabla131624322122233526272822122232[[#This Row],[COMISIONES]]*0.21</f>
        <v>0</v>
      </c>
      <c r="D60" s="2">
        <f>Tabla131624322122233526272822122232[[#This Row],[COMISIONES]]*0.105</f>
        <v>0</v>
      </c>
      <c r="E60" s="2"/>
      <c r="F60"/>
      <c r="H60" s="11"/>
      <c r="I60" s="11">
        <f>Tabla39152331419192949596979899192939[[#This Row],[COMISIONES]]*0.21</f>
        <v>0</v>
      </c>
      <c r="J60" s="11"/>
      <c r="K60" s="11"/>
      <c r="L60" s="11"/>
      <c r="N60" s="11"/>
      <c r="O60" s="11">
        <f>Tabla35101826364142444546474844142434[[#This Row],[COMISIONES]]*0.21</f>
        <v>0</v>
      </c>
      <c r="P60" s="11"/>
      <c r="Q60" s="11"/>
      <c r="R60" s="11"/>
      <c r="T60"/>
      <c r="U60" s="19">
        <f>Tabla6122028386162646566676866162636[[#This Row],[COMISIONES]]*0.21</f>
        <v>0</v>
      </c>
      <c r="V60"/>
      <c r="W60"/>
      <c r="X60"/>
      <c r="Z60" s="3">
        <v>2140.75</v>
      </c>
      <c r="AA60" s="21">
        <f>Tabla3568132129397172747576777877172737[[#This Row],[COMISIONES]]*0.21</f>
        <v>449.5575</v>
      </c>
      <c r="AB60" s="21"/>
      <c r="AC60" s="21">
        <v>246.16</v>
      </c>
      <c r="AD60" s="21"/>
      <c r="AF60"/>
      <c r="AG60"/>
      <c r="AH60"/>
      <c r="AI60"/>
      <c r="AJ60"/>
      <c r="AK60"/>
      <c r="AL60"/>
      <c r="AM60"/>
      <c r="AN60"/>
      <c r="AO60"/>
    </row>
    <row r="61" spans="1:41" s="6" customFormat="1" x14ac:dyDescent="0.25">
      <c r="A61"/>
      <c r="B61" s="4">
        <f>SUBTOTAL(109,Tabla131624322122233526272822122232[COMISIONES])</f>
        <v>143310.64000000001</v>
      </c>
      <c r="C61" s="4">
        <f>SUBTOTAL(109,Tabla131624322122233526272822122232[IVA 21])</f>
        <v>29380.68</v>
      </c>
      <c r="D61" s="4">
        <f>SUBTOTAL(109,Tabla131624322122233526272822122232[IVA 10,5])</f>
        <v>357.27719999999999</v>
      </c>
      <c r="E61" s="4">
        <f>SUBTOTAL(109,Tabla131624322122233526272822122232[Ret IIBB Caba])</f>
        <v>8598.64</v>
      </c>
      <c r="F61" s="4">
        <f>SUBTOTAL(109,Tabla131624322122233526272822122232[PERC IVA])</f>
        <v>4197.24</v>
      </c>
      <c r="H61" s="11"/>
      <c r="I61" s="11">
        <f>Tabla39152331419192949596979899192939[[#This Row],[COMISIONES]]*0.21</f>
        <v>0</v>
      </c>
      <c r="J61" s="11"/>
      <c r="K61" s="11"/>
      <c r="L61" s="11"/>
      <c r="N61" s="11"/>
      <c r="O61" s="11">
        <f>Tabla35101826364142444546474844142434[[#This Row],[COMISIONES]]*0.21</f>
        <v>0</v>
      </c>
      <c r="P61" s="11"/>
      <c r="Q61" s="11"/>
      <c r="R61" s="11"/>
      <c r="T61"/>
      <c r="U61" s="19">
        <f>Tabla6122028386162646566676866162636[[#This Row],[COMISIONES]]*0.21</f>
        <v>0</v>
      </c>
      <c r="V61"/>
      <c r="W61"/>
      <c r="X61"/>
      <c r="Z61" s="3">
        <v>16949.490000000002</v>
      </c>
      <c r="AA61" s="21">
        <f>Tabla3568132129397172747576777877172737[[#This Row],[COMISIONES]]*0.21</f>
        <v>3559.3929000000003</v>
      </c>
      <c r="AB61" s="21"/>
      <c r="AC61" s="21">
        <v>22154.2</v>
      </c>
      <c r="AD61" s="21"/>
      <c r="AF61"/>
      <c r="AG61"/>
      <c r="AH61"/>
      <c r="AI61"/>
      <c r="AJ61"/>
      <c r="AK61"/>
      <c r="AL61"/>
      <c r="AM61"/>
      <c r="AN61"/>
      <c r="AO61"/>
    </row>
    <row r="62" spans="1:41" s="6" customFormat="1" x14ac:dyDescent="0.25">
      <c r="A62"/>
      <c r="B62"/>
      <c r="C62"/>
      <c r="D62"/>
      <c r="E62"/>
      <c r="F62"/>
      <c r="H62" s="11"/>
      <c r="I62" s="11">
        <f>Tabla39152331419192949596979899192939[[#This Row],[COMISIONES]]*0.21</f>
        <v>0</v>
      </c>
      <c r="J62" s="11"/>
      <c r="K62" s="11"/>
      <c r="L62" s="11"/>
      <c r="N62" s="11"/>
      <c r="O62" s="11">
        <f>Tabla35101826364142444546474844142434[[#This Row],[COMISIONES]]*0.21</f>
        <v>0</v>
      </c>
      <c r="P62" s="11"/>
      <c r="Q62" s="11"/>
      <c r="R62" s="11"/>
      <c r="T62" s="4">
        <f>SUBTOTAL(109,Tabla6122028386162646566676866162636[COMISIONES])</f>
        <v>129733.23809523809</v>
      </c>
      <c r="U62" s="4">
        <f>SUBTOTAL(109,Tabla6122028386162646566676866162636[IVA 21])</f>
        <v>27243.98</v>
      </c>
      <c r="V62" s="4">
        <f>SUBTOTAL(109,Tabla6122028386162646566676866162636[IVA 10,5])</f>
        <v>0</v>
      </c>
      <c r="W62" s="4">
        <f>SUBTOTAL(109,Tabla6122028386162646566676866162636[Ret IIBB Caba])</f>
        <v>8597.7900000000009</v>
      </c>
      <c r="X62" s="4">
        <f>SUBTOTAL(109,Tabla6122028386162646566676866162636[PERC IVA])</f>
        <v>3774.69</v>
      </c>
      <c r="Z62" s="3">
        <v>2515.44</v>
      </c>
      <c r="AA62" s="21"/>
      <c r="AB62" s="21">
        <f>Tabla3568132129397172747576777877172737[[#This Row],[COMISIONES]]*0.105</f>
        <v>264.12119999999999</v>
      </c>
      <c r="AC62" s="21">
        <v>84.41</v>
      </c>
      <c r="AD62" s="21"/>
      <c r="AF62"/>
      <c r="AG62"/>
      <c r="AH62"/>
      <c r="AI62"/>
      <c r="AJ62"/>
      <c r="AK62"/>
      <c r="AL62"/>
      <c r="AM62"/>
      <c r="AN62"/>
      <c r="AO62"/>
    </row>
    <row r="63" spans="1:41" s="6" customFormat="1" x14ac:dyDescent="0.25">
      <c r="A63"/>
      <c r="B63"/>
      <c r="C63"/>
      <c r="D63"/>
      <c r="E63"/>
      <c r="F63"/>
      <c r="H63" s="11"/>
      <c r="I63" s="11">
        <f>Tabla39152331419192949596979899192939[[#This Row],[COMISIONES]]*0.21</f>
        <v>0</v>
      </c>
      <c r="J63" s="11"/>
      <c r="K63" s="11"/>
      <c r="L63" s="11"/>
      <c r="N63" s="11"/>
      <c r="O63" s="11">
        <f>Tabla35101826364142444546474844142434[[#This Row],[COMISIONES]]*0.21</f>
        <v>0</v>
      </c>
      <c r="P63" s="11"/>
      <c r="Q63" s="11"/>
      <c r="R63" s="11"/>
      <c r="T63"/>
      <c r="U63"/>
      <c r="V63"/>
      <c r="W63"/>
      <c r="X63"/>
      <c r="Z63" s="3">
        <v>7954.35</v>
      </c>
      <c r="AA63" s="21">
        <f>Tabla3568132129397172747576777877172737[[#This Row],[COMISIONES]]*0.21</f>
        <v>1670.4135000000001</v>
      </c>
      <c r="AB63" s="21"/>
      <c r="AC63" s="21">
        <v>7597.1</v>
      </c>
      <c r="AD63" s="21"/>
      <c r="AF63"/>
      <c r="AG63"/>
      <c r="AH63"/>
      <c r="AI63"/>
      <c r="AJ63"/>
      <c r="AK63"/>
      <c r="AL63"/>
      <c r="AM63"/>
      <c r="AN63"/>
      <c r="AO63"/>
    </row>
    <row r="64" spans="1:41" s="6" customFormat="1" ht="18.75" x14ac:dyDescent="0.3">
      <c r="A64"/>
      <c r="B64"/>
      <c r="C64"/>
      <c r="D64"/>
      <c r="E64"/>
      <c r="F64"/>
      <c r="H64" s="11"/>
      <c r="I64" s="11">
        <f>Tabla39152331419192949596979899192939[[#This Row],[COMISIONES]]*0.21</f>
        <v>0</v>
      </c>
      <c r="J64" s="11"/>
      <c r="K64" s="11"/>
      <c r="L64" s="11"/>
      <c r="N64" s="11"/>
      <c r="O64" s="11">
        <f>Tabla35101826364142444546474844142434[[#This Row],[COMISIONES]]*0.21</f>
        <v>0</v>
      </c>
      <c r="P64" s="11"/>
      <c r="Q64" s="11"/>
      <c r="R64" s="11"/>
      <c r="T64" s="52" t="s">
        <v>19</v>
      </c>
      <c r="U64" s="52"/>
      <c r="V64" s="52"/>
      <c r="W64" s="52"/>
      <c r="X64" s="52"/>
      <c r="Z64" s="3">
        <v>23204.69</v>
      </c>
      <c r="AA64" s="21">
        <f>Tabla3568132129397172747576777877172737[[#This Row],[COMISIONES]]*0.21</f>
        <v>4872.9848999999995</v>
      </c>
      <c r="AB64" s="1"/>
      <c r="AC64" s="21">
        <v>64669.19</v>
      </c>
      <c r="AD64"/>
      <c r="AF64"/>
      <c r="AG64"/>
      <c r="AH64"/>
      <c r="AI64"/>
      <c r="AJ64"/>
      <c r="AK64"/>
      <c r="AL64"/>
      <c r="AM64"/>
      <c r="AN64"/>
      <c r="AO64"/>
    </row>
    <row r="65" spans="1:41" s="6" customFormat="1" x14ac:dyDescent="0.25">
      <c r="A65"/>
      <c r="B65"/>
      <c r="C65"/>
      <c r="D65"/>
      <c r="E65"/>
      <c r="F65"/>
      <c r="H65" s="11"/>
      <c r="I65" s="11">
        <f>Tabla39152331419192949596979899192939[[#This Row],[COMISIONES]]*0.21</f>
        <v>0</v>
      </c>
      <c r="J65" s="11"/>
      <c r="K65" s="11"/>
      <c r="L65" s="11"/>
      <c r="N65" s="11"/>
      <c r="O65" s="11">
        <f>Tabla35101826364142444546474844142434[[#This Row],[COMISIONES]]*0.21</f>
        <v>0</v>
      </c>
      <c r="P65" s="11"/>
      <c r="Q65" s="11"/>
      <c r="R65" s="11"/>
      <c r="T65" s="12" t="s">
        <v>2</v>
      </c>
      <c r="U65" s="13" t="s">
        <v>0</v>
      </c>
      <c r="V65" s="13" t="s">
        <v>1</v>
      </c>
      <c r="W65" s="13" t="s">
        <v>3</v>
      </c>
      <c r="X65" s="13" t="s">
        <v>4</v>
      </c>
      <c r="Z65" s="3">
        <v>17713.64</v>
      </c>
      <c r="AA65" s="21"/>
      <c r="AB65" s="21">
        <v>1859.93</v>
      </c>
      <c r="AC65" s="21">
        <v>718.55</v>
      </c>
      <c r="AD65"/>
      <c r="AF65"/>
      <c r="AG65"/>
      <c r="AH65"/>
      <c r="AI65"/>
      <c r="AJ65"/>
      <c r="AK65"/>
      <c r="AL65"/>
      <c r="AM65"/>
      <c r="AN65"/>
      <c r="AO65"/>
    </row>
    <row r="66" spans="1:41" s="6" customFormat="1" x14ac:dyDescent="0.25">
      <c r="A66"/>
      <c r="B66"/>
      <c r="C66"/>
      <c r="D66"/>
      <c r="E66"/>
      <c r="F66"/>
      <c r="H66" s="11"/>
      <c r="I66" s="11">
        <f>Tabla39152331419192949596979899192939[[#This Row],[COMISIONES]]*0.21</f>
        <v>0</v>
      </c>
      <c r="J66" s="11"/>
      <c r="K66" s="11"/>
      <c r="L66" s="11"/>
      <c r="N66" s="11"/>
      <c r="O66" s="11">
        <f>Tabla35101826364142444546474844142434[[#This Row],[COMISIONES]]*0.21</f>
        <v>0</v>
      </c>
      <c r="P66" s="11"/>
      <c r="Q66" s="11"/>
      <c r="R66" s="11"/>
      <c r="T66" s="11"/>
      <c r="U66" s="11">
        <f>Tabla61220283342102030506070809010203040[[#This Row],[COMISIONES]]*0.21</f>
        <v>0</v>
      </c>
      <c r="V66" s="11"/>
      <c r="W66" s="1"/>
      <c r="X66" s="11"/>
      <c r="Z66" s="3">
        <v>6753.4</v>
      </c>
      <c r="AA66" s="21">
        <f>Tabla3568132129397172747576777877172737[[#This Row],[COMISIONES]]*0.21</f>
        <v>1418.2139999999999</v>
      </c>
      <c r="AB66" s="21"/>
      <c r="AC66" s="21">
        <v>65000.35</v>
      </c>
      <c r="AD66" s="21"/>
      <c r="AF66"/>
      <c r="AG66"/>
      <c r="AH66"/>
      <c r="AI66"/>
      <c r="AJ66"/>
      <c r="AK66"/>
      <c r="AL66"/>
      <c r="AM66"/>
      <c r="AN66"/>
      <c r="AO66"/>
    </row>
    <row r="67" spans="1:41" s="6" customFormat="1" x14ac:dyDescent="0.25">
      <c r="A67"/>
      <c r="B67"/>
      <c r="C67"/>
      <c r="D67"/>
      <c r="E67"/>
      <c r="F67"/>
      <c r="H67" s="11"/>
      <c r="I67" s="11">
        <f>Tabla39152331419192949596979899192939[[#This Row],[COMISIONES]]*0.21</f>
        <v>0</v>
      </c>
      <c r="J67" s="11"/>
      <c r="K67" s="11"/>
      <c r="L67" s="11"/>
      <c r="N67" s="18"/>
      <c r="O67" s="11">
        <f>Tabla35101826364142444546474844142434[[#This Row],[COMISIONES]]*0.21</f>
        <v>0</v>
      </c>
      <c r="P67" s="18"/>
      <c r="Q67" s="18"/>
      <c r="R67" s="18"/>
      <c r="T67" s="11"/>
      <c r="U67" s="11">
        <f>Tabla61220283342102030506070809010203040[[#This Row],[COMISIONES]]*0.21</f>
        <v>0</v>
      </c>
      <c r="V67" s="11"/>
      <c r="W67" s="11"/>
      <c r="X67" s="11"/>
      <c r="Z67" s="3">
        <v>18765.87</v>
      </c>
      <c r="AA67" s="21">
        <f>Tabla3568132129397172747576777877172737[[#This Row],[COMISIONES]]*0.21</f>
        <v>3940.8326999999995</v>
      </c>
      <c r="AB67" s="21"/>
      <c r="AC67" s="21">
        <v>722.23</v>
      </c>
      <c r="AD67" s="21"/>
      <c r="AF67"/>
      <c r="AG67"/>
      <c r="AH67"/>
      <c r="AI67"/>
      <c r="AJ67"/>
      <c r="AK67"/>
      <c r="AL67"/>
      <c r="AM67"/>
      <c r="AN67"/>
      <c r="AO67"/>
    </row>
    <row r="68" spans="1:41" s="6" customFormat="1" x14ac:dyDescent="0.25">
      <c r="A68"/>
      <c r="B68"/>
      <c r="C68"/>
      <c r="D68"/>
      <c r="E68"/>
      <c r="F68"/>
      <c r="H68" s="11"/>
      <c r="I68" s="11">
        <f>Tabla39152331419192949596979899192939[[#This Row],[COMISIONES]]*0.21</f>
        <v>0</v>
      </c>
      <c r="J68" s="11"/>
      <c r="K68" s="11"/>
      <c r="L68" s="11"/>
      <c r="N68" s="18"/>
      <c r="O68" s="11">
        <f>Tabla35101826364142444546474844142434[[#This Row],[COMISIONES]]*0.21</f>
        <v>0</v>
      </c>
      <c r="P68" s="18"/>
      <c r="Q68" s="18"/>
      <c r="R68" s="18"/>
      <c r="T68" s="11"/>
      <c r="U68" s="19">
        <f>Tabla61220283342102030506070809010203040[[#This Row],[COMISIONES]]*0.21</f>
        <v>0</v>
      </c>
      <c r="V68"/>
      <c r="W68" s="1"/>
      <c r="X68"/>
      <c r="Z68" s="3">
        <v>61.64</v>
      </c>
      <c r="AA68" s="21">
        <f>Tabla3568132129397172747576777877172737[[#This Row],[COMISIONES]]*0.21</f>
        <v>12.9444</v>
      </c>
      <c r="AB68" s="21"/>
      <c r="AC68" s="21">
        <v>38.28</v>
      </c>
      <c r="AD68" s="21"/>
      <c r="AF68"/>
      <c r="AG68"/>
      <c r="AH68"/>
      <c r="AI68"/>
      <c r="AJ68"/>
      <c r="AK68"/>
      <c r="AL68"/>
      <c r="AM68"/>
      <c r="AN68"/>
      <c r="AO68"/>
    </row>
    <row r="69" spans="1:41" s="6" customFormat="1" x14ac:dyDescent="0.25">
      <c r="A69"/>
      <c r="B69"/>
      <c r="C69"/>
      <c r="D69"/>
      <c r="E69"/>
      <c r="F69"/>
      <c r="H69" s="11"/>
      <c r="I69" s="11">
        <f>Tabla39152331419192949596979899192939[[#This Row],[COMISIONES]]*0.21</f>
        <v>0</v>
      </c>
      <c r="J69" s="11"/>
      <c r="K69" s="11"/>
      <c r="L69" s="11"/>
      <c r="N69" s="18"/>
      <c r="O69" s="11">
        <f>Tabla35101826364142444546474844142434[[#This Row],[COMISIONES]]*0.21</f>
        <v>0</v>
      </c>
      <c r="P69" s="18"/>
      <c r="Q69" s="18"/>
      <c r="R69" s="18"/>
      <c r="T69" s="11"/>
      <c r="U69" s="19">
        <f>Tabla61220283342102030506070809010203040[[#This Row],[COMISIONES]]*0.21</f>
        <v>0</v>
      </c>
      <c r="V69"/>
      <c r="W69"/>
      <c r="X69"/>
      <c r="Z69" s="3">
        <v>312</v>
      </c>
      <c r="AA69" s="21">
        <f>Tabla3568132129397172747576777877172737[[#This Row],[COMISIONES]]*0.21</f>
        <v>65.52</v>
      </c>
      <c r="AB69" s="21"/>
      <c r="AC69" s="21">
        <v>3445.27</v>
      </c>
      <c r="AD69" s="21"/>
      <c r="AF69"/>
      <c r="AG69"/>
      <c r="AH69"/>
      <c r="AI69"/>
      <c r="AJ69"/>
      <c r="AK69"/>
      <c r="AL69"/>
      <c r="AM69"/>
      <c r="AN69"/>
      <c r="AO69"/>
    </row>
    <row r="70" spans="1:41" s="6" customFormat="1" x14ac:dyDescent="0.25">
      <c r="A70"/>
      <c r="B70"/>
      <c r="C70"/>
      <c r="D70"/>
      <c r="E70"/>
      <c r="F70"/>
      <c r="H70" s="11"/>
      <c r="I70" s="11">
        <f>Tabla39152331419192949596979899192939[[#This Row],[COMISIONES]]*0.21</f>
        <v>0</v>
      </c>
      <c r="J70" s="11"/>
      <c r="K70" s="11"/>
      <c r="L70" s="11"/>
      <c r="N70" s="18"/>
      <c r="O70" s="11">
        <f>Tabla35101826364142444546474844142434[[#This Row],[COMISIONES]]*0.21</f>
        <v>0</v>
      </c>
      <c r="P70" s="18"/>
      <c r="Q70" s="18"/>
      <c r="R70" s="18"/>
      <c r="T70" s="11"/>
      <c r="U70" s="19">
        <f>Tabla61220283342102030506070809010203040[[#This Row],[COMISIONES]]*0.21</f>
        <v>0</v>
      </c>
      <c r="V70"/>
      <c r="W70"/>
      <c r="X70"/>
      <c r="Z70" s="3">
        <v>6963.37</v>
      </c>
      <c r="AA70" s="21">
        <f>Tabla3568132129397172747576777877172737[[#This Row],[COMISIONES]]*0.21</f>
        <v>1462.3076999999998</v>
      </c>
      <c r="AB70" s="21"/>
      <c r="AC70" s="21">
        <v>364.13</v>
      </c>
      <c r="AD70" s="21"/>
      <c r="AF70"/>
      <c r="AG70"/>
      <c r="AH70"/>
      <c r="AI70"/>
      <c r="AJ70"/>
      <c r="AK70"/>
      <c r="AL70"/>
      <c r="AM70"/>
      <c r="AN70"/>
      <c r="AO70"/>
    </row>
    <row r="71" spans="1:41" s="6" customFormat="1" x14ac:dyDescent="0.25">
      <c r="A71"/>
      <c r="B71"/>
      <c r="C71"/>
      <c r="D71"/>
      <c r="E71"/>
      <c r="F71"/>
      <c r="H71" s="11"/>
      <c r="I71" s="11">
        <f>Tabla39152331419192949596979899192939[[#This Row],[COMISIONES]]*0.21</f>
        <v>0</v>
      </c>
      <c r="J71" s="11"/>
      <c r="K71" s="11"/>
      <c r="L71" s="11"/>
      <c r="N71" s="18"/>
      <c r="O71" s="11">
        <f>Tabla35101826364142444546474844142434[[#This Row],[COMISIONES]]*0.21</f>
        <v>0</v>
      </c>
      <c r="P71" s="18"/>
      <c r="Q71" s="18"/>
      <c r="R71" s="18"/>
      <c r="T71" s="11"/>
      <c r="U71" s="19">
        <f>Tabla61220283342102030506070809010203040[[#This Row],[COMISIONES]]*0.21</f>
        <v>0</v>
      </c>
      <c r="V71"/>
      <c r="W71"/>
      <c r="X71"/>
      <c r="Z71" s="3">
        <v>18224.12</v>
      </c>
      <c r="AA71" s="21">
        <f>Tabla3568132129397172747576777877172737[[#This Row],[COMISIONES]]*0.21</f>
        <v>3827.0651999999995</v>
      </c>
      <c r="AB71" s="21"/>
      <c r="AC71" s="21">
        <v>32771.699999999997</v>
      </c>
      <c r="AD71" s="21"/>
      <c r="AF71"/>
      <c r="AG71"/>
      <c r="AH71"/>
      <c r="AI71"/>
      <c r="AJ71"/>
      <c r="AK71"/>
      <c r="AL71"/>
      <c r="AM71"/>
      <c r="AN71"/>
      <c r="AO71"/>
    </row>
    <row r="72" spans="1:41" s="6" customFormat="1" x14ac:dyDescent="0.25">
      <c r="A72"/>
      <c r="B72"/>
      <c r="C72"/>
      <c r="D72"/>
      <c r="E72"/>
      <c r="F72"/>
      <c r="H72" s="11"/>
      <c r="I72" s="11">
        <f>Tabla39152331419192949596979899192939[[#This Row],[COMISIONES]]*0.21</f>
        <v>0</v>
      </c>
      <c r="J72" s="11"/>
      <c r="K72" s="11"/>
      <c r="L72" s="11"/>
      <c r="N72" s="18"/>
      <c r="O72" s="11">
        <f>Tabla35101826364142444546474844142434[[#This Row],[COMISIONES]]*0.21</f>
        <v>0</v>
      </c>
      <c r="P72" s="18"/>
      <c r="Q72" s="18"/>
      <c r="R72" s="18"/>
      <c r="T72" s="11"/>
      <c r="U72" s="19">
        <f>Tabla61220283342102030506070809010203040[[#This Row],[COMISIONES]]*0.21</f>
        <v>0</v>
      </c>
      <c r="V72"/>
      <c r="W72"/>
      <c r="X72"/>
      <c r="Z72" s="3">
        <v>370.08</v>
      </c>
      <c r="AA72" s="21">
        <f>Tabla3568132129397172747576777877172737[[#This Row],[COMISIONES]]*0.21</f>
        <v>77.716799999999992</v>
      </c>
      <c r="AB72" s="21"/>
      <c r="AC72" s="21">
        <v>797.22</v>
      </c>
      <c r="AD72" s="21"/>
      <c r="AF72"/>
      <c r="AG72"/>
      <c r="AH72"/>
      <c r="AI72"/>
      <c r="AJ72"/>
      <c r="AK72"/>
      <c r="AL72"/>
      <c r="AM72"/>
      <c r="AN72"/>
      <c r="AO72"/>
    </row>
    <row r="73" spans="1:41" s="6" customFormat="1" x14ac:dyDescent="0.25">
      <c r="A73"/>
      <c r="B73"/>
      <c r="C73"/>
      <c r="D73"/>
      <c r="E73"/>
      <c r="F73"/>
      <c r="H73" s="11"/>
      <c r="I73" s="11">
        <f>Tabla39152331419192949596979899192939[[#This Row],[COMISIONES]]*0.21</f>
        <v>0</v>
      </c>
      <c r="J73" s="11"/>
      <c r="K73" s="11"/>
      <c r="L73" s="11"/>
      <c r="N73" s="18"/>
      <c r="O73" s="11">
        <f>Tabla35101826364142444546474844142434[[#This Row],[COMISIONES]]*0.21</f>
        <v>0</v>
      </c>
      <c r="P73" s="18"/>
      <c r="Q73" s="18"/>
      <c r="R73" s="18"/>
      <c r="T73" s="11"/>
      <c r="U73" s="19">
        <f>Tabla61220283342102030506070809010203040[[#This Row],[COMISIONES]]*0.21</f>
        <v>0</v>
      </c>
      <c r="V73"/>
      <c r="W73"/>
      <c r="X73"/>
      <c r="Z73" s="3">
        <v>4495.8</v>
      </c>
      <c r="AA73" s="21">
        <f>Tabla3568132129397172747576777877172737[[#This Row],[COMISIONES]]*0.21</f>
        <v>944.11800000000005</v>
      </c>
      <c r="AB73" s="1"/>
      <c r="AC73" s="1">
        <v>71749.73</v>
      </c>
      <c r="AD73"/>
      <c r="AF73"/>
      <c r="AG73"/>
      <c r="AH73"/>
      <c r="AI73"/>
      <c r="AJ73"/>
      <c r="AK73"/>
      <c r="AL73"/>
      <c r="AM73"/>
      <c r="AN73"/>
      <c r="AO73"/>
    </row>
    <row r="74" spans="1:41" s="6" customFormat="1" x14ac:dyDescent="0.25">
      <c r="A74"/>
      <c r="B74"/>
      <c r="C74"/>
      <c r="D74"/>
      <c r="E74"/>
      <c r="F74"/>
      <c r="H74" s="11"/>
      <c r="I74" s="11">
        <f>Tabla39152331419192949596979899192939[[#This Row],[COMISIONES]]*0.21</f>
        <v>0</v>
      </c>
      <c r="J74" s="11"/>
      <c r="K74" s="11"/>
      <c r="L74" s="11"/>
      <c r="N74" s="18"/>
      <c r="O74" s="11">
        <f>Tabla35101826364142444546474844142434[[#This Row],[COMISIONES]]*0.21</f>
        <v>0</v>
      </c>
      <c r="P74" s="18"/>
      <c r="Q74" s="18"/>
      <c r="R74" s="18"/>
      <c r="T74" s="11"/>
      <c r="U74" s="19">
        <f>Tabla61220283342102030506070809010203040[[#This Row],[COMISIONES]]*0.21</f>
        <v>0</v>
      </c>
      <c r="V74"/>
      <c r="W74"/>
      <c r="X74"/>
      <c r="Z74" s="3">
        <v>17759.45</v>
      </c>
      <c r="AA74" s="21">
        <f>Tabla3568132129397172747576777877172737[[#This Row],[COMISIONES]]*0.21</f>
        <v>3729.4845</v>
      </c>
      <c r="AB74" s="19"/>
      <c r="AC74">
        <v>8714.39</v>
      </c>
      <c r="AD74"/>
      <c r="AF74"/>
      <c r="AG74"/>
      <c r="AH74"/>
      <c r="AI74"/>
      <c r="AJ74"/>
      <c r="AK74"/>
      <c r="AL74"/>
      <c r="AM74"/>
      <c r="AN74"/>
      <c r="AO74"/>
    </row>
    <row r="75" spans="1:41" s="6" customFormat="1" x14ac:dyDescent="0.25">
      <c r="A75"/>
      <c r="B75"/>
      <c r="C75"/>
      <c r="D75"/>
      <c r="E75"/>
      <c r="F75"/>
      <c r="H75" s="11"/>
      <c r="I75" s="11">
        <f>Tabla39152331419192949596979899192939[[#This Row],[COMISIONES]]*0.21</f>
        <v>0</v>
      </c>
      <c r="J75" s="11"/>
      <c r="K75" s="11"/>
      <c r="L75" s="11"/>
      <c r="N75" s="18"/>
      <c r="O75" s="11">
        <f>Tabla35101826364142444546474844142434[[#This Row],[COMISIONES]]*0.21</f>
        <v>0</v>
      </c>
      <c r="P75" s="18"/>
      <c r="Q75" s="18"/>
      <c r="R75" s="18"/>
      <c r="T75" s="11"/>
      <c r="U75" s="19">
        <f>Tabla61220283342102030506070809010203040[[#This Row],[COMISIONES]]*0.21</f>
        <v>0</v>
      </c>
      <c r="V75"/>
      <c r="W75"/>
      <c r="X75"/>
      <c r="Z75" s="3">
        <v>20313.48</v>
      </c>
      <c r="AA75" s="11"/>
      <c r="AB75" s="1">
        <v>2132.92</v>
      </c>
      <c r="AC75" s="21">
        <v>96.83</v>
      </c>
      <c r="AD75"/>
      <c r="AF75"/>
      <c r="AG75"/>
      <c r="AH75"/>
      <c r="AI75"/>
      <c r="AJ75"/>
      <c r="AK75"/>
      <c r="AL75"/>
      <c r="AM75"/>
      <c r="AN75"/>
      <c r="AO75"/>
    </row>
    <row r="76" spans="1:41" s="6" customFormat="1" x14ac:dyDescent="0.25">
      <c r="A76"/>
      <c r="B76"/>
      <c r="C76"/>
      <c r="D76"/>
      <c r="E76"/>
      <c r="F76"/>
      <c r="H76" s="11"/>
      <c r="I76" s="11">
        <f>Tabla39152331419192949596979899192939[[#This Row],[COMISIONES]]*0.21</f>
        <v>0</v>
      </c>
      <c r="J76" s="11"/>
      <c r="K76" s="11"/>
      <c r="L76" s="11"/>
      <c r="N76" s="18"/>
      <c r="O76" s="11">
        <f>Tabla35101826364142444546474844142434[[#This Row],[COMISIONES]]*0.21</f>
        <v>0</v>
      </c>
      <c r="P76" s="18"/>
      <c r="Q76" s="18"/>
      <c r="R76" s="18"/>
      <c r="T76"/>
      <c r="U76" s="19">
        <f>Tabla61220283342102030506070809010203040[[#This Row],[COMISIONES]]*0.21</f>
        <v>0</v>
      </c>
      <c r="V76"/>
      <c r="W76"/>
      <c r="X76"/>
      <c r="Z76" s="3">
        <v>1614.6</v>
      </c>
      <c r="AA76" s="21">
        <f>Tabla3568132129397172747576777877172737[[#This Row],[COMISIONES]]*0.21</f>
        <v>339.06599999999997</v>
      </c>
      <c r="AB76" s="1"/>
      <c r="AC76" s="21">
        <v>28016.1</v>
      </c>
      <c r="AD76"/>
      <c r="AF76"/>
      <c r="AG76"/>
      <c r="AH76"/>
      <c r="AI76"/>
      <c r="AJ76"/>
      <c r="AK76"/>
      <c r="AL76"/>
      <c r="AM76"/>
      <c r="AN76"/>
      <c r="AO76"/>
    </row>
    <row r="77" spans="1:41" s="6" customFormat="1" x14ac:dyDescent="0.25">
      <c r="A77"/>
      <c r="B77"/>
      <c r="C77"/>
      <c r="D77"/>
      <c r="E77"/>
      <c r="F77"/>
      <c r="H77" s="11"/>
      <c r="I77" s="11">
        <f>Tabla39152331419192949596979899192939[[#This Row],[COMISIONES]]*0.21</f>
        <v>0</v>
      </c>
      <c r="J77" s="11"/>
      <c r="K77" s="11"/>
      <c r="L77" s="11"/>
      <c r="N77" s="18"/>
      <c r="O77" s="11">
        <f>Tabla35101826364142444546474844142434[[#This Row],[COMISIONES]]*0.21</f>
        <v>0</v>
      </c>
      <c r="P77" s="18"/>
      <c r="Q77" s="18"/>
      <c r="R77" s="18"/>
      <c r="T77"/>
      <c r="U77" s="19">
        <f>Tabla61220283342102030506070809010203040[[#This Row],[COMISIONES]]*0.21</f>
        <v>0</v>
      </c>
      <c r="V77"/>
      <c r="W77"/>
      <c r="X77"/>
      <c r="Z77" s="3">
        <v>3425.4</v>
      </c>
      <c r="AA77" s="21">
        <f>Tabla3568132129397172747576777877172737[[#This Row],[COMISIONES]]*0.21</f>
        <v>719.33399999999995</v>
      </c>
      <c r="AB77" s="1"/>
      <c r="AC77" s="21">
        <v>311.29000000000002</v>
      </c>
      <c r="AD77"/>
      <c r="AF77"/>
      <c r="AG77"/>
      <c r="AH77"/>
      <c r="AI77"/>
      <c r="AJ77"/>
      <c r="AK77"/>
      <c r="AL77"/>
      <c r="AM77"/>
      <c r="AN77"/>
      <c r="AO77"/>
    </row>
    <row r="78" spans="1:41" s="6" customFormat="1" x14ac:dyDescent="0.25">
      <c r="A78"/>
      <c r="B78"/>
      <c r="C78"/>
      <c r="D78"/>
      <c r="E78"/>
      <c r="F78"/>
      <c r="H78" s="11"/>
      <c r="I78" s="11">
        <f>Tabla39152331419192949596979899192939[[#This Row],[COMISIONES]]*0.21</f>
        <v>0</v>
      </c>
      <c r="J78" s="11"/>
      <c r="K78" s="11"/>
      <c r="L78" s="11"/>
      <c r="N78" s="18"/>
      <c r="O78" s="11">
        <f>Tabla35101826364142444546474844142434[[#This Row],[COMISIONES]]*0.21</f>
        <v>0</v>
      </c>
      <c r="P78" s="18"/>
      <c r="Q78" s="18"/>
      <c r="R78" s="18"/>
      <c r="T78"/>
      <c r="U78" s="19">
        <f>Tabla61220283342102030506070809010203040[[#This Row],[COMISIONES]]*0.21</f>
        <v>0</v>
      </c>
      <c r="V78"/>
      <c r="W78"/>
      <c r="X78"/>
      <c r="Z78" s="3">
        <v>41805.839999999997</v>
      </c>
      <c r="AA78" s="21">
        <f>Tabla3568132129397172747576777877172737[[#This Row],[COMISIONES]]*0.21</f>
        <v>8779.2263999999996</v>
      </c>
      <c r="AB78" s="1"/>
      <c r="AC78" s="21">
        <v>70.52</v>
      </c>
      <c r="AD78"/>
      <c r="AF78"/>
      <c r="AG78"/>
      <c r="AH78"/>
      <c r="AI78"/>
      <c r="AJ78"/>
      <c r="AK78"/>
      <c r="AL78"/>
      <c r="AM78"/>
      <c r="AN78"/>
      <c r="AO78"/>
    </row>
    <row r="79" spans="1:41" s="6" customFormat="1" x14ac:dyDescent="0.25">
      <c r="A79"/>
      <c r="B79"/>
      <c r="C79"/>
      <c r="D79"/>
      <c r="E79"/>
      <c r="F79"/>
      <c r="H79" s="11"/>
      <c r="I79" s="11">
        <f>Tabla39152331419192949596979899192939[[#This Row],[COMISIONES]]*0.21</f>
        <v>0</v>
      </c>
      <c r="J79" s="11"/>
      <c r="K79" s="11"/>
      <c r="L79" s="11"/>
      <c r="N79" s="18"/>
      <c r="O79" s="11">
        <f>Tabla35101826364142444546474844142434[[#This Row],[COMISIONES]]*0.21</f>
        <v>0</v>
      </c>
      <c r="P79" s="18"/>
      <c r="Q79" s="18"/>
      <c r="R79" s="18"/>
      <c r="T79"/>
      <c r="U79" s="19">
        <f>Tabla61220283342102030506070809010203040[[#This Row],[COMISIONES]]*0.21</f>
        <v>0</v>
      </c>
      <c r="V79"/>
      <c r="W79"/>
      <c r="X79"/>
      <c r="Z79" s="3">
        <v>222785.55</v>
      </c>
      <c r="AA79" s="21">
        <v>11845.51</v>
      </c>
      <c r="AB79" s="11">
        <v>16499.7</v>
      </c>
      <c r="AC79" s="21">
        <v>6346.64</v>
      </c>
      <c r="AD79"/>
      <c r="AF79"/>
      <c r="AG79"/>
      <c r="AH79"/>
      <c r="AI79"/>
      <c r="AJ79"/>
      <c r="AK79"/>
      <c r="AL79"/>
      <c r="AM79"/>
      <c r="AN79"/>
      <c r="AO79"/>
    </row>
    <row r="80" spans="1:41" s="6" customFormat="1" x14ac:dyDescent="0.25">
      <c r="A80"/>
      <c r="B80"/>
      <c r="C80"/>
      <c r="D80"/>
      <c r="E80"/>
      <c r="F80"/>
      <c r="H80" s="11"/>
      <c r="I80" s="11">
        <f>Tabla39152331419192949596979899192939[[#This Row],[COMISIONES]]*0.21</f>
        <v>0</v>
      </c>
      <c r="J80" s="11"/>
      <c r="K80" s="11"/>
      <c r="L80" s="11"/>
      <c r="N80" s="18"/>
      <c r="O80" s="11">
        <f>Tabla35101826364142444546474844142434[[#This Row],[COMISIONES]]*0.21</f>
        <v>0</v>
      </c>
      <c r="P80" s="18"/>
      <c r="Q80" s="18"/>
      <c r="R80" s="18"/>
      <c r="T80"/>
      <c r="U80" s="19">
        <f>Tabla61220283342102030506070809010203040[[#This Row],[COMISIONES]]*0.21</f>
        <v>0</v>
      </c>
      <c r="V80"/>
      <c r="W80"/>
      <c r="X80"/>
      <c r="Z80" s="3">
        <v>400.8</v>
      </c>
      <c r="AA80" s="21">
        <f>Tabla3568132129397172747576777877172737[[#This Row],[COMISIONES]]*0.21</f>
        <v>84.168000000000006</v>
      </c>
      <c r="AB80" s="21"/>
      <c r="AC80" s="21">
        <v>32.56</v>
      </c>
      <c r="AD80"/>
      <c r="AF80"/>
      <c r="AG80"/>
      <c r="AH80"/>
      <c r="AI80"/>
      <c r="AJ80"/>
      <c r="AK80"/>
      <c r="AL80"/>
      <c r="AM80"/>
      <c r="AN80"/>
      <c r="AO80"/>
    </row>
    <row r="81" spans="1:41" s="6" customFormat="1" x14ac:dyDescent="0.25">
      <c r="A81"/>
      <c r="B81"/>
      <c r="C81"/>
      <c r="D81"/>
      <c r="E81"/>
      <c r="F81"/>
      <c r="H81" s="18"/>
      <c r="I81" s="18">
        <f>Tabla39152331419192949596979899192939[[#This Row],[COMISIONES]]*0.21</f>
        <v>0</v>
      </c>
      <c r="J81" s="18"/>
      <c r="K81" s="18"/>
      <c r="L81" s="18"/>
      <c r="N81" s="18"/>
      <c r="O81" s="11">
        <f>Tabla35101826364142444546474844142434[[#This Row],[COMISIONES]]*0.21</f>
        <v>0</v>
      </c>
      <c r="P81" s="18"/>
      <c r="Q81" s="18"/>
      <c r="R81" s="18"/>
      <c r="T81"/>
      <c r="U81" s="19">
        <f>Tabla61220283342102030506070809010203040[[#This Row],[COMISIONES]]*0.21</f>
        <v>0</v>
      </c>
      <c r="V81"/>
      <c r="W81"/>
      <c r="X81"/>
      <c r="Z81" s="3">
        <v>2789.2</v>
      </c>
      <c r="AA81" s="21">
        <f>Tabla3568132129397172747576777877172737[[#This Row],[COMISIONES]]*0.21</f>
        <v>585.73199999999997</v>
      </c>
      <c r="AB81" s="21"/>
      <c r="AC81" s="21">
        <v>2930.55</v>
      </c>
      <c r="AD81"/>
      <c r="AF81"/>
      <c r="AG81"/>
      <c r="AH81"/>
      <c r="AI81"/>
      <c r="AJ81"/>
      <c r="AK81"/>
      <c r="AL81"/>
      <c r="AM81"/>
      <c r="AN81"/>
      <c r="AO81"/>
    </row>
    <row r="82" spans="1:41" s="6" customFormat="1" x14ac:dyDescent="0.25">
      <c r="A82"/>
      <c r="B82"/>
      <c r="C82"/>
      <c r="D82"/>
      <c r="E82"/>
      <c r="F82"/>
      <c r="H82" s="18"/>
      <c r="I82" s="18">
        <f>Tabla39152331419192949596979899192939[[#This Row],[COMISIONES]]*0.21</f>
        <v>0</v>
      </c>
      <c r="J82" s="18"/>
      <c r="K82" s="18"/>
      <c r="L82" s="18"/>
      <c r="N82" s="18"/>
      <c r="O82" s="11">
        <f>Tabla35101826364142444546474844142434[[#This Row],[COMISIONES]]*0.21</f>
        <v>0</v>
      </c>
      <c r="P82" s="18"/>
      <c r="Q82" s="18"/>
      <c r="R82" s="18"/>
      <c r="T82"/>
      <c r="U82" s="19">
        <f>Tabla61220283342102030506070809010203040[[#This Row],[COMISIONES]]*0.21</f>
        <v>0</v>
      </c>
      <c r="V82"/>
      <c r="W82"/>
      <c r="X82"/>
      <c r="Z82" s="3">
        <v>49322.58</v>
      </c>
      <c r="AA82" s="21">
        <f>Tabla3568132129397172747576777877172737[[#This Row],[COMISIONES]]*0.21</f>
        <v>10357.7418</v>
      </c>
      <c r="AB82" s="1"/>
      <c r="AC82" s="1">
        <v>71.87</v>
      </c>
      <c r="AD82"/>
      <c r="AF82"/>
      <c r="AG82"/>
      <c r="AH82"/>
      <c r="AI82"/>
      <c r="AJ82"/>
      <c r="AK82"/>
      <c r="AL82"/>
      <c r="AM82"/>
      <c r="AN82"/>
      <c r="AO82"/>
    </row>
    <row r="83" spans="1:41" s="6" customFormat="1" x14ac:dyDescent="0.25">
      <c r="A83"/>
      <c r="B83"/>
      <c r="C83"/>
      <c r="D83"/>
      <c r="E83"/>
      <c r="F83"/>
      <c r="H83" s="18"/>
      <c r="I83" s="18">
        <f>Tabla39152331419192949596979899192939[[#This Row],[COMISIONES]]*0.21</f>
        <v>0</v>
      </c>
      <c r="J83" s="18"/>
      <c r="K83" s="18"/>
      <c r="L83" s="18"/>
      <c r="N83" s="18"/>
      <c r="O83" s="11">
        <f>Tabla35101826364142444546474844142434[[#This Row],[COMISIONES]]*0.21</f>
        <v>0</v>
      </c>
      <c r="P83" s="18"/>
      <c r="Q83" s="18"/>
      <c r="R83" s="18"/>
      <c r="T83"/>
      <c r="U83" s="19">
        <f>Tabla61220283342102030506070809010203040[[#This Row],[COMISIONES]]*0.21</f>
        <v>0</v>
      </c>
      <c r="V83"/>
      <c r="W83"/>
      <c r="X83"/>
      <c r="Z83" s="3">
        <v>127036.94</v>
      </c>
      <c r="AA83" s="21"/>
      <c r="AB83" s="21">
        <v>10471.719999999999</v>
      </c>
      <c r="AC83" s="21">
        <v>6468.28</v>
      </c>
      <c r="AD83"/>
      <c r="AF83"/>
      <c r="AG83"/>
      <c r="AH83"/>
      <c r="AI83"/>
      <c r="AJ83"/>
      <c r="AK83"/>
      <c r="AL83"/>
      <c r="AM83"/>
      <c r="AN83"/>
      <c r="AO83"/>
    </row>
    <row r="84" spans="1:41" s="6" customFormat="1" x14ac:dyDescent="0.25">
      <c r="A84"/>
      <c r="B84"/>
      <c r="C84"/>
      <c r="D84"/>
      <c r="E84"/>
      <c r="F84"/>
      <c r="H84" s="18"/>
      <c r="I84" s="18">
        <f>Tabla39152331419192949596979899192939[[#This Row],[COMISIONES]]*0.21</f>
        <v>0</v>
      </c>
      <c r="J84" s="18"/>
      <c r="K84" s="18"/>
      <c r="L84" s="18"/>
      <c r="N84" s="18"/>
      <c r="O84" s="11">
        <f>Tabla35101826364142444546474844142434[[#This Row],[COMISIONES]]*0.21</f>
        <v>0</v>
      </c>
      <c r="P84" s="18"/>
      <c r="Q84" s="18"/>
      <c r="R84" s="18"/>
      <c r="T84"/>
      <c r="U84" s="19">
        <f>Tabla61220283342102030506070809010203040[[#This Row],[COMISIONES]]*0.21</f>
        <v>0</v>
      </c>
      <c r="V84"/>
      <c r="W84"/>
      <c r="X84"/>
      <c r="Z84" s="3">
        <v>956.96</v>
      </c>
      <c r="AA84" s="21">
        <f>Tabla3568132129397172747576777877172737[[#This Row],[COMISIONES]]*0.21</f>
        <v>200.9616</v>
      </c>
      <c r="AB84" s="21"/>
      <c r="AC84" s="1">
        <v>254.16</v>
      </c>
      <c r="AD84"/>
      <c r="AF84"/>
      <c r="AG84"/>
      <c r="AH84"/>
      <c r="AI84"/>
      <c r="AJ84"/>
      <c r="AK84"/>
      <c r="AL84"/>
      <c r="AM84"/>
      <c r="AN84"/>
      <c r="AO84"/>
    </row>
    <row r="85" spans="1:41" s="6" customFormat="1" x14ac:dyDescent="0.25">
      <c r="A85"/>
      <c r="B85"/>
      <c r="C85"/>
      <c r="D85"/>
      <c r="E85"/>
      <c r="F85"/>
      <c r="H85" s="18"/>
      <c r="I85" s="18">
        <f>Tabla39152331419192949596979899192939[[#This Row],[COMISIONES]]*0.21</f>
        <v>0</v>
      </c>
      <c r="J85" s="18"/>
      <c r="K85" s="18"/>
      <c r="L85" s="18"/>
      <c r="N85" s="18"/>
      <c r="O85" s="11">
        <f>Tabla35101826364142444546474844142434[[#This Row],[COMISIONES]]*0.21</f>
        <v>0</v>
      </c>
      <c r="P85" s="18"/>
      <c r="Q85" s="18"/>
      <c r="R85" s="18"/>
      <c r="T85"/>
      <c r="U85" s="19">
        <f>Tabla61220283342102030506070809010203040[[#This Row],[COMISIONES]]*0.21</f>
        <v>0</v>
      </c>
      <c r="V85"/>
      <c r="W85"/>
      <c r="X85"/>
      <c r="Z85" s="3">
        <v>3294.55</v>
      </c>
      <c r="AA85" s="21">
        <f>Tabla3568132129397172747576777877172737[[#This Row],[COMISIONES]]*0.21</f>
        <v>691.85550000000001</v>
      </c>
      <c r="AB85" s="1"/>
      <c r="AC85" s="1">
        <v>22874.45</v>
      </c>
      <c r="AD85"/>
      <c r="AF85"/>
      <c r="AG85"/>
      <c r="AH85"/>
      <c r="AI85"/>
      <c r="AJ85"/>
      <c r="AK85"/>
      <c r="AL85"/>
      <c r="AM85"/>
      <c r="AN85"/>
      <c r="AO85"/>
    </row>
    <row r="86" spans="1:41" s="6" customFormat="1" x14ac:dyDescent="0.25">
      <c r="A86"/>
      <c r="B86"/>
      <c r="C86"/>
      <c r="D86"/>
      <c r="E86"/>
      <c r="F86"/>
      <c r="H86" s="18"/>
      <c r="I86" s="18">
        <f>Tabla39152331419192949596979899192939[[#This Row],[COMISIONES]]*0.21</f>
        <v>0</v>
      </c>
      <c r="J86" s="18"/>
      <c r="K86" s="18"/>
      <c r="L86" s="18"/>
      <c r="N86" s="18"/>
      <c r="O86" s="11">
        <f>Tabla35101826364142444546474844142434[[#This Row],[COMISIONES]]*0.21</f>
        <v>0</v>
      </c>
      <c r="P86" s="18"/>
      <c r="Q86" s="18"/>
      <c r="R86" s="18"/>
      <c r="T86"/>
      <c r="U86" s="19">
        <f>Tabla61220283342102030506070809010203040[[#This Row],[COMISIONES]]*0.21</f>
        <v>0</v>
      </c>
      <c r="V86"/>
      <c r="W86"/>
      <c r="X86"/>
      <c r="Z86" s="3">
        <v>69956.149999999994</v>
      </c>
      <c r="AA86" s="21">
        <f>Tabla3568132129397172747576777877172737[[#This Row],[COMISIONES]]*0.21</f>
        <v>14690.791499999998</v>
      </c>
      <c r="AB86" s="21"/>
      <c r="AC86" s="1">
        <v>20.350000000000001</v>
      </c>
      <c r="AD86"/>
      <c r="AF86"/>
      <c r="AG86"/>
      <c r="AH86"/>
      <c r="AI86"/>
      <c r="AJ86"/>
      <c r="AK86"/>
      <c r="AL86"/>
      <c r="AM86"/>
      <c r="AN86"/>
      <c r="AO86"/>
    </row>
    <row r="87" spans="1:41" s="6" customFormat="1" x14ac:dyDescent="0.25">
      <c r="A87"/>
      <c r="B87"/>
      <c r="C87"/>
      <c r="D87"/>
      <c r="E87"/>
      <c r="F87"/>
      <c r="H87" s="18"/>
      <c r="I87" s="18">
        <f>Tabla39152331419192949596979899192939[[#This Row],[COMISIONES]]*0.21</f>
        <v>0</v>
      </c>
      <c r="J87" s="18"/>
      <c r="K87" s="18"/>
      <c r="L87" s="18"/>
      <c r="N87" s="18"/>
      <c r="O87" s="11">
        <f>Tabla35101826364142444546474844142434[[#This Row],[COMISIONES]]*0.21</f>
        <v>0</v>
      </c>
      <c r="P87" s="18"/>
      <c r="Q87" s="18"/>
      <c r="R87" s="18"/>
      <c r="T87"/>
      <c r="U87" s="19">
        <f>Tabla61220283342102030506070809010203040[[#This Row],[COMISIONES]]*0.21</f>
        <v>0</v>
      </c>
      <c r="V87"/>
      <c r="W87"/>
      <c r="X87"/>
      <c r="Z87" s="3">
        <v>378763.14</v>
      </c>
      <c r="AA87" s="21">
        <v>4744.6000000000004</v>
      </c>
      <c r="AB87" s="1">
        <v>32399.3</v>
      </c>
      <c r="AC87" s="1">
        <v>1831.6</v>
      </c>
      <c r="AD87" s="21"/>
      <c r="AF87"/>
      <c r="AG87"/>
      <c r="AH87"/>
      <c r="AI87"/>
      <c r="AJ87"/>
      <c r="AK87"/>
      <c r="AL87"/>
      <c r="AM87"/>
      <c r="AN87"/>
      <c r="AO87"/>
    </row>
    <row r="88" spans="1:41" s="6" customFormat="1" x14ac:dyDescent="0.25">
      <c r="A88"/>
      <c r="B88"/>
      <c r="C88"/>
      <c r="D88"/>
      <c r="E88"/>
      <c r="F88"/>
      <c r="H88" s="18"/>
      <c r="I88" s="18">
        <f>Tabla39152331419192949596979899192939[[#This Row],[COMISIONES]]*0.21</f>
        <v>0</v>
      </c>
      <c r="J88" s="18"/>
      <c r="K88" s="18"/>
      <c r="L88" s="18"/>
      <c r="N88" s="18"/>
      <c r="O88" s="11">
        <f>Tabla35101826364142444546474844142434[[#This Row],[COMISIONES]]*0.21</f>
        <v>0</v>
      </c>
      <c r="P88" s="18"/>
      <c r="Q88" s="18"/>
      <c r="R88" s="18"/>
      <c r="T88"/>
      <c r="U88" s="19">
        <f>Tabla61220283342102030506070809010203040[[#This Row],[COMISIONES]]*0.21</f>
        <v>0</v>
      </c>
      <c r="V88"/>
      <c r="W88"/>
      <c r="X88"/>
      <c r="Z88" s="3">
        <v>939.36</v>
      </c>
      <c r="AA88" s="21">
        <f>Tabla3568132129397172747576777877172737[[#This Row],[COMISIONES]]*0.21</f>
        <v>197.26560000000001</v>
      </c>
      <c r="AB88" s="21"/>
      <c r="AC88" s="21">
        <v>217.94</v>
      </c>
      <c r="AD88"/>
      <c r="AF88"/>
      <c r="AG88"/>
      <c r="AH88"/>
      <c r="AI88"/>
      <c r="AJ88"/>
      <c r="AK88"/>
      <c r="AL88"/>
      <c r="AM88"/>
      <c r="AN88"/>
      <c r="AO88"/>
    </row>
    <row r="89" spans="1:41" s="6" customFormat="1" x14ac:dyDescent="0.25">
      <c r="A89"/>
      <c r="B89"/>
      <c r="C89"/>
      <c r="D89"/>
      <c r="E89"/>
      <c r="F89"/>
      <c r="H89" s="18"/>
      <c r="I89" s="18">
        <f>Tabla39152331419192949596979899192939[[#This Row],[COMISIONES]]*0.21</f>
        <v>0</v>
      </c>
      <c r="J89" s="18"/>
      <c r="K89" s="18"/>
      <c r="L89" s="18"/>
      <c r="N89" s="18"/>
      <c r="O89" s="11">
        <f>Tabla35101826364142444546474844142434[[#This Row],[COMISIONES]]*0.21</f>
        <v>0</v>
      </c>
      <c r="P89" s="18"/>
      <c r="Q89" s="18"/>
      <c r="R89" s="18"/>
      <c r="T89"/>
      <c r="U89" s="19">
        <f>Tabla61220283342102030506070809010203040[[#This Row],[COMISIONES]]*0.21</f>
        <v>0</v>
      </c>
      <c r="V89"/>
      <c r="W89"/>
      <c r="X89"/>
      <c r="Z89" s="3"/>
      <c r="AA89" s="21">
        <f>Tabla3568132129397172747576777877172737[[#This Row],[COMISIONES]]*0.21</f>
        <v>0</v>
      </c>
      <c r="AB89" s="19"/>
      <c r="AC89">
        <v>19614.48</v>
      </c>
      <c r="AD89"/>
      <c r="AF89"/>
      <c r="AG89"/>
      <c r="AH89"/>
      <c r="AI89"/>
      <c r="AJ89"/>
      <c r="AK89"/>
      <c r="AL89"/>
      <c r="AM89"/>
      <c r="AN89"/>
      <c r="AO89"/>
    </row>
    <row r="90" spans="1:41" s="6" customFormat="1" x14ac:dyDescent="0.25">
      <c r="A90"/>
      <c r="B90"/>
      <c r="C90"/>
      <c r="D90"/>
      <c r="E90"/>
      <c r="F90"/>
      <c r="H90" s="18"/>
      <c r="I90" s="18">
        <f>Tabla39152331419192949596979899192939[[#This Row],[COMISIONES]]*0.21</f>
        <v>0</v>
      </c>
      <c r="J90" s="18"/>
      <c r="K90" s="18"/>
      <c r="L90" s="18"/>
      <c r="N90" s="18"/>
      <c r="O90" s="11">
        <f>Tabla35101826364142444546474844142434[[#This Row],[COMISIONES]]*0.21</f>
        <v>0</v>
      </c>
      <c r="P90" s="18"/>
      <c r="Q90" s="18"/>
      <c r="R90" s="18"/>
      <c r="T90"/>
      <c r="U90" s="19">
        <f>Tabla61220283342102030506070809010203040[[#This Row],[COMISIONES]]*0.21</f>
        <v>0</v>
      </c>
      <c r="V90"/>
      <c r="W90"/>
      <c r="X90"/>
      <c r="Z90" s="3"/>
      <c r="AA90" s="21">
        <f>Tabla3568132129397172747576777877172737[[#This Row],[COMISIONES]]*0.21</f>
        <v>0</v>
      </c>
      <c r="AB90" s="21"/>
      <c r="AC90" s="21">
        <v>15409.98</v>
      </c>
      <c r="AD90"/>
      <c r="AF90"/>
      <c r="AG90"/>
      <c r="AH90"/>
      <c r="AI90"/>
      <c r="AJ90"/>
      <c r="AK90"/>
      <c r="AL90"/>
      <c r="AM90"/>
      <c r="AN90"/>
      <c r="AO90"/>
    </row>
    <row r="91" spans="1:41" s="6" customFormat="1" x14ac:dyDescent="0.25">
      <c r="A91"/>
      <c r="B91"/>
      <c r="C91"/>
      <c r="D91"/>
      <c r="E91"/>
      <c r="F91"/>
      <c r="H91" s="18"/>
      <c r="I91" s="18">
        <f>Tabla39152331419192949596979899192939[[#This Row],[COMISIONES]]*0.21</f>
        <v>0</v>
      </c>
      <c r="J91" s="18"/>
      <c r="K91" s="18"/>
      <c r="L91" s="18"/>
      <c r="N91" s="18"/>
      <c r="O91" s="11">
        <f>Tabla35101826364142444546474844142434[[#This Row],[COMISIONES]]*0.21</f>
        <v>0</v>
      </c>
      <c r="P91" s="18"/>
      <c r="Q91" s="18"/>
      <c r="R91" s="18"/>
      <c r="T91"/>
      <c r="U91" s="19">
        <f>Tabla61220283342102030506070809010203040[[#This Row],[COMISIONES]]*0.21</f>
        <v>0</v>
      </c>
      <c r="V91"/>
      <c r="W91"/>
      <c r="X91"/>
      <c r="Z91" s="3"/>
      <c r="AA91" s="21"/>
      <c r="AB91" s="21">
        <f>Tabla3568132129397172747576777877172737[[#This Row],[COMISIONES]]*0.105</f>
        <v>0</v>
      </c>
      <c r="AC91" s="1">
        <v>171.22</v>
      </c>
      <c r="AD91"/>
      <c r="AF91"/>
      <c r="AG91"/>
      <c r="AH91"/>
      <c r="AI91"/>
      <c r="AJ91"/>
      <c r="AK91"/>
      <c r="AL91"/>
      <c r="AM91"/>
      <c r="AN91"/>
      <c r="AO91"/>
    </row>
    <row r="92" spans="1:41" s="6" customFormat="1" x14ac:dyDescent="0.25">
      <c r="A92"/>
      <c r="B92"/>
      <c r="C92"/>
      <c r="D92"/>
      <c r="E92"/>
      <c r="F92"/>
      <c r="H92" s="18"/>
      <c r="I92" s="18">
        <f>Tabla39152331419192949596979899192939[[#This Row],[COMISIONES]]*0.21</f>
        <v>0</v>
      </c>
      <c r="J92" s="18"/>
      <c r="K92" s="18"/>
      <c r="L92" s="18"/>
      <c r="N92" s="18"/>
      <c r="O92" s="11">
        <f>Tabla35101826364142444546474844142434[[#This Row],[COMISIONES]]*0.21</f>
        <v>0</v>
      </c>
      <c r="P92" s="18"/>
      <c r="Q92" s="18"/>
      <c r="R92" s="18"/>
      <c r="T92"/>
      <c r="U92" s="19">
        <f>Tabla61220283342102030506070809010203040[[#This Row],[COMISIONES]]*0.21</f>
        <v>0</v>
      </c>
      <c r="V92"/>
      <c r="W92"/>
      <c r="X92"/>
      <c r="Z92" s="3"/>
      <c r="AA92" s="21">
        <f>Tabla3568132129397172747576777877172737[[#This Row],[COMISIONES]]*0.21</f>
        <v>0</v>
      </c>
      <c r="AB92" s="1"/>
      <c r="AC92" s="21">
        <v>37.159999999999997</v>
      </c>
      <c r="AD92" s="21"/>
      <c r="AF92"/>
      <c r="AG92"/>
      <c r="AH92"/>
      <c r="AI92"/>
      <c r="AJ92"/>
      <c r="AK92"/>
      <c r="AL92"/>
      <c r="AM92"/>
      <c r="AN92"/>
      <c r="AO92"/>
    </row>
    <row r="93" spans="1:41" s="6" customFormat="1" x14ac:dyDescent="0.25">
      <c r="A93"/>
      <c r="B93"/>
      <c r="C93"/>
      <c r="D93"/>
      <c r="E93"/>
      <c r="F93"/>
      <c r="H93" s="21"/>
      <c r="I93" s="21">
        <f>Tabla39152331419192949596979899192939[[#This Row],[COMISIONES]]*0.21</f>
        <v>0</v>
      </c>
      <c r="J93" s="21"/>
      <c r="K93" s="21"/>
      <c r="L93" s="21"/>
      <c r="N93" s="18"/>
      <c r="O93" s="11">
        <f>Tabla35101826364142444546474844142434[[#This Row],[COMISIONES]]*0.21</f>
        <v>0</v>
      </c>
      <c r="P93" s="18"/>
      <c r="Q93" s="18"/>
      <c r="R93" s="18"/>
      <c r="T93"/>
      <c r="U93" s="19">
        <f>Tabla61220283342102030506070809010203040[[#This Row],[COMISIONES]]*0.21</f>
        <v>0</v>
      </c>
      <c r="V93"/>
      <c r="W93"/>
      <c r="X93"/>
      <c r="Z93" s="3"/>
      <c r="AA93" s="21">
        <f>Tabla3568132129397172747576777877172737[[#This Row],[COMISIONES]]*0.21</f>
        <v>0</v>
      </c>
      <c r="AB93" s="21"/>
      <c r="AC93" s="21">
        <v>3344.11</v>
      </c>
      <c r="AD93" s="21"/>
      <c r="AF93"/>
      <c r="AG93"/>
      <c r="AH93"/>
      <c r="AI93"/>
      <c r="AJ93"/>
      <c r="AK93"/>
      <c r="AL93"/>
      <c r="AM93"/>
      <c r="AN93"/>
      <c r="AO93"/>
    </row>
    <row r="94" spans="1:41" s="6" customFormat="1" x14ac:dyDescent="0.25">
      <c r="A94"/>
      <c r="B94"/>
      <c r="C94"/>
      <c r="D94"/>
      <c r="E94"/>
      <c r="F94"/>
      <c r="H94" s="21"/>
      <c r="I94" s="21">
        <f>Tabla39152331419192949596979899192939[[#This Row],[COMISIONES]]*0.21</f>
        <v>0</v>
      </c>
      <c r="J94" s="21"/>
      <c r="K94" s="21"/>
      <c r="L94" s="21"/>
      <c r="N94" s="18"/>
      <c r="O94" s="11">
        <f>Tabla35101826364142444546474844142434[[#This Row],[COMISIONES]]*0.21</f>
        <v>0</v>
      </c>
      <c r="P94" s="18"/>
      <c r="Q94" s="18"/>
      <c r="R94" s="18"/>
      <c r="T94"/>
      <c r="U94" s="19">
        <f>Tabla61220283342102030506070809010203040[[#This Row],[COMISIONES]]*0.21</f>
        <v>0</v>
      </c>
      <c r="V94"/>
      <c r="W94"/>
      <c r="X94"/>
      <c r="Z94" s="3"/>
      <c r="AA94" s="21">
        <f>Tabla3568132129397172747576777877172737[[#This Row],[COMISIONES]]*0.21</f>
        <v>0</v>
      </c>
      <c r="AB94" s="21"/>
      <c r="AC94" s="21">
        <v>105.74</v>
      </c>
      <c r="AD94" s="21"/>
      <c r="AF94"/>
      <c r="AG94"/>
      <c r="AH94"/>
      <c r="AI94"/>
      <c r="AJ94"/>
      <c r="AK94"/>
      <c r="AL94"/>
      <c r="AM94"/>
      <c r="AN94"/>
      <c r="AO94"/>
    </row>
    <row r="95" spans="1:41" s="6" customFormat="1" x14ac:dyDescent="0.25">
      <c r="A95"/>
      <c r="B95"/>
      <c r="C95"/>
      <c r="D95"/>
      <c r="E95"/>
      <c r="F95"/>
      <c r="H95" s="21"/>
      <c r="I95" s="21">
        <f>Tabla39152331419192949596979899192939[[#This Row],[COMISIONES]]*0.21</f>
        <v>0</v>
      </c>
      <c r="J95" s="21"/>
      <c r="K95" s="21"/>
      <c r="L95" s="21"/>
      <c r="N95" s="18"/>
      <c r="O95" s="11">
        <f>Tabla35101826364142444546474844142434[[#This Row],[COMISIONES]]*0.21</f>
        <v>0</v>
      </c>
      <c r="P95" s="18"/>
      <c r="Q95" s="18"/>
      <c r="R95" s="18"/>
      <c r="T95"/>
      <c r="U95" s="19">
        <f>Tabla61220283342102030506070809010203040[[#This Row],[COMISIONES]]*0.21</f>
        <v>0</v>
      </c>
      <c r="V95"/>
      <c r="W95"/>
      <c r="X95"/>
      <c r="Z95" s="3"/>
      <c r="AA95" s="21"/>
      <c r="AB95" s="21">
        <f>Tabla3568132129397172747576777877172737[[#This Row],[COMISIONES]]*0.105</f>
        <v>0</v>
      </c>
      <c r="AC95" s="21">
        <v>9516.81</v>
      </c>
      <c r="AD95" s="21"/>
      <c r="AF95"/>
      <c r="AG95"/>
      <c r="AH95"/>
      <c r="AI95"/>
      <c r="AJ95"/>
      <c r="AK95"/>
      <c r="AL95"/>
      <c r="AM95"/>
      <c r="AN95"/>
      <c r="AO95"/>
    </row>
    <row r="96" spans="1:41" s="6" customFormat="1" x14ac:dyDescent="0.25">
      <c r="A96"/>
      <c r="B96"/>
      <c r="C96"/>
      <c r="D96"/>
      <c r="E96"/>
      <c r="F96"/>
      <c r="H96" s="21"/>
      <c r="I96" s="21">
        <f>Tabla39152331419192949596979899192939[[#This Row],[COMISIONES]]*0.21</f>
        <v>0</v>
      </c>
      <c r="J96" s="21"/>
      <c r="K96" s="21"/>
      <c r="L96" s="21"/>
      <c r="N96" s="18"/>
      <c r="O96" s="11">
        <f>Tabla35101826364142444546474844142434[[#This Row],[COMISIONES]]*0.21</f>
        <v>0</v>
      </c>
      <c r="P96" s="18"/>
      <c r="Q96" s="18"/>
      <c r="R96" s="18"/>
      <c r="T96"/>
      <c r="U96" s="19">
        <f>Tabla61220283342102030506070809010203040[[#This Row],[COMISIONES]]*0.21</f>
        <v>0</v>
      </c>
      <c r="V96"/>
      <c r="W96"/>
      <c r="X96"/>
      <c r="Z96" s="3"/>
      <c r="AA96" s="21">
        <f>Tabla3568132129397172747576777877172737[[#This Row],[COMISIONES]]*0.21</f>
        <v>0</v>
      </c>
      <c r="AB96" s="1">
        <f>Tabla3568132129397172747576777877172737[[#This Row],[COMISIONES]]*0.105</f>
        <v>0</v>
      </c>
      <c r="AC96" s="1">
        <v>34945.56</v>
      </c>
      <c r="AD96"/>
      <c r="AF96"/>
      <c r="AG96"/>
      <c r="AH96"/>
      <c r="AI96"/>
      <c r="AJ96"/>
      <c r="AK96"/>
      <c r="AL96"/>
      <c r="AM96"/>
      <c r="AN96"/>
      <c r="AO96"/>
    </row>
    <row r="97" spans="1:41" s="6" customFormat="1" x14ac:dyDescent="0.25">
      <c r="A97"/>
      <c r="B97"/>
      <c r="C97"/>
      <c r="D97"/>
      <c r="E97"/>
      <c r="F97"/>
      <c r="H97" s="21"/>
      <c r="I97" s="21">
        <f>Tabla39152331419192949596979899192939[[#This Row],[COMISIONES]]*0.21</f>
        <v>0</v>
      </c>
      <c r="J97" s="21"/>
      <c r="K97" s="21"/>
      <c r="L97" s="21"/>
      <c r="N97" s="18"/>
      <c r="O97" s="11">
        <f>Tabla35101826364142444546474844142434[[#This Row],[COMISIONES]]*0.21</f>
        <v>0</v>
      </c>
      <c r="P97" s="18"/>
      <c r="Q97" s="18"/>
      <c r="R97" s="18"/>
      <c r="T97"/>
      <c r="U97" s="19">
        <f>Tabla61220283342102030506070809010203040[[#This Row],[COMISIONES]]*0.21</f>
        <v>0</v>
      </c>
      <c r="V97"/>
      <c r="W97"/>
      <c r="X97"/>
      <c r="Z97" s="3"/>
      <c r="AA97" s="21">
        <f>Tabla3568132129397172747576777877172737[[#This Row],[COMISIONES]]*0.21</f>
        <v>0</v>
      </c>
      <c r="AB97" s="1">
        <f>Tabla3568132129397172747576777877172737[[#This Row],[COMISIONES]]*0.105</f>
        <v>0</v>
      </c>
      <c r="AC97" s="1">
        <v>388.28</v>
      </c>
      <c r="AD97"/>
      <c r="AF97"/>
      <c r="AG97"/>
      <c r="AH97"/>
      <c r="AI97"/>
      <c r="AJ97"/>
      <c r="AK97"/>
      <c r="AL97"/>
      <c r="AM97"/>
      <c r="AN97"/>
      <c r="AO97"/>
    </row>
    <row r="98" spans="1:41" s="6" customFormat="1" x14ac:dyDescent="0.25">
      <c r="A98"/>
      <c r="B98"/>
      <c r="C98"/>
      <c r="D98"/>
      <c r="E98"/>
      <c r="F98"/>
      <c r="H98" s="21"/>
      <c r="I98" s="21">
        <f>Tabla39152331419192949596979899192939[[#This Row],[COMISIONES]]*0.21</f>
        <v>0</v>
      </c>
      <c r="J98" s="21"/>
      <c r="K98" s="21"/>
      <c r="L98" s="21"/>
      <c r="N98" s="18"/>
      <c r="O98" s="11">
        <f>Tabla35101826364142444546474844142434[[#This Row],[COMISIONES]]*0.21</f>
        <v>0</v>
      </c>
      <c r="P98" s="18"/>
      <c r="Q98" s="18"/>
      <c r="R98" s="18"/>
      <c r="T98"/>
      <c r="U98" s="19">
        <f>Tabla61220283342102030506070809010203040[[#This Row],[COMISIONES]]*0.21</f>
        <v>0</v>
      </c>
      <c r="V98"/>
      <c r="W98"/>
      <c r="X98"/>
      <c r="Z98" s="3"/>
      <c r="AA98" s="21">
        <f>Tabla3568132129397172747576777877172737[[#This Row],[COMISIONES]]*0.21</f>
        <v>0</v>
      </c>
      <c r="AB98" s="21">
        <f>Tabla3568132129397172747576777877172737[[#This Row],[COMISIONES]]*0.105</f>
        <v>0</v>
      </c>
      <c r="AC98" s="21">
        <v>35361.46</v>
      </c>
      <c r="AD98"/>
      <c r="AF98"/>
      <c r="AG98"/>
      <c r="AH98"/>
      <c r="AI98"/>
      <c r="AJ98"/>
      <c r="AK98"/>
      <c r="AL98"/>
      <c r="AM98"/>
      <c r="AN98"/>
      <c r="AO98"/>
    </row>
    <row r="99" spans="1:41" s="6" customFormat="1" x14ac:dyDescent="0.25">
      <c r="A99"/>
      <c r="B99"/>
      <c r="C99"/>
      <c r="D99"/>
      <c r="E99"/>
      <c r="F99"/>
      <c r="H99" s="21"/>
      <c r="I99" s="21">
        <f>Tabla39152331419192949596979899192939[[#This Row],[COMISIONES]]*0.21</f>
        <v>0</v>
      </c>
      <c r="J99" s="21"/>
      <c r="K99" s="21"/>
      <c r="L99" s="21"/>
      <c r="N99" s="18"/>
      <c r="O99" s="11">
        <f>Tabla35101826364142444546474844142434[[#This Row],[COMISIONES]]*0.21</f>
        <v>0</v>
      </c>
      <c r="P99" s="18"/>
      <c r="Q99" s="18"/>
      <c r="R99" s="18"/>
      <c r="T99"/>
      <c r="U99" s="19">
        <f>Tabla61220283342102030506070809010203040[[#This Row],[COMISIONES]]*0.21</f>
        <v>0</v>
      </c>
      <c r="V99"/>
      <c r="W99"/>
      <c r="X99"/>
      <c r="Z99" s="3"/>
      <c r="AA99" s="21">
        <f>Tabla3568132129397172747576777877172737[[#This Row],[COMISIONES]]*0.21</f>
        <v>0</v>
      </c>
      <c r="AB99" s="21">
        <f>Tabla3568132129397172747576777877172737[[#This Row],[COMISIONES]]*0.105</f>
        <v>0</v>
      </c>
      <c r="AC99" s="21">
        <v>392.91</v>
      </c>
      <c r="AD99"/>
      <c r="AF99"/>
      <c r="AG99"/>
      <c r="AH99"/>
      <c r="AI99"/>
      <c r="AJ99"/>
      <c r="AK99"/>
      <c r="AL99"/>
      <c r="AM99"/>
      <c r="AN99"/>
      <c r="AO99"/>
    </row>
    <row r="100" spans="1:41" s="6" customFormat="1" x14ac:dyDescent="0.25">
      <c r="A100"/>
      <c r="B100"/>
      <c r="C100"/>
      <c r="D100"/>
      <c r="E100"/>
      <c r="F100"/>
      <c r="H100" s="21"/>
      <c r="I100" s="21">
        <f>Tabla39152331419192949596979899192939[[#This Row],[COMISIONES]]*0.21</f>
        <v>0</v>
      </c>
      <c r="J100" s="21"/>
      <c r="K100" s="21"/>
      <c r="L100" s="21"/>
      <c r="N100" s="18"/>
      <c r="O100" s="11">
        <f>Tabla35101826364142444546474844142434[[#This Row],[COMISIONES]]*0.21</f>
        <v>0</v>
      </c>
      <c r="P100" s="18"/>
      <c r="Q100" s="18"/>
      <c r="R100" s="18"/>
      <c r="T100"/>
      <c r="U100" s="19">
        <f>Tabla61220283342102030506070809010203040[[#This Row],[COMISIONES]]*0.21</f>
        <v>0</v>
      </c>
      <c r="V100"/>
      <c r="W100"/>
      <c r="X100"/>
      <c r="Z100" s="3"/>
      <c r="AA100" s="21">
        <f>Tabla3568132129397172747576777877172737[[#This Row],[COMISIONES]]*0.21</f>
        <v>0</v>
      </c>
      <c r="AB100" s="21">
        <f>Tabla3568132129397172747576777877172737[[#This Row],[COMISIONES]]*0.105</f>
        <v>0</v>
      </c>
      <c r="AC100" s="21">
        <v>50066.239999999998</v>
      </c>
      <c r="AD100"/>
      <c r="AF100"/>
      <c r="AG100"/>
      <c r="AH100"/>
      <c r="AI100"/>
      <c r="AJ100"/>
      <c r="AK100"/>
      <c r="AL100"/>
      <c r="AM100"/>
      <c r="AN100"/>
      <c r="AO100"/>
    </row>
    <row r="101" spans="1:41" s="6" customFormat="1" x14ac:dyDescent="0.25">
      <c r="A101"/>
      <c r="B101"/>
      <c r="C101"/>
      <c r="D101"/>
      <c r="E101"/>
      <c r="F101"/>
      <c r="H101" s="21"/>
      <c r="I101" s="21">
        <f>Tabla39152331419192949596979899192939[[#This Row],[COMISIONES]]*0.21</f>
        <v>0</v>
      </c>
      <c r="J101" s="21"/>
      <c r="K101" s="21"/>
      <c r="L101" s="21"/>
      <c r="N101" s="18"/>
      <c r="O101" s="11">
        <f>Tabla35101826364142444546474844142434[[#This Row],[COMISIONES]]*0.21</f>
        <v>0</v>
      </c>
      <c r="P101" s="18"/>
      <c r="Q101" s="18"/>
      <c r="R101" s="18"/>
      <c r="T101"/>
      <c r="U101" s="19">
        <f>Tabla61220283342102030506070809010203040[[#This Row],[COMISIONES]]*0.21</f>
        <v>0</v>
      </c>
      <c r="V101"/>
      <c r="W101"/>
      <c r="X101"/>
      <c r="Z101" s="3"/>
      <c r="AA101" s="21">
        <f>Tabla3568132129397172747576777877172737[[#This Row],[COMISIONES]]*0.21</f>
        <v>0</v>
      </c>
      <c r="AB101" s="21">
        <f>Tabla3568132129397172747576777877172737[[#This Row],[COMISIONES]]*0.105</f>
        <v>0</v>
      </c>
      <c r="AC101" s="21">
        <v>556.29</v>
      </c>
      <c r="AD101" s="21"/>
      <c r="AF101"/>
      <c r="AG101"/>
      <c r="AH101"/>
      <c r="AI101"/>
      <c r="AJ101"/>
      <c r="AK101"/>
      <c r="AL101"/>
      <c r="AM101"/>
      <c r="AN101"/>
      <c r="AO101"/>
    </row>
    <row r="102" spans="1:41" s="6" customFormat="1" x14ac:dyDescent="0.25">
      <c r="A102"/>
      <c r="B102"/>
      <c r="C102"/>
      <c r="D102"/>
      <c r="E102"/>
      <c r="F102"/>
      <c r="H102" s="20">
        <f>SUBTOTAL(109,Tabla39152331419192949596979899192939[COMISIONES])</f>
        <v>0</v>
      </c>
      <c r="I102" s="20">
        <f>SUBTOTAL(109,Tabla39152331419192949596979899192939[IVA 21])</f>
        <v>0</v>
      </c>
      <c r="J102" s="20">
        <f>SUBTOTAL(109,Tabla39152331419192949596979899192939[IVA 10,5])</f>
        <v>0</v>
      </c>
      <c r="K102" s="20">
        <f>SUBTOTAL(109,Tabla39152331419192949596979899192939[Ret IIBB Caba])</f>
        <v>0</v>
      </c>
      <c r="L102" s="20">
        <f>SUBTOTAL(109,Tabla39152331419192949596979899192939[PERC IVA])</f>
        <v>0</v>
      </c>
      <c r="N102" s="18"/>
      <c r="O102" s="11">
        <f>Tabla35101826364142444546474844142434[[#This Row],[COMISIONES]]*0.21</f>
        <v>0</v>
      </c>
      <c r="P102" s="18"/>
      <c r="Q102" s="18"/>
      <c r="R102" s="18"/>
      <c r="T102"/>
      <c r="U102" s="19">
        <f>Tabla61220283342102030506070809010203040[[#This Row],[COMISIONES]]*0.21</f>
        <v>0</v>
      </c>
      <c r="V102"/>
      <c r="W102"/>
      <c r="X102"/>
      <c r="Z102" s="3"/>
      <c r="AA102" s="21">
        <f>Tabla3568132129397172747576777877172737[[#This Row],[COMISIONES]]*0.21</f>
        <v>0</v>
      </c>
      <c r="AB102" s="21">
        <f>Tabla3568132129397172747576777877172737[[#This Row],[COMISIONES]]*0.105</f>
        <v>0</v>
      </c>
      <c r="AC102" s="11">
        <v>319.93</v>
      </c>
      <c r="AD102" s="21"/>
      <c r="AF102"/>
      <c r="AG102"/>
      <c r="AH102"/>
      <c r="AI102"/>
      <c r="AJ102"/>
      <c r="AK102"/>
      <c r="AL102"/>
      <c r="AM102"/>
      <c r="AN102"/>
      <c r="AO102"/>
    </row>
    <row r="103" spans="1:41" s="6" customFormat="1" x14ac:dyDescent="0.25">
      <c r="A103"/>
      <c r="B103"/>
      <c r="C103"/>
      <c r="D103"/>
      <c r="E103"/>
      <c r="F103"/>
      <c r="H103"/>
      <c r="I103"/>
      <c r="J103"/>
      <c r="K103"/>
      <c r="L103"/>
      <c r="N103" s="18"/>
      <c r="O103" s="11">
        <f>Tabla35101826364142444546474844142434[[#This Row],[COMISIONES]]*0.21</f>
        <v>0</v>
      </c>
      <c r="P103" s="18"/>
      <c r="Q103" s="18"/>
      <c r="R103" s="18"/>
      <c r="T103"/>
      <c r="U103" s="19">
        <f>Tabla61220283342102030506070809010203040[[#This Row],[COMISIONES]]*0.21</f>
        <v>0</v>
      </c>
      <c r="V103"/>
      <c r="W103"/>
      <c r="X103"/>
      <c r="Z103" s="3"/>
      <c r="AA103" s="21">
        <f>Tabla3568132129397172747576777877172737[[#This Row],[COMISIONES]]*0.21</f>
        <v>0</v>
      </c>
      <c r="AB103" s="21">
        <f>Tabla3568132129397172747576777877172737[[#This Row],[COMISIONES]]*0.105</f>
        <v>0</v>
      </c>
      <c r="AC103" s="21">
        <v>28794.080000000002</v>
      </c>
      <c r="AD103" s="21"/>
      <c r="AF103"/>
      <c r="AG103"/>
      <c r="AH103"/>
      <c r="AI103"/>
      <c r="AJ103"/>
      <c r="AK103"/>
      <c r="AL103"/>
      <c r="AM103"/>
      <c r="AN103"/>
      <c r="AO103"/>
    </row>
    <row r="104" spans="1:41" s="6" customFormat="1" x14ac:dyDescent="0.25">
      <c r="A104"/>
      <c r="B104"/>
      <c r="C104"/>
      <c r="D104"/>
      <c r="E104"/>
      <c r="F104"/>
      <c r="H104"/>
      <c r="I104"/>
      <c r="J104"/>
      <c r="K104"/>
      <c r="L104"/>
      <c r="N104" s="18"/>
      <c r="O104" s="11">
        <f>Tabla35101826364142444546474844142434[[#This Row],[COMISIONES]]*0.21</f>
        <v>0</v>
      </c>
      <c r="P104" s="18"/>
      <c r="Q104" s="18"/>
      <c r="R104" s="18"/>
      <c r="T104"/>
      <c r="U104" s="19">
        <f>Tabla61220283342102030506070809010203040[[#This Row],[COMISIONES]]*0.21</f>
        <v>0</v>
      </c>
      <c r="V104"/>
      <c r="W104"/>
      <c r="X104"/>
      <c r="Z104" s="3"/>
      <c r="AA104" s="21">
        <f>Tabla3568132129397172747576777877172737[[#This Row],[COMISIONES]]*0.21</f>
        <v>0</v>
      </c>
      <c r="AB104" s="21">
        <f>Tabla3568132129397172747576777877172737[[#This Row],[COMISIONES]]*0.105</f>
        <v>0</v>
      </c>
      <c r="AC104" s="1">
        <v>438.99</v>
      </c>
      <c r="AD104" s="21"/>
      <c r="AF104"/>
      <c r="AG104"/>
      <c r="AH104"/>
      <c r="AI104"/>
      <c r="AJ104"/>
      <c r="AK104"/>
      <c r="AL104"/>
      <c r="AM104"/>
      <c r="AN104"/>
      <c r="AO104"/>
    </row>
    <row r="105" spans="1:41" s="6" customFormat="1" x14ac:dyDescent="0.25">
      <c r="A105"/>
      <c r="B105"/>
      <c r="C105"/>
      <c r="D105"/>
      <c r="E105"/>
      <c r="F105"/>
      <c r="H105"/>
      <c r="I105"/>
      <c r="J105"/>
      <c r="K105"/>
      <c r="L105"/>
      <c r="N105" s="18"/>
      <c r="O105" s="11">
        <f>Tabla35101826364142444546474844142434[[#This Row],[COMISIONES]]*0.21</f>
        <v>0</v>
      </c>
      <c r="P105" s="18"/>
      <c r="Q105" s="18"/>
      <c r="R105" s="18"/>
      <c r="T105"/>
      <c r="U105" s="19">
        <f>Tabla61220283342102030506070809010203040[[#This Row],[COMISIONES]]*0.21</f>
        <v>0</v>
      </c>
      <c r="V105"/>
      <c r="W105"/>
      <c r="X105"/>
      <c r="Z105" s="3"/>
      <c r="AA105" s="21">
        <f>Tabla3568132129397172747576777877172737[[#This Row],[COMISIONES]]*0.21</f>
        <v>0</v>
      </c>
      <c r="AB105" s="21">
        <f>Tabla3568132129397172747576777877172737[[#This Row],[COMISIONES]]*0.105</f>
        <v>0</v>
      </c>
      <c r="AC105" s="1">
        <v>39508.660000000003</v>
      </c>
      <c r="AD105"/>
      <c r="AF105"/>
      <c r="AG105"/>
      <c r="AH105"/>
      <c r="AI105"/>
      <c r="AJ105"/>
      <c r="AK105"/>
      <c r="AL105"/>
      <c r="AM105"/>
      <c r="AN105"/>
      <c r="AO105"/>
    </row>
    <row r="106" spans="1:41" s="6" customFormat="1" x14ac:dyDescent="0.25">
      <c r="A106"/>
      <c r="B106"/>
      <c r="C106"/>
      <c r="D106"/>
      <c r="E106"/>
      <c r="F106"/>
      <c r="H106"/>
      <c r="I106"/>
      <c r="J106"/>
      <c r="K106"/>
      <c r="L106"/>
      <c r="N106" s="18"/>
      <c r="O106" s="11">
        <f>Tabla35101826364142444546474844142434[[#This Row],[COMISIONES]]*0.21</f>
        <v>0</v>
      </c>
      <c r="P106" s="18"/>
      <c r="Q106" s="18"/>
      <c r="R106" s="18"/>
      <c r="T106"/>
      <c r="U106" s="19">
        <f>Tabla61220283342102030506070809010203040[[#This Row],[COMISIONES]]*0.21</f>
        <v>0</v>
      </c>
      <c r="V106"/>
      <c r="W106"/>
      <c r="X106"/>
      <c r="Z106" s="3"/>
      <c r="AA106" s="21">
        <f>Tabla3568132129397172747576777877172737[[#This Row],[COMISIONES]]*0.21</f>
        <v>0</v>
      </c>
      <c r="AB106" s="21">
        <f>Tabla3568132129397172747576777877172737[[#This Row],[COMISIONES]]*0.105</f>
        <v>0</v>
      </c>
      <c r="AC106" s="1">
        <v>3.81</v>
      </c>
      <c r="AD106" s="21"/>
      <c r="AF106"/>
      <c r="AG106"/>
      <c r="AH106"/>
      <c r="AI106"/>
      <c r="AJ106"/>
      <c r="AK106"/>
      <c r="AL106"/>
      <c r="AM106"/>
      <c r="AN106"/>
      <c r="AO106"/>
    </row>
    <row r="107" spans="1:41" s="6" customFormat="1" x14ac:dyDescent="0.25">
      <c r="A107"/>
      <c r="B107"/>
      <c r="C107"/>
      <c r="D107"/>
      <c r="E107"/>
      <c r="F107"/>
      <c r="H107"/>
      <c r="I107"/>
      <c r="J107"/>
      <c r="K107"/>
      <c r="L107"/>
      <c r="N107" s="18"/>
      <c r="O107" s="11">
        <f>Tabla35101826364142444546474844142434[[#This Row],[COMISIONES]]*0.21</f>
        <v>0</v>
      </c>
      <c r="P107" s="18"/>
      <c r="Q107" s="18"/>
      <c r="R107" s="18"/>
      <c r="T107"/>
      <c r="U107" s="19">
        <f>Tabla61220283342102030506070809010203040[[#This Row],[COMISIONES]]*0.21</f>
        <v>0</v>
      </c>
      <c r="V107"/>
      <c r="W107"/>
      <c r="X107"/>
      <c r="Z107" s="3"/>
      <c r="AA107" s="21">
        <f>Tabla3568132129397172747576777877172737[[#This Row],[COMISIONES]]*0.21</f>
        <v>0</v>
      </c>
      <c r="AB107" s="21">
        <f>Tabla3568132129397172747576777877172737[[#This Row],[COMISIONES]]*0.105</f>
        <v>0</v>
      </c>
      <c r="AC107" s="1">
        <v>343.37</v>
      </c>
      <c r="AD107"/>
      <c r="AF107"/>
      <c r="AG107"/>
      <c r="AH107"/>
      <c r="AI107"/>
      <c r="AJ107"/>
      <c r="AK107"/>
      <c r="AL107"/>
      <c r="AM107"/>
      <c r="AN107"/>
      <c r="AO107"/>
    </row>
    <row r="108" spans="1:41" s="6" customFormat="1" x14ac:dyDescent="0.25">
      <c r="A108"/>
      <c r="B108"/>
      <c r="C108"/>
      <c r="D108"/>
      <c r="E108"/>
      <c r="F108"/>
      <c r="H108"/>
      <c r="I108"/>
      <c r="J108"/>
      <c r="K108"/>
      <c r="L108"/>
      <c r="N108" s="18"/>
      <c r="O108" s="11">
        <f>Tabla35101826364142444546474844142434[[#This Row],[COMISIONES]]*0.21</f>
        <v>0</v>
      </c>
      <c r="P108" s="18"/>
      <c r="Q108" s="18"/>
      <c r="R108" s="18"/>
      <c r="T108"/>
      <c r="U108" s="19">
        <f>Tabla61220283342102030506070809010203040[[#This Row],[COMISIONES]]*0.21</f>
        <v>0</v>
      </c>
      <c r="V108"/>
      <c r="W108"/>
      <c r="X108"/>
      <c r="Z108" s="3"/>
      <c r="AA108" s="21">
        <f>Tabla3568132129397172747576777877172737[[#This Row],[COMISIONES]]*0.21</f>
        <v>0</v>
      </c>
      <c r="AB108" s="21">
        <f>Tabla3568132129397172747576777877172737[[#This Row],[COMISIONES]]*0.105</f>
        <v>0</v>
      </c>
      <c r="AC108" s="1">
        <v>19.309999999999999</v>
      </c>
      <c r="AD108"/>
      <c r="AF108"/>
      <c r="AG108"/>
      <c r="AH108"/>
      <c r="AI108"/>
      <c r="AJ108"/>
      <c r="AK108"/>
      <c r="AL108"/>
      <c r="AM108"/>
      <c r="AN108"/>
      <c r="AO108"/>
    </row>
    <row r="109" spans="1:41" s="6" customFormat="1" x14ac:dyDescent="0.25">
      <c r="A109"/>
      <c r="B109"/>
      <c r="C109"/>
      <c r="D109"/>
      <c r="E109"/>
      <c r="F109"/>
      <c r="H109"/>
      <c r="I109"/>
      <c r="J109"/>
      <c r="K109"/>
      <c r="L109"/>
      <c r="N109" s="18"/>
      <c r="O109" s="11">
        <f>Tabla35101826364142444546474844142434[[#This Row],[COMISIONES]]*0.21</f>
        <v>0</v>
      </c>
      <c r="P109" s="18"/>
      <c r="Q109" s="18"/>
      <c r="R109" s="18"/>
      <c r="T109"/>
      <c r="U109" s="19">
        <f>Tabla61220283342102030506070809010203040[[#This Row],[COMISIONES]]*0.21</f>
        <v>0</v>
      </c>
      <c r="V109"/>
      <c r="W109"/>
      <c r="X109"/>
      <c r="Z109" s="3"/>
      <c r="AA109" s="21">
        <f>Tabla3568132129397172747576777877172737[[#This Row],[COMISIONES]]*0.21</f>
        <v>0</v>
      </c>
      <c r="AB109" s="21">
        <f>Tabla3568132129397172747576777877172737[[#This Row],[COMISIONES]]*0.105</f>
        <v>0</v>
      </c>
      <c r="AC109" s="1">
        <v>1738.01</v>
      </c>
      <c r="AD109"/>
      <c r="AF109"/>
      <c r="AG109"/>
      <c r="AH109"/>
      <c r="AI109"/>
      <c r="AJ109"/>
      <c r="AK109"/>
      <c r="AL109"/>
      <c r="AM109"/>
      <c r="AN109"/>
      <c r="AO109"/>
    </row>
    <row r="110" spans="1:41" s="6" customFormat="1" x14ac:dyDescent="0.25">
      <c r="A110"/>
      <c r="B110"/>
      <c r="C110"/>
      <c r="D110"/>
      <c r="E110"/>
      <c r="F110"/>
      <c r="H110"/>
      <c r="I110"/>
      <c r="J110"/>
      <c r="K110"/>
      <c r="L110"/>
      <c r="N110" s="18"/>
      <c r="O110" s="11">
        <f>Tabla35101826364142444546474844142434[[#This Row],[COMISIONES]]*0.21</f>
        <v>0</v>
      </c>
      <c r="P110" s="18"/>
      <c r="Q110" s="18"/>
      <c r="R110" s="18"/>
      <c r="T110"/>
      <c r="U110" s="19">
        <f>Tabla61220283342102030506070809010203040[[#This Row],[COMISIONES]]*0.21</f>
        <v>0</v>
      </c>
      <c r="V110"/>
      <c r="W110"/>
      <c r="X110"/>
      <c r="Z110" s="3"/>
      <c r="AA110" s="21">
        <f>Tabla3568132129397172747576777877172737[[#This Row],[COMISIONES]]*0.21</f>
        <v>0</v>
      </c>
      <c r="AB110" s="21">
        <f>Tabla3568132129397172747576777877172737[[#This Row],[COMISIONES]]*0.105</f>
        <v>0</v>
      </c>
      <c r="AC110" s="1">
        <v>343.96</v>
      </c>
      <c r="AD110" s="21"/>
      <c r="AF110"/>
      <c r="AG110"/>
      <c r="AH110"/>
      <c r="AI110"/>
      <c r="AJ110"/>
      <c r="AK110"/>
      <c r="AL110"/>
      <c r="AM110"/>
      <c r="AN110"/>
      <c r="AO110"/>
    </row>
    <row r="111" spans="1:41" s="6" customFormat="1" x14ac:dyDescent="0.25">
      <c r="A111"/>
      <c r="B111"/>
      <c r="C111"/>
      <c r="D111"/>
      <c r="E111"/>
      <c r="F111"/>
      <c r="H111"/>
      <c r="I111"/>
      <c r="J111"/>
      <c r="K111"/>
      <c r="L111"/>
      <c r="N111" s="18"/>
      <c r="O111" s="11">
        <f>Tabla35101826364142444546474844142434[[#This Row],[COMISIONES]]*0.21</f>
        <v>0</v>
      </c>
      <c r="P111" s="18"/>
      <c r="Q111" s="18"/>
      <c r="R111" s="18"/>
      <c r="T111"/>
      <c r="U111" s="19">
        <f>Tabla61220283342102030506070809010203040[[#This Row],[COMISIONES]]*0.21</f>
        <v>0</v>
      </c>
      <c r="V111"/>
      <c r="W111"/>
      <c r="X111"/>
      <c r="Z111" s="3"/>
      <c r="AA111" s="21">
        <f>Tabla3568132129397172747576777877172737[[#This Row],[COMISIONES]]*0.21</f>
        <v>0</v>
      </c>
      <c r="AB111" s="21">
        <f>Tabla3568132129397172747576777877172737[[#This Row],[COMISIONES]]*0.105</f>
        <v>0</v>
      </c>
      <c r="AC111" s="1">
        <v>30956.01</v>
      </c>
      <c r="AD111" s="21"/>
      <c r="AF111"/>
      <c r="AG111"/>
      <c r="AH111"/>
      <c r="AI111"/>
      <c r="AJ111"/>
      <c r="AK111"/>
      <c r="AL111"/>
      <c r="AM111"/>
      <c r="AN111"/>
      <c r="AO111"/>
    </row>
    <row r="112" spans="1:41" s="6" customFormat="1" x14ac:dyDescent="0.25">
      <c r="A112"/>
      <c r="B112"/>
      <c r="C112"/>
      <c r="D112"/>
      <c r="E112"/>
      <c r="F112"/>
      <c r="H112"/>
      <c r="I112"/>
      <c r="J112"/>
      <c r="K112"/>
      <c r="L112"/>
      <c r="N112" s="18"/>
      <c r="O112" s="11">
        <f>Tabla35101826364142444546474844142434[[#This Row],[COMISIONES]]*0.21</f>
        <v>0</v>
      </c>
      <c r="P112" s="18"/>
      <c r="Q112" s="18"/>
      <c r="R112" s="18"/>
      <c r="T112"/>
      <c r="U112" s="19">
        <f>Tabla61220283342102030506070809010203040[[#This Row],[COMISIONES]]*0.21</f>
        <v>0</v>
      </c>
      <c r="V112"/>
      <c r="W112"/>
      <c r="X112"/>
      <c r="Z112" s="3"/>
      <c r="AA112" s="21">
        <f>Tabla3568132129397172747576777877172737[[#This Row],[COMISIONES]]*0.21</f>
        <v>0</v>
      </c>
      <c r="AB112" s="21">
        <f>Tabla3568132129397172747576777877172737[[#This Row],[COMISIONES]]*0.105</f>
        <v>0</v>
      </c>
      <c r="AC112" s="21">
        <v>38324.65</v>
      </c>
      <c r="AD112" s="21"/>
      <c r="AF112"/>
      <c r="AG112"/>
      <c r="AH112"/>
      <c r="AI112"/>
      <c r="AJ112"/>
      <c r="AK112"/>
      <c r="AL112"/>
      <c r="AM112"/>
      <c r="AN112"/>
      <c r="AO112"/>
    </row>
    <row r="113" spans="1:41" s="6" customFormat="1" x14ac:dyDescent="0.25">
      <c r="A113"/>
      <c r="B113"/>
      <c r="C113"/>
      <c r="D113"/>
      <c r="E113"/>
      <c r="F113"/>
      <c r="H113"/>
      <c r="I113"/>
      <c r="J113"/>
      <c r="K113"/>
      <c r="L113"/>
      <c r="N113" s="18"/>
      <c r="O113" s="11">
        <f>Tabla35101826364142444546474844142434[[#This Row],[COMISIONES]]*0.21</f>
        <v>0</v>
      </c>
      <c r="P113" s="18"/>
      <c r="Q113" s="18"/>
      <c r="R113" s="18"/>
      <c r="T113"/>
      <c r="U113" s="19">
        <f>Tabla61220283342102030506070809010203040[[#This Row],[COMISIONES]]*0.21</f>
        <v>0</v>
      </c>
      <c r="V113"/>
      <c r="W113"/>
      <c r="X113"/>
      <c r="Z113" s="3"/>
      <c r="AA113" s="21">
        <f>Tabla3568132129397172747576777877172737[[#This Row],[COMISIONES]]*0.21</f>
        <v>0</v>
      </c>
      <c r="AB113" s="21">
        <f>Tabla3568132129397172747576777877172737[[#This Row],[COMISIONES]]*0.105</f>
        <v>0</v>
      </c>
      <c r="AC113" s="21">
        <v>425.83</v>
      </c>
      <c r="AD113" s="21"/>
      <c r="AF113"/>
      <c r="AG113"/>
      <c r="AH113"/>
      <c r="AI113"/>
      <c r="AJ113"/>
      <c r="AK113"/>
      <c r="AL113"/>
      <c r="AM113"/>
      <c r="AN113"/>
      <c r="AO113"/>
    </row>
    <row r="114" spans="1:41" s="6" customFormat="1" x14ac:dyDescent="0.25">
      <c r="A114"/>
      <c r="B114"/>
      <c r="C114"/>
      <c r="D114"/>
      <c r="E114"/>
      <c r="F114"/>
      <c r="H114"/>
      <c r="I114"/>
      <c r="J114"/>
      <c r="K114"/>
      <c r="L114"/>
      <c r="N114" s="18"/>
      <c r="O114" s="11">
        <f>Tabla35101826364142444546474844142434[[#This Row],[COMISIONES]]*0.21</f>
        <v>0</v>
      </c>
      <c r="P114" s="18"/>
      <c r="Q114" s="18"/>
      <c r="R114" s="18"/>
      <c r="T114"/>
      <c r="U114" s="19">
        <f>Tabla61220283342102030506070809010203040[[#This Row],[COMISIONES]]*0.21</f>
        <v>0</v>
      </c>
      <c r="V114"/>
      <c r="W114"/>
      <c r="X114"/>
      <c r="Z114" s="3"/>
      <c r="AA114" s="21">
        <f>Tabla3568132129397172747576777877172737[[#This Row],[COMISIONES]]*0.21</f>
        <v>0</v>
      </c>
      <c r="AB114" s="21">
        <f>Tabla3568132129397172747576777877172737[[#This Row],[COMISIONES]]*0.105</f>
        <v>0</v>
      </c>
      <c r="AC114" s="1">
        <v>22.91</v>
      </c>
      <c r="AD114" s="21"/>
      <c r="AF114"/>
      <c r="AG114"/>
      <c r="AH114"/>
      <c r="AI114"/>
      <c r="AJ114"/>
      <c r="AK114"/>
      <c r="AL114"/>
      <c r="AM114"/>
      <c r="AN114"/>
      <c r="AO114"/>
    </row>
    <row r="115" spans="1:41" s="6" customFormat="1" x14ac:dyDescent="0.25">
      <c r="A115"/>
      <c r="B115"/>
      <c r="C115"/>
      <c r="D115"/>
      <c r="E115"/>
      <c r="F115"/>
      <c r="H115"/>
      <c r="I115"/>
      <c r="J115"/>
      <c r="K115"/>
      <c r="L115"/>
      <c r="N115" s="18"/>
      <c r="O115" s="11">
        <f>Tabla35101826364142444546474844142434[[#This Row],[COMISIONES]]*0.21</f>
        <v>0</v>
      </c>
      <c r="P115" s="18"/>
      <c r="Q115" s="18"/>
      <c r="R115" s="18"/>
      <c r="T115"/>
      <c r="U115" s="19">
        <f>Tabla61220283342102030506070809010203040[[#This Row],[COMISIONES]]*0.21</f>
        <v>0</v>
      </c>
      <c r="V115"/>
      <c r="W115"/>
      <c r="X115"/>
      <c r="Z115" s="21"/>
      <c r="AA115" s="21">
        <f>Tabla3568132129397172747576777877172737[[#This Row],[COMISIONES]]*0.21</f>
        <v>0</v>
      </c>
      <c r="AB115" s="21">
        <f>Tabla3568132129397172747576777877172737[[#This Row],[COMISIONES]]*0.105</f>
        <v>0</v>
      </c>
      <c r="AC115" s="1">
        <v>2061.5500000000002</v>
      </c>
      <c r="AD115" s="21"/>
      <c r="AF115"/>
      <c r="AG115"/>
      <c r="AH115"/>
      <c r="AI115"/>
      <c r="AJ115"/>
      <c r="AK115"/>
      <c r="AL115"/>
      <c r="AM115"/>
      <c r="AN115"/>
      <c r="AO115"/>
    </row>
    <row r="116" spans="1:41" s="6" customFormat="1" x14ac:dyDescent="0.25">
      <c r="A116"/>
      <c r="B116"/>
      <c r="C116"/>
      <c r="D116"/>
      <c r="E116"/>
      <c r="F116"/>
      <c r="H116"/>
      <c r="I116"/>
      <c r="J116"/>
      <c r="K116"/>
      <c r="L116"/>
      <c r="N116" s="18"/>
      <c r="O116" s="11">
        <f>Tabla35101826364142444546474844142434[[#This Row],[COMISIONES]]*0.21</f>
        <v>0</v>
      </c>
      <c r="P116" s="18"/>
      <c r="Q116" s="18"/>
      <c r="R116" s="18"/>
      <c r="T116"/>
      <c r="U116" s="19">
        <f>Tabla61220283342102030506070809010203040[[#This Row],[COMISIONES]]*0.21</f>
        <v>0</v>
      </c>
      <c r="V116"/>
      <c r="W116"/>
      <c r="X116"/>
      <c r="Z116" s="3"/>
      <c r="AA116" s="21">
        <f>Tabla3568132129397172747576777877172737[[#This Row],[COMISIONES]]*0.21</f>
        <v>0</v>
      </c>
      <c r="AB116" s="21">
        <f>Tabla3568132129397172747576777877172737[[#This Row],[COMISIONES]]*0.105</f>
        <v>0</v>
      </c>
      <c r="AC116" s="1">
        <v>222.07</v>
      </c>
      <c r="AD116" s="21"/>
      <c r="AF116"/>
      <c r="AG116"/>
      <c r="AH116"/>
      <c r="AI116"/>
      <c r="AJ116"/>
      <c r="AK116"/>
      <c r="AL116"/>
      <c r="AM116"/>
      <c r="AN116"/>
      <c r="AO116"/>
    </row>
    <row r="117" spans="1:41" s="6" customFormat="1" x14ac:dyDescent="0.25">
      <c r="A117"/>
      <c r="B117"/>
      <c r="C117"/>
      <c r="D117"/>
      <c r="E117"/>
      <c r="F117"/>
      <c r="H117"/>
      <c r="I117"/>
      <c r="J117"/>
      <c r="K117"/>
      <c r="L117"/>
      <c r="N117" s="18"/>
      <c r="O117" s="11">
        <f>Tabla35101826364142444546474844142434[[#This Row],[COMISIONES]]*0.21</f>
        <v>0</v>
      </c>
      <c r="P117" s="18"/>
      <c r="Q117" s="18"/>
      <c r="R117" s="18"/>
      <c r="T117"/>
      <c r="U117" s="19">
        <f>Tabla61220283342102030506070809010203040[[#This Row],[COMISIONES]]*0.21</f>
        <v>0</v>
      </c>
      <c r="V117"/>
      <c r="W117"/>
      <c r="X117"/>
      <c r="Z117" s="3"/>
      <c r="AA117" s="21">
        <f>Tabla3568132129397172747576777877172737[[#This Row],[COMISIONES]]*0.21</f>
        <v>0</v>
      </c>
      <c r="AB117" s="21">
        <f>Tabla3568132129397172747576777877172737[[#This Row],[COMISIONES]]*0.105</f>
        <v>0</v>
      </c>
      <c r="AC117" s="1">
        <v>19986.3</v>
      </c>
      <c r="AD117"/>
      <c r="AF117"/>
      <c r="AG117"/>
      <c r="AH117"/>
      <c r="AI117"/>
      <c r="AJ117"/>
      <c r="AK117"/>
      <c r="AL117"/>
      <c r="AM117"/>
      <c r="AN117"/>
      <c r="AO117"/>
    </row>
    <row r="118" spans="1:41" s="6" customFormat="1" x14ac:dyDescent="0.25">
      <c r="A118"/>
      <c r="B118"/>
      <c r="C118"/>
      <c r="D118"/>
      <c r="E118"/>
      <c r="F118"/>
      <c r="H118"/>
      <c r="I118"/>
      <c r="J118"/>
      <c r="K118"/>
      <c r="L118"/>
      <c r="N118" s="18"/>
      <c r="O118" s="11">
        <f>Tabla35101826364142444546474844142434[[#This Row],[COMISIONES]]*0.21</f>
        <v>0</v>
      </c>
      <c r="P118" s="18"/>
      <c r="Q118" s="18"/>
      <c r="R118" s="18"/>
      <c r="T118"/>
      <c r="U118" s="19">
        <f>Tabla61220283342102030506070809010203040[[#This Row],[COMISIONES]]*0.21</f>
        <v>0</v>
      </c>
      <c r="V118"/>
      <c r="W118"/>
      <c r="X118"/>
      <c r="Z118" s="3"/>
      <c r="AA118" s="21">
        <f>Tabla3568132129397172747576777877172737[[#This Row],[COMISIONES]]*0.21</f>
        <v>0</v>
      </c>
      <c r="AB118" s="21">
        <f>Tabla3568132129397172747576777877172737[[#This Row],[COMISIONES]]*0.105</f>
        <v>0</v>
      </c>
      <c r="AC118" s="1">
        <v>415.72</v>
      </c>
      <c r="AD118"/>
      <c r="AF118"/>
      <c r="AG118"/>
      <c r="AH118"/>
      <c r="AI118"/>
      <c r="AJ118"/>
      <c r="AK118"/>
      <c r="AL118"/>
      <c r="AM118"/>
      <c r="AN118"/>
      <c r="AO118"/>
    </row>
    <row r="119" spans="1:41" s="6" customFormat="1" x14ac:dyDescent="0.25">
      <c r="A119"/>
      <c r="B119"/>
      <c r="C119"/>
      <c r="D119"/>
      <c r="E119"/>
      <c r="F119"/>
      <c r="H119"/>
      <c r="I119"/>
      <c r="J119"/>
      <c r="K119"/>
      <c r="L119"/>
      <c r="N119" s="18"/>
      <c r="O119" s="11">
        <f>Tabla35101826364142444546474844142434[[#This Row],[COMISIONES]]*0.21</f>
        <v>0</v>
      </c>
      <c r="P119" s="18"/>
      <c r="Q119" s="18"/>
      <c r="R119" s="18"/>
      <c r="T119"/>
      <c r="U119" s="19">
        <f>Tabla61220283342102030506070809010203040[[#This Row],[COMISIONES]]*0.21</f>
        <v>0</v>
      </c>
      <c r="V119"/>
      <c r="W119"/>
      <c r="X119"/>
      <c r="Z119" s="3"/>
      <c r="AA119" s="21">
        <f>Tabla3568132129397172747576777877172737[[#This Row],[COMISIONES]]*0.21</f>
        <v>0</v>
      </c>
      <c r="AB119" s="21">
        <f>Tabla3568132129397172747576777877172737[[#This Row],[COMISIONES]]*0.105</f>
        <v>0</v>
      </c>
      <c r="AC119" s="21">
        <v>37414.79</v>
      </c>
      <c r="AD119" s="21"/>
      <c r="AF119"/>
      <c r="AG119"/>
      <c r="AH119"/>
      <c r="AI119"/>
      <c r="AJ119"/>
      <c r="AK119"/>
      <c r="AL119"/>
      <c r="AM119"/>
      <c r="AN119"/>
      <c r="AO119"/>
    </row>
    <row r="120" spans="1:41" s="6" customFormat="1" x14ac:dyDescent="0.25">
      <c r="A120"/>
      <c r="B120"/>
      <c r="C120"/>
      <c r="D120"/>
      <c r="E120"/>
      <c r="F120"/>
      <c r="H120"/>
      <c r="I120"/>
      <c r="J120"/>
      <c r="K120"/>
      <c r="L120"/>
      <c r="N120" s="18"/>
      <c r="O120" s="11">
        <f>Tabla35101826364142444546474844142434[[#This Row],[COMISIONES]]*0.21</f>
        <v>0</v>
      </c>
      <c r="P120" s="18"/>
      <c r="Q120" s="18"/>
      <c r="R120" s="18"/>
      <c r="T120"/>
      <c r="U120" s="19">
        <f>Tabla61220283342102030506070809010203040[[#This Row],[COMISIONES]]*0.21</f>
        <v>0</v>
      </c>
      <c r="V120"/>
      <c r="W120"/>
      <c r="X120"/>
      <c r="Z120" s="3"/>
      <c r="AA120" s="21">
        <f>Tabla3568132129397172747576777877172737[[#This Row],[COMISIONES]]*0.21</f>
        <v>0</v>
      </c>
      <c r="AB120" s="21">
        <f>Tabla3568132129397172747576777877172737[[#This Row],[COMISIONES]]*0.105</f>
        <v>0</v>
      </c>
      <c r="AC120" s="21">
        <v>99.93</v>
      </c>
      <c r="AD120" s="21"/>
      <c r="AF120"/>
      <c r="AG120"/>
      <c r="AH120"/>
      <c r="AI120"/>
      <c r="AJ120"/>
      <c r="AK120"/>
      <c r="AL120"/>
      <c r="AM120"/>
      <c r="AN120"/>
      <c r="AO120"/>
    </row>
    <row r="121" spans="1:41" s="6" customFormat="1" x14ac:dyDescent="0.25">
      <c r="A121"/>
      <c r="B121"/>
      <c r="C121"/>
      <c r="D121"/>
      <c r="E121"/>
      <c r="F121"/>
      <c r="H121"/>
      <c r="I121"/>
      <c r="J121"/>
      <c r="K121"/>
      <c r="L121"/>
      <c r="N121" s="18"/>
      <c r="O121" s="11">
        <f>Tabla35101826364142444546474844142434[[#This Row],[COMISIONES]]*0.21</f>
        <v>0</v>
      </c>
      <c r="P121" s="18"/>
      <c r="Q121" s="18"/>
      <c r="R121" s="18"/>
      <c r="T121"/>
      <c r="U121" s="19">
        <f>Tabla61220283342102030506070809010203040[[#This Row],[COMISIONES]]*0.21</f>
        <v>0</v>
      </c>
      <c r="V121"/>
      <c r="W121"/>
      <c r="X121"/>
      <c r="Z121" s="3"/>
      <c r="AA121" s="21">
        <f>Tabla3568132129397172747576777877172737[[#This Row],[COMISIONES]]*0.21</f>
        <v>0</v>
      </c>
      <c r="AB121" s="21">
        <f>Tabla3568132129397172747576777877172737[[#This Row],[COMISIONES]]*0.105</f>
        <v>0</v>
      </c>
      <c r="AC121" s="21">
        <v>8994.2099999999991</v>
      </c>
      <c r="AD121" s="21"/>
      <c r="AF121"/>
      <c r="AG121"/>
      <c r="AH121"/>
      <c r="AI121"/>
      <c r="AJ121"/>
      <c r="AK121"/>
      <c r="AL121"/>
      <c r="AM121"/>
      <c r="AN121"/>
      <c r="AO121"/>
    </row>
    <row r="122" spans="1:41" s="6" customFormat="1" x14ac:dyDescent="0.25">
      <c r="A122"/>
      <c r="B122"/>
      <c r="C122"/>
      <c r="D122"/>
      <c r="E122"/>
      <c r="F122"/>
      <c r="H122"/>
      <c r="I122"/>
      <c r="J122"/>
      <c r="K122"/>
      <c r="L122"/>
      <c r="N122" s="18"/>
      <c r="O122" s="11">
        <f>Tabla35101826364142444546474844142434[[#This Row],[COMISIONES]]*0.21</f>
        <v>0</v>
      </c>
      <c r="P122" s="18"/>
      <c r="Q122" s="18"/>
      <c r="R122" s="18"/>
      <c r="T122"/>
      <c r="U122" s="19">
        <f>Tabla61220283342102030506070809010203040[[#This Row],[COMISIONES]]*0.21</f>
        <v>0</v>
      </c>
      <c r="V122"/>
      <c r="W122"/>
      <c r="X122"/>
      <c r="Z122" s="3"/>
      <c r="AA122" s="21">
        <f>Tabla3568132129397172747576777877172737[[#This Row],[COMISIONES]]*0.21</f>
        <v>0</v>
      </c>
      <c r="AB122" s="21">
        <f>Tabla3568132129397172747576777877172737[[#This Row],[COMISIONES]]*0.105</f>
        <v>0</v>
      </c>
      <c r="AC122" s="21">
        <v>169.2</v>
      </c>
      <c r="AD122" s="21"/>
      <c r="AF122"/>
      <c r="AG122"/>
      <c r="AH122"/>
      <c r="AI122"/>
      <c r="AJ122"/>
      <c r="AK122"/>
      <c r="AL122"/>
      <c r="AM122"/>
      <c r="AN122"/>
      <c r="AO122"/>
    </row>
    <row r="123" spans="1:41" s="6" customFormat="1" x14ac:dyDescent="0.25">
      <c r="A123"/>
      <c r="B123"/>
      <c r="C123"/>
      <c r="D123"/>
      <c r="E123"/>
      <c r="F123"/>
      <c r="H123"/>
      <c r="I123"/>
      <c r="J123"/>
      <c r="K123"/>
      <c r="L123"/>
      <c r="N123" s="18"/>
      <c r="O123" s="18"/>
      <c r="P123" s="18"/>
      <c r="Q123" s="18"/>
      <c r="R123" s="18"/>
      <c r="T123" s="4">
        <f>SUBTOTAL(109,Tabla61220283342102030506070809010203040[COMISIONES])</f>
        <v>0</v>
      </c>
      <c r="U123" s="4">
        <f>SUBTOTAL(109,Tabla61220283342102030506070809010203040[IVA 21])</f>
        <v>0</v>
      </c>
      <c r="V123" s="4">
        <f>SUBTOTAL(109,Tabla61220283342102030506070809010203040[IVA 10,5])</f>
        <v>0</v>
      </c>
      <c r="W123" s="4">
        <f>SUBTOTAL(109,Tabla61220283342102030506070809010203040[Ret IIBB Caba])</f>
        <v>0</v>
      </c>
      <c r="X123" s="4">
        <f>SUBTOTAL(109,Tabla61220283342102030506070809010203040[PERC IVA])</f>
        <v>0</v>
      </c>
      <c r="Z123" s="3"/>
      <c r="AA123" s="21">
        <f>Tabla3568132129397172747576777877172737[[#This Row],[COMISIONES]]*0.21</f>
        <v>0</v>
      </c>
      <c r="AB123" s="21">
        <f>Tabla3568132129397172747576777877172737[[#This Row],[COMISIONES]]*0.105</f>
        <v>0</v>
      </c>
      <c r="AC123" s="21">
        <v>15227.79</v>
      </c>
      <c r="AD123" s="21"/>
      <c r="AF123"/>
      <c r="AG123"/>
      <c r="AH123"/>
      <c r="AI123"/>
      <c r="AJ123"/>
      <c r="AK123"/>
      <c r="AL123"/>
      <c r="AM123"/>
      <c r="AN123"/>
      <c r="AO123"/>
    </row>
    <row r="124" spans="1:41" s="6" customFormat="1" x14ac:dyDescent="0.25">
      <c r="A124"/>
      <c r="B124"/>
      <c r="C124"/>
      <c r="D124"/>
      <c r="E124"/>
      <c r="F124"/>
      <c r="H124"/>
      <c r="I124"/>
      <c r="J124"/>
      <c r="K124"/>
      <c r="L124"/>
      <c r="N124" s="18"/>
      <c r="O124" s="18"/>
      <c r="P124" s="18"/>
      <c r="Q124" s="18"/>
      <c r="R124" s="18"/>
      <c r="T124"/>
      <c r="U124"/>
      <c r="V124"/>
      <c r="W124"/>
      <c r="X124"/>
      <c r="Z124" s="3"/>
      <c r="AA124" s="21">
        <f>Tabla3568132129397172747576777877172737[[#This Row],[COMISIONES]]*0.21</f>
        <v>0</v>
      </c>
      <c r="AB124" s="21">
        <f>Tabla3568132129397172747576777877172737[[#This Row],[COMISIONES]]*0.105</f>
        <v>0</v>
      </c>
      <c r="AC124" s="21">
        <v>874.56</v>
      </c>
      <c r="AD124" s="21"/>
      <c r="AF124"/>
      <c r="AG124"/>
      <c r="AH124"/>
      <c r="AI124"/>
      <c r="AJ124"/>
      <c r="AK124"/>
      <c r="AL124"/>
      <c r="AM124"/>
      <c r="AN124"/>
      <c r="AO124"/>
    </row>
    <row r="125" spans="1:41" s="6" customFormat="1" x14ac:dyDescent="0.25">
      <c r="A125"/>
      <c r="B125"/>
      <c r="C125"/>
      <c r="D125"/>
      <c r="E125"/>
      <c r="F125"/>
      <c r="H125"/>
      <c r="I125"/>
      <c r="J125"/>
      <c r="K125"/>
      <c r="L125"/>
      <c r="N125" s="18"/>
      <c r="O125" s="18"/>
      <c r="P125" s="18"/>
      <c r="Q125" s="18"/>
      <c r="R125" s="18"/>
      <c r="T125"/>
      <c r="U125"/>
      <c r="V125"/>
      <c r="W125"/>
      <c r="X125"/>
      <c r="Z125" s="3"/>
      <c r="AA125" s="21">
        <f>Tabla3568132129397172747576777877172737[[#This Row],[COMISIONES]]*0.21</f>
        <v>0</v>
      </c>
      <c r="AB125" s="21">
        <f>Tabla3568132129397172747576777877172737[[#This Row],[COMISIONES]]*0.105</f>
        <v>0</v>
      </c>
      <c r="AC125" s="21">
        <v>78710.3</v>
      </c>
      <c r="AD125" s="21"/>
      <c r="AF125"/>
      <c r="AG125"/>
      <c r="AH125"/>
      <c r="AI125"/>
      <c r="AJ125"/>
      <c r="AK125"/>
      <c r="AL125"/>
      <c r="AM125"/>
      <c r="AN125"/>
      <c r="AO125"/>
    </row>
    <row r="126" spans="1:41" s="6" customFormat="1" x14ac:dyDescent="0.25">
      <c r="A126"/>
      <c r="B126"/>
      <c r="C126"/>
      <c r="D126"/>
      <c r="E126"/>
      <c r="F126"/>
      <c r="H126"/>
      <c r="I126"/>
      <c r="J126"/>
      <c r="K126"/>
      <c r="L126"/>
      <c r="N126" s="18"/>
      <c r="O126" s="18"/>
      <c r="P126" s="18"/>
      <c r="Q126" s="18"/>
      <c r="R126" s="18"/>
      <c r="T126"/>
      <c r="U126"/>
      <c r="V126"/>
      <c r="W126"/>
      <c r="X126"/>
      <c r="Z126" s="3"/>
      <c r="AA126" s="21">
        <f>Tabla3568132129397172747576777877172737[[#This Row],[COMISIONES]]*0.21</f>
        <v>0</v>
      </c>
      <c r="AB126" s="21">
        <f>Tabla3568132129397172747576777877172737[[#This Row],[COMISIONES]]*0.105</f>
        <v>0</v>
      </c>
      <c r="AC126" s="21">
        <v>24.81</v>
      </c>
      <c r="AD126" s="21"/>
      <c r="AF126"/>
      <c r="AG126"/>
      <c r="AH126"/>
      <c r="AI126"/>
      <c r="AJ126"/>
      <c r="AK126"/>
      <c r="AL126"/>
      <c r="AM126"/>
      <c r="AN126"/>
      <c r="AO126"/>
    </row>
    <row r="127" spans="1:41" s="6" customFormat="1" x14ac:dyDescent="0.25">
      <c r="A127"/>
      <c r="B127"/>
      <c r="C127"/>
      <c r="D127"/>
      <c r="E127"/>
      <c r="F127"/>
      <c r="H127"/>
      <c r="I127"/>
      <c r="J127"/>
      <c r="K127"/>
      <c r="L127"/>
      <c r="N127" s="18"/>
      <c r="O127" s="18"/>
      <c r="P127" s="18"/>
      <c r="Q127" s="18"/>
      <c r="R127" s="18"/>
      <c r="T127"/>
      <c r="U127"/>
      <c r="V127"/>
      <c r="W127"/>
      <c r="X127"/>
      <c r="Z127" s="3"/>
      <c r="AA127" s="21">
        <f>Tabla3568132129397172747576777877172737[[#This Row],[COMISIONES]]*0.21</f>
        <v>0</v>
      </c>
      <c r="AB127" s="21">
        <f>Tabla3568132129397172747576777877172737[[#This Row],[COMISIONES]]*0.105</f>
        <v>0</v>
      </c>
      <c r="AC127" s="21">
        <v>2232.6799999999998</v>
      </c>
      <c r="AD127" s="21"/>
      <c r="AF127"/>
      <c r="AG127"/>
      <c r="AH127"/>
      <c r="AI127"/>
      <c r="AJ127"/>
      <c r="AK127"/>
      <c r="AL127"/>
      <c r="AM127"/>
      <c r="AN127"/>
      <c r="AO127"/>
    </row>
    <row r="128" spans="1:41" s="6" customFormat="1" x14ac:dyDescent="0.25">
      <c r="A128"/>
      <c r="B128"/>
      <c r="C128"/>
      <c r="D128"/>
      <c r="E128"/>
      <c r="F128"/>
      <c r="H128"/>
      <c r="I128"/>
      <c r="J128"/>
      <c r="K128"/>
      <c r="L128"/>
      <c r="N128" s="18"/>
      <c r="O128" s="18"/>
      <c r="P128" s="18"/>
      <c r="Q128" s="18"/>
      <c r="R128" s="18"/>
      <c r="T128"/>
      <c r="U128"/>
      <c r="V128"/>
      <c r="W128"/>
      <c r="X128"/>
      <c r="Z128" s="3"/>
      <c r="AA128" s="21">
        <f>Tabla3568132129397172747576777877172737[[#This Row],[COMISIONES]]*0.21</f>
        <v>0</v>
      </c>
      <c r="AB128" s="21">
        <f>Tabla3568132129397172747576777877172737[[#This Row],[COMISIONES]]*0.105</f>
        <v>0</v>
      </c>
      <c r="AC128" s="21">
        <v>137.77000000000001</v>
      </c>
      <c r="AD128" s="21"/>
      <c r="AF128"/>
      <c r="AG128"/>
      <c r="AH128"/>
      <c r="AI128"/>
      <c r="AJ128"/>
      <c r="AK128"/>
      <c r="AL128"/>
      <c r="AM128"/>
      <c r="AN128"/>
      <c r="AO128"/>
    </row>
    <row r="129" spans="1:41" s="6" customFormat="1" x14ac:dyDescent="0.25">
      <c r="A129"/>
      <c r="B129"/>
      <c r="C129"/>
      <c r="D129"/>
      <c r="E129"/>
      <c r="F129"/>
      <c r="H129"/>
      <c r="I129"/>
      <c r="J129"/>
      <c r="K129"/>
      <c r="L129"/>
      <c r="N129" s="18"/>
      <c r="O129" s="18"/>
      <c r="P129" s="18"/>
      <c r="Q129" s="18"/>
      <c r="R129" s="18"/>
      <c r="T129"/>
      <c r="U129"/>
      <c r="V129"/>
      <c r="W129"/>
      <c r="X129"/>
      <c r="Z129" s="21"/>
      <c r="AA129" s="21">
        <f>Tabla3568132129397172747576777877172737[[#This Row],[COMISIONES]]*0.21</f>
        <v>0</v>
      </c>
      <c r="AB129" s="21">
        <f>Tabla3568132129397172747576777877172737[[#This Row],[COMISIONES]]*0.105</f>
        <v>0</v>
      </c>
      <c r="AC129" s="21">
        <v>12399.53</v>
      </c>
      <c r="AD129" s="21"/>
      <c r="AF129"/>
      <c r="AG129"/>
      <c r="AH129"/>
      <c r="AI129"/>
      <c r="AJ129"/>
      <c r="AK129"/>
      <c r="AL129"/>
      <c r="AM129"/>
      <c r="AN129"/>
      <c r="AO129"/>
    </row>
    <row r="130" spans="1:41" s="6" customFormat="1" x14ac:dyDescent="0.25">
      <c r="A130"/>
      <c r="B130"/>
      <c r="C130"/>
      <c r="D130"/>
      <c r="E130"/>
      <c r="F130"/>
      <c r="H130"/>
      <c r="I130"/>
      <c r="J130"/>
      <c r="K130"/>
      <c r="L130"/>
      <c r="N130" s="18"/>
      <c r="O130" s="18"/>
      <c r="P130" s="18"/>
      <c r="Q130" s="18"/>
      <c r="R130" s="18"/>
      <c r="T130"/>
      <c r="U130"/>
      <c r="V130"/>
      <c r="W130"/>
      <c r="X130"/>
      <c r="Z130" s="21"/>
      <c r="AA130" s="21">
        <f>Tabla3568132129397172747576777877172737[[#This Row],[COMISIONES]]*0.21</f>
        <v>0</v>
      </c>
      <c r="AB130" s="21">
        <f>Tabla3568132129397172747576777877172737[[#This Row],[COMISIONES]]*0.105</f>
        <v>0</v>
      </c>
      <c r="AC130" s="21">
        <v>1101.56</v>
      </c>
      <c r="AD130" s="21"/>
      <c r="AF130"/>
      <c r="AG130"/>
      <c r="AH130"/>
      <c r="AI130"/>
      <c r="AJ130"/>
      <c r="AK130"/>
      <c r="AL130"/>
      <c r="AM130"/>
      <c r="AN130"/>
      <c r="AO130"/>
    </row>
    <row r="131" spans="1:41" s="6" customFormat="1" x14ac:dyDescent="0.25">
      <c r="A131"/>
      <c r="B131"/>
      <c r="C131"/>
      <c r="D131"/>
      <c r="E131"/>
      <c r="F131"/>
      <c r="H131"/>
      <c r="I131"/>
      <c r="J131"/>
      <c r="K131"/>
      <c r="L131"/>
      <c r="N131" s="18"/>
      <c r="O131" s="18"/>
      <c r="P131" s="18"/>
      <c r="Q131" s="18"/>
      <c r="R131" s="18"/>
      <c r="T131"/>
      <c r="U131"/>
      <c r="V131"/>
      <c r="W131"/>
      <c r="X131"/>
      <c r="Z131" s="21"/>
      <c r="AA131" s="21">
        <f>Tabla3568132129397172747576777877172737[[#This Row],[COMISIONES]]*0.21</f>
        <v>0</v>
      </c>
      <c r="AB131" s="21">
        <f>Tabla3568132129397172747576777877172737[[#This Row],[COMISIONES]]*0.105</f>
        <v>0</v>
      </c>
      <c r="AC131" s="21">
        <v>99140.22</v>
      </c>
      <c r="AD131" s="21"/>
      <c r="AF131"/>
      <c r="AG131"/>
      <c r="AH131"/>
      <c r="AI131"/>
      <c r="AJ131"/>
      <c r="AK131"/>
      <c r="AL131"/>
      <c r="AM131"/>
      <c r="AN131"/>
      <c r="AO131"/>
    </row>
    <row r="132" spans="1:41" s="6" customFormat="1" x14ac:dyDescent="0.25">
      <c r="A132"/>
      <c r="B132"/>
      <c r="C132"/>
      <c r="D132"/>
      <c r="E132"/>
      <c r="F132"/>
      <c r="H132"/>
      <c r="I132"/>
      <c r="J132"/>
      <c r="K132"/>
      <c r="L132"/>
      <c r="N132" s="18"/>
      <c r="O132" s="18"/>
      <c r="P132" s="18"/>
      <c r="Q132" s="18"/>
      <c r="R132" s="18"/>
      <c r="T132"/>
      <c r="U132"/>
      <c r="V132"/>
      <c r="W132"/>
      <c r="X132"/>
      <c r="Z132" s="21"/>
      <c r="AA132" s="21">
        <f>Tabla3568132129397172747576777877172737[[#This Row],[COMISIONES]]*0.21</f>
        <v>0</v>
      </c>
      <c r="AB132" s="21">
        <f>Tabla3568132129397172747576777877172737[[#This Row],[COMISIONES]]*0.105</f>
        <v>0</v>
      </c>
      <c r="AC132" s="21">
        <v>59.24</v>
      </c>
      <c r="AD132" s="21"/>
      <c r="AF132"/>
      <c r="AG132"/>
      <c r="AH132"/>
      <c r="AI132"/>
      <c r="AJ132"/>
      <c r="AK132"/>
      <c r="AL132"/>
      <c r="AM132"/>
      <c r="AN132"/>
      <c r="AO132"/>
    </row>
    <row r="133" spans="1:41" s="6" customFormat="1" x14ac:dyDescent="0.25">
      <c r="A133"/>
      <c r="B133"/>
      <c r="C133"/>
      <c r="D133"/>
      <c r="E133"/>
      <c r="F133"/>
      <c r="H133"/>
      <c r="I133"/>
      <c r="J133"/>
      <c r="K133"/>
      <c r="L133"/>
      <c r="N133" s="18"/>
      <c r="O133" s="18"/>
      <c r="P133" s="18"/>
      <c r="Q133" s="18"/>
      <c r="R133" s="18"/>
      <c r="T133"/>
      <c r="U133"/>
      <c r="V133"/>
      <c r="W133"/>
      <c r="X133"/>
      <c r="Z133" s="21"/>
      <c r="AA133" s="21">
        <f>Tabla3568132129397172747576777877172737[[#This Row],[COMISIONES]]*0.21</f>
        <v>0</v>
      </c>
      <c r="AB133" s="21">
        <f>Tabla3568132129397172747576777877172737[[#This Row],[COMISIONES]]*0.105</f>
        <v>0</v>
      </c>
      <c r="AC133" s="21">
        <v>5330.8</v>
      </c>
      <c r="AD133" s="21"/>
      <c r="AF133"/>
      <c r="AG133"/>
      <c r="AH133"/>
      <c r="AI133"/>
      <c r="AJ133"/>
      <c r="AK133"/>
      <c r="AL133"/>
      <c r="AM133"/>
      <c r="AN133"/>
      <c r="AO133"/>
    </row>
    <row r="134" spans="1:41" s="6" customFormat="1" x14ac:dyDescent="0.25">
      <c r="A134"/>
      <c r="B134"/>
      <c r="C134"/>
      <c r="D134"/>
      <c r="E134"/>
      <c r="F134"/>
      <c r="H134"/>
      <c r="I134"/>
      <c r="J134"/>
      <c r="K134"/>
      <c r="L134"/>
      <c r="N134" s="18"/>
      <c r="O134" s="18">
        <f>Tabla35101826364142444546474844142434[[#This Row],[COMISIONES]]*0.21</f>
        <v>0</v>
      </c>
      <c r="P134" s="18"/>
      <c r="Q134" s="18"/>
      <c r="R134" s="18"/>
      <c r="T134"/>
      <c r="U134"/>
      <c r="V134"/>
      <c r="W134"/>
      <c r="X134"/>
      <c r="Z134" s="21"/>
      <c r="AA134" s="21">
        <f>Tabla3568132129397172747576777877172737[[#This Row],[COMISIONES]]*0.21</f>
        <v>0</v>
      </c>
      <c r="AB134" s="21">
        <f>Tabla3568132129397172747576777877172737[[#This Row],[COMISIONES]]*0.105</f>
        <v>0</v>
      </c>
      <c r="AC134" s="21">
        <v>14646.09</v>
      </c>
      <c r="AD134" s="21"/>
      <c r="AF134"/>
      <c r="AG134"/>
      <c r="AH134"/>
      <c r="AI134"/>
      <c r="AJ134"/>
      <c r="AK134"/>
      <c r="AL134"/>
      <c r="AM134"/>
      <c r="AN134"/>
      <c r="AO134"/>
    </row>
    <row r="135" spans="1:41" s="6" customFormat="1" x14ac:dyDescent="0.25">
      <c r="A135"/>
      <c r="B135"/>
      <c r="C135"/>
      <c r="D135"/>
      <c r="E135"/>
      <c r="F135"/>
      <c r="H135"/>
      <c r="I135"/>
      <c r="J135"/>
      <c r="K135"/>
      <c r="L135"/>
      <c r="N135" s="4">
        <f>SUBTOTAL(109,Tabla35101826364142444546474844142434[COMISIONES])</f>
        <v>6611.57</v>
      </c>
      <c r="O135" s="4">
        <f>SUBTOTAL(109,Tabla35101826364142444546474844142434[IVA 21])</f>
        <v>1388.4296999999999</v>
      </c>
      <c r="P135" s="4">
        <f>SUBTOTAL(109,Tabla35101826364142444546474844142434[IVA 10,5])</f>
        <v>0</v>
      </c>
      <c r="Q135" s="4">
        <f>SUBTOTAL(109,Tabla35101826364142444546474844142434[Ret IIBB Caba])</f>
        <v>6820.74</v>
      </c>
      <c r="R135" s="4">
        <f>SUBTOTAL(109,Tabla35101826364142444546474844142434[PERC IVA])</f>
        <v>198.35</v>
      </c>
      <c r="T135"/>
      <c r="U135"/>
      <c r="V135"/>
      <c r="W135"/>
      <c r="X135"/>
      <c r="Z135" s="21"/>
      <c r="AA135" s="21">
        <f>Tabla3568132129397172747576777877172737[[#This Row],[COMISIONES]]*0.21</f>
        <v>0</v>
      </c>
      <c r="AB135" s="21">
        <f>Tabla3568132129397172747576777877172737[[#This Row],[COMISIONES]]*0.105</f>
        <v>0</v>
      </c>
      <c r="AC135" s="21">
        <v>162.72999999999999</v>
      </c>
      <c r="AD135" s="21"/>
      <c r="AF135"/>
      <c r="AG135"/>
      <c r="AH135"/>
      <c r="AI135"/>
      <c r="AJ135"/>
      <c r="AK135"/>
      <c r="AL135"/>
      <c r="AM135"/>
      <c r="AN135"/>
      <c r="AO135"/>
    </row>
    <row r="136" spans="1:41" s="6" customFormat="1" x14ac:dyDescent="0.25">
      <c r="A136"/>
      <c r="B136"/>
      <c r="C136"/>
      <c r="D136"/>
      <c r="E136"/>
      <c r="F136"/>
      <c r="H136"/>
      <c r="I136"/>
      <c r="J136"/>
      <c r="K136"/>
      <c r="L136"/>
      <c r="N136"/>
      <c r="O136"/>
      <c r="P136"/>
      <c r="Q136"/>
      <c r="R136"/>
      <c r="T136"/>
      <c r="U136"/>
      <c r="V136"/>
      <c r="W136"/>
      <c r="X136"/>
      <c r="Z136" s="21"/>
      <c r="AA136" s="21">
        <f>Tabla3568132129397172747576777877172737[[#This Row],[COMISIONES]]*0.21</f>
        <v>0</v>
      </c>
      <c r="AB136" s="21">
        <f>Tabla3568132129397172747576777877172737[[#This Row],[COMISIONES]]*0.105</f>
        <v>0</v>
      </c>
      <c r="AC136" s="21">
        <v>1497.03</v>
      </c>
      <c r="AD136" s="21"/>
      <c r="AF136"/>
      <c r="AG136"/>
      <c r="AH136"/>
      <c r="AI136"/>
      <c r="AJ136"/>
      <c r="AK136"/>
      <c r="AL136"/>
      <c r="AM136"/>
      <c r="AN136"/>
      <c r="AO136"/>
    </row>
    <row r="137" spans="1:41" s="6" customFormat="1" x14ac:dyDescent="0.25">
      <c r="A137"/>
      <c r="B137"/>
      <c r="C137"/>
      <c r="D137"/>
      <c r="E137"/>
      <c r="F137"/>
      <c r="H137"/>
      <c r="I137"/>
      <c r="J137"/>
      <c r="K137"/>
      <c r="L137"/>
      <c r="N137"/>
      <c r="O137"/>
      <c r="P137"/>
      <c r="Q137"/>
      <c r="R137"/>
      <c r="T137"/>
      <c r="U137"/>
      <c r="V137"/>
      <c r="W137"/>
      <c r="X137"/>
      <c r="Z137" s="21"/>
      <c r="AA137" s="21">
        <f>Tabla3568132129397172747576777877172737[[#This Row],[COMISIONES]]*0.21</f>
        <v>0</v>
      </c>
      <c r="AB137" s="21">
        <f>Tabla3568132129397172747576777877172737[[#This Row],[COMISIONES]]*0.105</f>
        <v>0</v>
      </c>
      <c r="AC137" s="21">
        <v>134732.85999999999</v>
      </c>
      <c r="AD137" s="21"/>
      <c r="AF137"/>
      <c r="AG137"/>
      <c r="AH137"/>
      <c r="AI137"/>
      <c r="AJ137"/>
      <c r="AK137"/>
      <c r="AL137"/>
      <c r="AM137"/>
      <c r="AN137"/>
      <c r="AO137"/>
    </row>
    <row r="138" spans="1:41" s="6" customFormat="1" x14ac:dyDescent="0.25">
      <c r="A138"/>
      <c r="B138"/>
      <c r="C138"/>
      <c r="D138"/>
      <c r="E138"/>
      <c r="F138"/>
      <c r="H138"/>
      <c r="I138"/>
      <c r="J138"/>
      <c r="K138"/>
      <c r="L138"/>
      <c r="N138"/>
      <c r="O138"/>
      <c r="P138"/>
      <c r="Q138"/>
      <c r="R138"/>
      <c r="T138"/>
      <c r="U138"/>
      <c r="V138"/>
      <c r="W138"/>
      <c r="X138"/>
      <c r="Z138" s="21"/>
      <c r="AA138" s="21">
        <f>Tabla3568132129397172747576777877172737[[#This Row],[COMISIONES]]*0.21</f>
        <v>0</v>
      </c>
      <c r="AB138" s="21">
        <f>Tabla3568132129397172747576777877172737[[#This Row],[COMISIONES]]*0.105</f>
        <v>0</v>
      </c>
      <c r="AC138" s="21">
        <v>58.14</v>
      </c>
      <c r="AD138" s="21"/>
      <c r="AF138"/>
      <c r="AG138"/>
      <c r="AH138"/>
      <c r="AI138"/>
      <c r="AJ138"/>
      <c r="AK138"/>
      <c r="AL138"/>
      <c r="AM138"/>
      <c r="AN138"/>
      <c r="AO138"/>
    </row>
    <row r="139" spans="1:41" s="6" customFormat="1" x14ac:dyDescent="0.25">
      <c r="A139"/>
      <c r="B139"/>
      <c r="C139"/>
      <c r="D139"/>
      <c r="E139"/>
      <c r="F139"/>
      <c r="H139"/>
      <c r="I139"/>
      <c r="J139"/>
      <c r="K139"/>
      <c r="L139"/>
      <c r="N139"/>
      <c r="O139"/>
      <c r="P139"/>
      <c r="Q139"/>
      <c r="R139"/>
      <c r="T139"/>
      <c r="U139"/>
      <c r="V139"/>
      <c r="W139"/>
      <c r="X139"/>
      <c r="Z139" s="21"/>
      <c r="AA139" s="21">
        <f>Tabla3568132129397172747576777877172737[[#This Row],[COMISIONES]]*0.21</f>
        <v>0</v>
      </c>
      <c r="AB139" s="21">
        <f>Tabla3568132129397172747576777877172737[[#This Row],[COMISIONES]]*0.105</f>
        <v>0</v>
      </c>
      <c r="AC139" s="21">
        <v>5232.75</v>
      </c>
      <c r="AD139" s="21"/>
      <c r="AF139"/>
      <c r="AG139"/>
      <c r="AH139"/>
      <c r="AI139"/>
      <c r="AJ139"/>
      <c r="AK139"/>
      <c r="AL139"/>
      <c r="AM139"/>
      <c r="AN139"/>
      <c r="AO139"/>
    </row>
    <row r="140" spans="1:41" s="6" customFormat="1" x14ac:dyDescent="0.25">
      <c r="A140"/>
      <c r="B140"/>
      <c r="C140"/>
      <c r="D140"/>
      <c r="E140"/>
      <c r="F140"/>
      <c r="H140"/>
      <c r="I140"/>
      <c r="J140"/>
      <c r="K140"/>
      <c r="L140"/>
      <c r="N140"/>
      <c r="O140"/>
      <c r="P140"/>
      <c r="Q140"/>
      <c r="R140"/>
      <c r="T140"/>
      <c r="U140"/>
      <c r="V140"/>
      <c r="W140"/>
      <c r="X140"/>
      <c r="Z140" s="21"/>
      <c r="AA140" s="21">
        <f>Tabla3568132129397172747576777877172737[[#This Row],[COMISIONES]]*0.21</f>
        <v>0</v>
      </c>
      <c r="AB140" s="21">
        <f>Tabla3568132129397172747576777877172737[[#This Row],[COMISIONES]]*0.105</f>
        <v>0</v>
      </c>
      <c r="AC140" s="21"/>
      <c r="AD140" s="21"/>
      <c r="AF140"/>
      <c r="AG140"/>
      <c r="AH140"/>
      <c r="AI140"/>
      <c r="AJ140"/>
      <c r="AK140"/>
      <c r="AL140"/>
      <c r="AM140"/>
      <c r="AN140"/>
      <c r="AO140"/>
    </row>
    <row r="141" spans="1:41" s="6" customFormat="1" x14ac:dyDescent="0.25">
      <c r="A141"/>
      <c r="B141"/>
      <c r="C141"/>
      <c r="D141"/>
      <c r="E141"/>
      <c r="F141"/>
      <c r="H141"/>
      <c r="I141"/>
      <c r="J141"/>
      <c r="K141"/>
      <c r="L141"/>
      <c r="N141"/>
      <c r="O141"/>
      <c r="P141"/>
      <c r="Q141"/>
      <c r="R141"/>
      <c r="T141"/>
      <c r="U141"/>
      <c r="V141"/>
      <c r="W141"/>
      <c r="X141"/>
      <c r="Z141" s="21"/>
      <c r="AA141" s="21">
        <f>Tabla3568132129397172747576777877172737[[#This Row],[COMISIONES]]*0.21</f>
        <v>0</v>
      </c>
      <c r="AB141" s="21">
        <f>Tabla3568132129397172747576777877172737[[#This Row],[COMISIONES]]*0.105</f>
        <v>0</v>
      </c>
      <c r="AC141" s="21"/>
      <c r="AD141" s="21"/>
      <c r="AF141"/>
      <c r="AG141"/>
      <c r="AH141"/>
      <c r="AI141"/>
      <c r="AJ141"/>
      <c r="AK141"/>
      <c r="AL141"/>
      <c r="AM141"/>
      <c r="AN141"/>
      <c r="AO141"/>
    </row>
    <row r="142" spans="1:41" s="6" customFormat="1" x14ac:dyDescent="0.25">
      <c r="A142"/>
      <c r="B142"/>
      <c r="C142"/>
      <c r="D142"/>
      <c r="E142"/>
      <c r="F142"/>
      <c r="H142"/>
      <c r="I142"/>
      <c r="J142"/>
      <c r="K142"/>
      <c r="L142"/>
      <c r="N142"/>
      <c r="O142"/>
      <c r="P142"/>
      <c r="Q142"/>
      <c r="R142"/>
      <c r="T142"/>
      <c r="U142"/>
      <c r="V142"/>
      <c r="W142"/>
      <c r="X142"/>
      <c r="Z142" s="21"/>
      <c r="AA142" s="21">
        <f>Tabla3568132129397172747576777877172737[[#This Row],[COMISIONES]]*0.21</f>
        <v>0</v>
      </c>
      <c r="AB142" s="21">
        <f>Tabla3568132129397172747576777877172737[[#This Row],[COMISIONES]]*0.105</f>
        <v>0</v>
      </c>
      <c r="AC142" s="21"/>
      <c r="AD142" s="21"/>
      <c r="AF142"/>
      <c r="AG142"/>
      <c r="AH142"/>
      <c r="AI142"/>
      <c r="AJ142"/>
      <c r="AK142"/>
      <c r="AL142"/>
      <c r="AM142"/>
      <c r="AN142"/>
      <c r="AO142"/>
    </row>
    <row r="143" spans="1:41" s="6" customFormat="1" x14ac:dyDescent="0.25">
      <c r="A143"/>
      <c r="B143"/>
      <c r="C143"/>
      <c r="D143"/>
      <c r="E143"/>
      <c r="F143"/>
      <c r="H143"/>
      <c r="I143"/>
      <c r="J143"/>
      <c r="K143"/>
      <c r="L143"/>
      <c r="N143"/>
      <c r="O143"/>
      <c r="P143"/>
      <c r="Q143"/>
      <c r="R143"/>
      <c r="T143"/>
      <c r="U143"/>
      <c r="V143"/>
      <c r="W143"/>
      <c r="X143"/>
      <c r="Z143" s="21"/>
      <c r="AA143" s="21">
        <f>Tabla3568132129397172747576777877172737[[#This Row],[COMISIONES]]*0.21</f>
        <v>0</v>
      </c>
      <c r="AB143" s="21">
        <f>Tabla3568132129397172747576777877172737[[#This Row],[COMISIONES]]*0.105</f>
        <v>0</v>
      </c>
      <c r="AC143" s="21"/>
      <c r="AD143" s="21"/>
      <c r="AF143"/>
      <c r="AG143"/>
      <c r="AH143"/>
      <c r="AI143"/>
      <c r="AJ143"/>
      <c r="AK143"/>
      <c r="AL143"/>
      <c r="AM143"/>
      <c r="AN143"/>
      <c r="AO143"/>
    </row>
    <row r="144" spans="1:41" s="6" customFormat="1" x14ac:dyDescent="0.25">
      <c r="A144"/>
      <c r="B144"/>
      <c r="C144"/>
      <c r="D144"/>
      <c r="E144"/>
      <c r="F144"/>
      <c r="H144"/>
      <c r="I144"/>
      <c r="J144"/>
      <c r="K144"/>
      <c r="L144"/>
      <c r="N144"/>
      <c r="O144"/>
      <c r="P144"/>
      <c r="Q144"/>
      <c r="R144"/>
      <c r="T144"/>
      <c r="U144"/>
      <c r="V144"/>
      <c r="W144"/>
      <c r="X144"/>
      <c r="Z144" s="21"/>
      <c r="AA144" s="21">
        <f>Tabla3568132129397172747576777877172737[[#This Row],[COMISIONES]]*0.21</f>
        <v>0</v>
      </c>
      <c r="AB144" s="21">
        <f>Tabla3568132129397172747576777877172737[[#This Row],[COMISIONES]]*0.105</f>
        <v>0</v>
      </c>
      <c r="AC144" s="21"/>
      <c r="AD144" s="21"/>
      <c r="AF144"/>
      <c r="AG144"/>
      <c r="AH144"/>
      <c r="AI144"/>
      <c r="AJ144"/>
      <c r="AK144"/>
      <c r="AL144"/>
      <c r="AM144"/>
      <c r="AN144"/>
      <c r="AO144"/>
    </row>
    <row r="145" spans="1:41" s="6" customFormat="1" x14ac:dyDescent="0.25">
      <c r="A145"/>
      <c r="B145"/>
      <c r="C145"/>
      <c r="D145"/>
      <c r="E145"/>
      <c r="F145"/>
      <c r="H145"/>
      <c r="I145"/>
      <c r="J145"/>
      <c r="K145"/>
      <c r="L145"/>
      <c r="N145"/>
      <c r="O145"/>
      <c r="P145"/>
      <c r="Q145"/>
      <c r="R145"/>
      <c r="T145"/>
      <c r="U145"/>
      <c r="V145"/>
      <c r="W145"/>
      <c r="X145"/>
      <c r="Z145" s="21"/>
      <c r="AA145" s="21">
        <f>Tabla3568132129397172747576777877172737[[#This Row],[COMISIONES]]*0.21</f>
        <v>0</v>
      </c>
      <c r="AB145" s="21">
        <f>Tabla3568132129397172747576777877172737[[#This Row],[COMISIONES]]*0.105</f>
        <v>0</v>
      </c>
      <c r="AC145" s="21"/>
      <c r="AD145" s="21"/>
      <c r="AF145"/>
      <c r="AG145"/>
      <c r="AH145"/>
      <c r="AI145"/>
      <c r="AJ145"/>
      <c r="AK145"/>
      <c r="AL145"/>
      <c r="AM145"/>
      <c r="AN145"/>
      <c r="AO145"/>
    </row>
    <row r="146" spans="1:41" s="6" customFormat="1" x14ac:dyDescent="0.25">
      <c r="A146"/>
      <c r="B146"/>
      <c r="C146"/>
      <c r="D146"/>
      <c r="E146"/>
      <c r="F146"/>
      <c r="H146"/>
      <c r="I146"/>
      <c r="J146"/>
      <c r="K146"/>
      <c r="L146"/>
      <c r="N146"/>
      <c r="O146"/>
      <c r="P146"/>
      <c r="Q146"/>
      <c r="R146"/>
      <c r="T146"/>
      <c r="U146"/>
      <c r="V146"/>
      <c r="W146"/>
      <c r="X146"/>
      <c r="Z146" s="21"/>
      <c r="AA146" s="21">
        <f>Tabla3568132129397172747576777877172737[[#This Row],[COMISIONES]]*0.21</f>
        <v>0</v>
      </c>
      <c r="AB146" s="21">
        <f>Tabla3568132129397172747576777877172737[[#This Row],[COMISIONES]]*0.105</f>
        <v>0</v>
      </c>
      <c r="AC146" s="21"/>
      <c r="AD146" s="21"/>
      <c r="AF146"/>
      <c r="AG146"/>
      <c r="AH146"/>
      <c r="AI146"/>
      <c r="AJ146"/>
      <c r="AK146"/>
      <c r="AL146"/>
      <c r="AM146"/>
      <c r="AN146"/>
      <c r="AO146"/>
    </row>
    <row r="147" spans="1:41" s="6" customFormat="1" x14ac:dyDescent="0.25">
      <c r="A147"/>
      <c r="B147"/>
      <c r="C147"/>
      <c r="D147"/>
      <c r="E147"/>
      <c r="F147"/>
      <c r="H147"/>
      <c r="I147"/>
      <c r="J147"/>
      <c r="K147"/>
      <c r="L147"/>
      <c r="N147"/>
      <c r="O147"/>
      <c r="P147"/>
      <c r="Q147"/>
      <c r="R147"/>
      <c r="T147"/>
      <c r="U147"/>
      <c r="V147"/>
      <c r="W147"/>
      <c r="X147"/>
      <c r="Z147" s="21"/>
      <c r="AA147" s="21">
        <f>Tabla3568132129397172747576777877172737[[#This Row],[COMISIONES]]*0.21</f>
        <v>0</v>
      </c>
      <c r="AB147" s="21">
        <f>Tabla3568132129397172747576777877172737[[#This Row],[COMISIONES]]*0.105</f>
        <v>0</v>
      </c>
      <c r="AC147" s="21"/>
      <c r="AD147" s="21"/>
      <c r="AF147"/>
      <c r="AG147"/>
      <c r="AH147"/>
      <c r="AI147"/>
      <c r="AJ147"/>
      <c r="AK147"/>
      <c r="AL147"/>
      <c r="AM147"/>
      <c r="AN147"/>
      <c r="AO147"/>
    </row>
    <row r="148" spans="1:41" s="6" customFormat="1" x14ac:dyDescent="0.25">
      <c r="A148"/>
      <c r="B148"/>
      <c r="C148"/>
      <c r="D148"/>
      <c r="E148"/>
      <c r="F148"/>
      <c r="H148"/>
      <c r="I148"/>
      <c r="J148"/>
      <c r="K148"/>
      <c r="L148"/>
      <c r="N148"/>
      <c r="O148"/>
      <c r="P148"/>
      <c r="Q148"/>
      <c r="R148"/>
      <c r="T148"/>
      <c r="U148"/>
      <c r="V148"/>
      <c r="W148"/>
      <c r="X148"/>
      <c r="Z148" s="21"/>
      <c r="AA148" s="21">
        <f>Tabla3568132129397172747576777877172737[[#This Row],[COMISIONES]]*0.21</f>
        <v>0</v>
      </c>
      <c r="AB148" s="21">
        <f>Tabla3568132129397172747576777877172737[[#This Row],[COMISIONES]]*0.105</f>
        <v>0</v>
      </c>
      <c r="AC148" s="21"/>
      <c r="AD148" s="21"/>
      <c r="AF148"/>
      <c r="AG148"/>
      <c r="AH148"/>
      <c r="AI148"/>
      <c r="AJ148"/>
      <c r="AK148"/>
      <c r="AL148"/>
      <c r="AM148"/>
      <c r="AN148"/>
      <c r="AO148"/>
    </row>
    <row r="149" spans="1:41" s="6" customFormat="1" x14ac:dyDescent="0.25">
      <c r="A149"/>
      <c r="B149"/>
      <c r="C149"/>
      <c r="D149"/>
      <c r="E149"/>
      <c r="F149"/>
      <c r="H149"/>
      <c r="I149"/>
      <c r="J149"/>
      <c r="K149"/>
      <c r="L149"/>
      <c r="N149"/>
      <c r="O149"/>
      <c r="P149"/>
      <c r="Q149"/>
      <c r="R149"/>
      <c r="T149"/>
      <c r="U149"/>
      <c r="V149"/>
      <c r="W149"/>
      <c r="X149"/>
      <c r="Z149" s="21"/>
      <c r="AA149" s="21">
        <f>Tabla3568132129397172747576777877172737[[#This Row],[COMISIONES]]*0.21</f>
        <v>0</v>
      </c>
      <c r="AB149" s="21">
        <f>Tabla3568132129397172747576777877172737[[#This Row],[COMISIONES]]*0.105</f>
        <v>0</v>
      </c>
      <c r="AC149" s="21"/>
      <c r="AD149" s="21"/>
      <c r="AF149"/>
      <c r="AG149"/>
      <c r="AH149"/>
      <c r="AI149"/>
      <c r="AJ149"/>
      <c r="AK149"/>
      <c r="AL149"/>
      <c r="AM149"/>
      <c r="AN149"/>
      <c r="AO149"/>
    </row>
    <row r="150" spans="1:41" s="6" customFormat="1" x14ac:dyDescent="0.25">
      <c r="A150"/>
      <c r="B150"/>
      <c r="C150"/>
      <c r="D150"/>
      <c r="E150"/>
      <c r="F150"/>
      <c r="H150"/>
      <c r="I150"/>
      <c r="J150"/>
      <c r="K150"/>
      <c r="L150"/>
      <c r="N150"/>
      <c r="O150"/>
      <c r="P150"/>
      <c r="Q150"/>
      <c r="R150"/>
      <c r="T150"/>
      <c r="U150"/>
      <c r="V150"/>
      <c r="W150"/>
      <c r="X150"/>
      <c r="Z150" s="21"/>
      <c r="AA150" s="21">
        <f>Tabla3568132129397172747576777877172737[[#This Row],[COMISIONES]]*0.21</f>
        <v>0</v>
      </c>
      <c r="AB150" s="21">
        <f>Tabla3568132129397172747576777877172737[[#This Row],[COMISIONES]]*0.105</f>
        <v>0</v>
      </c>
      <c r="AC150" s="21"/>
      <c r="AD150" s="21"/>
      <c r="AF150"/>
      <c r="AG150"/>
      <c r="AH150"/>
      <c r="AI150"/>
      <c r="AJ150"/>
      <c r="AK150"/>
      <c r="AL150"/>
      <c r="AM150"/>
      <c r="AN150"/>
      <c r="AO150"/>
    </row>
    <row r="151" spans="1:41" s="6" customFormat="1" x14ac:dyDescent="0.25">
      <c r="A151"/>
      <c r="B151"/>
      <c r="C151"/>
      <c r="D151"/>
      <c r="E151"/>
      <c r="F151"/>
      <c r="H151"/>
      <c r="I151"/>
      <c r="J151"/>
      <c r="K151"/>
      <c r="L151"/>
      <c r="N151"/>
      <c r="O151"/>
      <c r="P151"/>
      <c r="Q151"/>
      <c r="R151"/>
      <c r="T151"/>
      <c r="U151"/>
      <c r="V151"/>
      <c r="W151"/>
      <c r="X151"/>
      <c r="Z151" s="21"/>
      <c r="AA151" s="21">
        <f>Tabla3568132129397172747576777877172737[[#This Row],[COMISIONES]]*0.21</f>
        <v>0</v>
      </c>
      <c r="AB151" s="21">
        <f>Tabla3568132129397172747576777877172737[[#This Row],[COMISIONES]]*0.105</f>
        <v>0</v>
      </c>
      <c r="AC151" s="21"/>
      <c r="AD151" s="21"/>
      <c r="AF151"/>
      <c r="AG151"/>
      <c r="AH151"/>
      <c r="AI151"/>
      <c r="AJ151"/>
      <c r="AK151"/>
      <c r="AL151"/>
      <c r="AM151"/>
      <c r="AN151"/>
      <c r="AO151"/>
    </row>
    <row r="152" spans="1:41" s="6" customFormat="1" x14ac:dyDescent="0.25">
      <c r="A152"/>
      <c r="B152"/>
      <c r="C152"/>
      <c r="D152"/>
      <c r="E152"/>
      <c r="F152"/>
      <c r="H152"/>
      <c r="I152"/>
      <c r="J152"/>
      <c r="K152"/>
      <c r="L152"/>
      <c r="N152"/>
      <c r="O152"/>
      <c r="P152"/>
      <c r="Q152"/>
      <c r="R152"/>
      <c r="T152"/>
      <c r="U152"/>
      <c r="V152"/>
      <c r="W152"/>
      <c r="X152"/>
      <c r="Z152" s="21"/>
      <c r="AA152" s="21">
        <f>Tabla3568132129397172747576777877172737[[#This Row],[COMISIONES]]*0.21</f>
        <v>0</v>
      </c>
      <c r="AB152" s="21">
        <f>Tabla3568132129397172747576777877172737[[#This Row],[COMISIONES]]*0.105</f>
        <v>0</v>
      </c>
      <c r="AC152" s="21"/>
      <c r="AD152" s="21"/>
      <c r="AF152"/>
      <c r="AG152"/>
      <c r="AH152"/>
      <c r="AI152"/>
      <c r="AJ152"/>
      <c r="AK152"/>
      <c r="AL152"/>
      <c r="AM152"/>
      <c r="AN152"/>
      <c r="AO152"/>
    </row>
    <row r="153" spans="1:41" s="6" customFormat="1" x14ac:dyDescent="0.25">
      <c r="A153"/>
      <c r="B153"/>
      <c r="C153"/>
      <c r="D153"/>
      <c r="E153"/>
      <c r="F153"/>
      <c r="H153"/>
      <c r="I153"/>
      <c r="J153"/>
      <c r="K153"/>
      <c r="L153"/>
      <c r="N153"/>
      <c r="O153"/>
      <c r="P153"/>
      <c r="Q153"/>
      <c r="R153"/>
      <c r="T153"/>
      <c r="U153"/>
      <c r="V153"/>
      <c r="W153"/>
      <c r="X153"/>
      <c r="Z153" s="21"/>
      <c r="AA153" s="21">
        <f>Tabla3568132129397172747576777877172737[[#This Row],[COMISIONES]]*0.21</f>
        <v>0</v>
      </c>
      <c r="AB153" s="21">
        <f>Tabla3568132129397172747576777877172737[[#This Row],[COMISIONES]]*0.105</f>
        <v>0</v>
      </c>
      <c r="AC153" s="21"/>
      <c r="AD153" s="21"/>
      <c r="AF153"/>
      <c r="AG153"/>
      <c r="AH153"/>
      <c r="AI153"/>
      <c r="AJ153"/>
      <c r="AK153"/>
      <c r="AL153"/>
      <c r="AM153"/>
      <c r="AN153"/>
      <c r="AO153"/>
    </row>
    <row r="154" spans="1:41" s="6" customFormat="1" x14ac:dyDescent="0.25">
      <c r="A154"/>
      <c r="B154"/>
      <c r="C154"/>
      <c r="D154"/>
      <c r="E154"/>
      <c r="F154"/>
      <c r="H154"/>
      <c r="I154"/>
      <c r="J154"/>
      <c r="K154"/>
      <c r="L154"/>
      <c r="N154"/>
      <c r="O154"/>
      <c r="P154"/>
      <c r="Q154"/>
      <c r="R154"/>
      <c r="T154"/>
      <c r="U154"/>
      <c r="V154"/>
      <c r="W154"/>
      <c r="X154"/>
      <c r="Z154" s="21"/>
      <c r="AA154" s="21">
        <f>Tabla3568132129397172747576777877172737[[#This Row],[COMISIONES]]*0.21</f>
        <v>0</v>
      </c>
      <c r="AB154" s="21">
        <f>Tabla3568132129397172747576777877172737[[#This Row],[COMISIONES]]*0.105</f>
        <v>0</v>
      </c>
      <c r="AC154" s="21"/>
      <c r="AD154" s="21"/>
      <c r="AF154"/>
      <c r="AG154"/>
      <c r="AH154"/>
      <c r="AI154"/>
      <c r="AJ154"/>
      <c r="AK154"/>
      <c r="AL154"/>
      <c r="AM154"/>
      <c r="AN154"/>
      <c r="AO154"/>
    </row>
    <row r="155" spans="1:41" s="6" customFormat="1" x14ac:dyDescent="0.25">
      <c r="A155"/>
      <c r="B155"/>
      <c r="C155"/>
      <c r="D155"/>
      <c r="E155"/>
      <c r="F155"/>
      <c r="H155"/>
      <c r="I155"/>
      <c r="J155"/>
      <c r="K155"/>
      <c r="L155"/>
      <c r="N155"/>
      <c r="O155"/>
      <c r="P155"/>
      <c r="Q155"/>
      <c r="R155"/>
      <c r="T155"/>
      <c r="U155"/>
      <c r="V155"/>
      <c r="W155"/>
      <c r="X155"/>
      <c r="Z155" s="21"/>
      <c r="AA155" s="21">
        <f>Tabla3568132129397172747576777877172737[[#This Row],[COMISIONES]]*0.21</f>
        <v>0</v>
      </c>
      <c r="AB155" s="21">
        <f>Tabla3568132129397172747576777877172737[[#This Row],[COMISIONES]]*0.105</f>
        <v>0</v>
      </c>
      <c r="AC155" s="21"/>
      <c r="AD155" s="21"/>
      <c r="AF155"/>
      <c r="AG155"/>
      <c r="AH155"/>
      <c r="AI155"/>
      <c r="AJ155"/>
      <c r="AK155"/>
      <c r="AL155"/>
      <c r="AM155"/>
      <c r="AN155"/>
      <c r="AO155"/>
    </row>
    <row r="156" spans="1:41" s="6" customFormat="1" x14ac:dyDescent="0.25">
      <c r="A156"/>
      <c r="B156"/>
      <c r="C156"/>
      <c r="D156"/>
      <c r="E156"/>
      <c r="F156"/>
      <c r="H156"/>
      <c r="I156"/>
      <c r="J156"/>
      <c r="K156"/>
      <c r="L156"/>
      <c r="N156"/>
      <c r="O156"/>
      <c r="P156"/>
      <c r="Q156"/>
      <c r="R156"/>
      <c r="T156"/>
      <c r="U156"/>
      <c r="V156"/>
      <c r="W156"/>
      <c r="X156"/>
      <c r="Z156" s="21"/>
      <c r="AA156" s="21">
        <f>Tabla3568132129397172747576777877172737[[#This Row],[COMISIONES]]*0.21</f>
        <v>0</v>
      </c>
      <c r="AB156" s="21">
        <f>Tabla3568132129397172747576777877172737[[#This Row],[COMISIONES]]*0.105</f>
        <v>0</v>
      </c>
      <c r="AC156" s="21"/>
      <c r="AD156" s="21"/>
      <c r="AF156"/>
      <c r="AG156"/>
      <c r="AH156"/>
      <c r="AI156"/>
      <c r="AJ156"/>
      <c r="AK156"/>
      <c r="AL156"/>
      <c r="AM156"/>
      <c r="AN156"/>
      <c r="AO156"/>
    </row>
    <row r="157" spans="1:41" s="6" customFormat="1" x14ac:dyDescent="0.25">
      <c r="A157"/>
      <c r="B157"/>
      <c r="C157"/>
      <c r="D157"/>
      <c r="E157"/>
      <c r="F157"/>
      <c r="H157"/>
      <c r="I157"/>
      <c r="J157"/>
      <c r="K157"/>
      <c r="L157"/>
      <c r="N157"/>
      <c r="O157"/>
      <c r="P157"/>
      <c r="Q157"/>
      <c r="R157"/>
      <c r="T157"/>
      <c r="U157"/>
      <c r="V157"/>
      <c r="W157"/>
      <c r="X157"/>
      <c r="Z157" s="21"/>
      <c r="AA157" s="21">
        <f>Tabla3568132129397172747576777877172737[[#This Row],[COMISIONES]]*0.21</f>
        <v>0</v>
      </c>
      <c r="AB157" s="21">
        <f>Tabla3568132129397172747576777877172737[[#This Row],[COMISIONES]]*0.105</f>
        <v>0</v>
      </c>
      <c r="AC157" s="21"/>
      <c r="AD157" s="21"/>
      <c r="AF157"/>
      <c r="AG157"/>
      <c r="AH157"/>
      <c r="AI157"/>
      <c r="AJ157"/>
      <c r="AK157"/>
      <c r="AL157"/>
      <c r="AM157"/>
      <c r="AN157"/>
      <c r="AO157"/>
    </row>
    <row r="158" spans="1:41" s="6" customFormat="1" x14ac:dyDescent="0.25">
      <c r="A158"/>
      <c r="B158"/>
      <c r="C158"/>
      <c r="D158"/>
      <c r="E158"/>
      <c r="F158"/>
      <c r="H158"/>
      <c r="I158"/>
      <c r="J158"/>
      <c r="K158"/>
      <c r="L158"/>
      <c r="N158"/>
      <c r="O158"/>
      <c r="P158"/>
      <c r="Q158"/>
      <c r="R158"/>
      <c r="T158"/>
      <c r="U158"/>
      <c r="V158"/>
      <c r="W158"/>
      <c r="X158"/>
      <c r="Z158" s="21"/>
      <c r="AA158" s="21">
        <f>Tabla3568132129397172747576777877172737[[#This Row],[COMISIONES]]*0.21</f>
        <v>0</v>
      </c>
      <c r="AB158" s="21">
        <f>Tabla3568132129397172747576777877172737[[#This Row],[COMISIONES]]*0.105</f>
        <v>0</v>
      </c>
      <c r="AC158" s="21"/>
      <c r="AD158" s="21"/>
      <c r="AF158"/>
      <c r="AG158"/>
      <c r="AH158"/>
      <c r="AI158"/>
      <c r="AJ158"/>
      <c r="AK158"/>
      <c r="AL158"/>
      <c r="AM158"/>
      <c r="AN158"/>
      <c r="AO158"/>
    </row>
    <row r="159" spans="1:41" s="6" customFormat="1" x14ac:dyDescent="0.25">
      <c r="A159"/>
      <c r="B159"/>
      <c r="C159"/>
      <c r="D159"/>
      <c r="E159"/>
      <c r="F159"/>
      <c r="H159"/>
      <c r="I159"/>
      <c r="J159"/>
      <c r="K159"/>
      <c r="L159"/>
      <c r="N159"/>
      <c r="O159"/>
      <c r="P159"/>
      <c r="Q159"/>
      <c r="R159"/>
      <c r="T159"/>
      <c r="U159"/>
      <c r="V159"/>
      <c r="W159"/>
      <c r="X159"/>
      <c r="Z159" s="21"/>
      <c r="AA159" s="21">
        <f>Tabla3568132129397172747576777877172737[[#This Row],[COMISIONES]]*0.21</f>
        <v>0</v>
      </c>
      <c r="AB159" s="21">
        <f>Tabla3568132129397172747576777877172737[[#This Row],[COMISIONES]]*0.105</f>
        <v>0</v>
      </c>
      <c r="AC159" s="21"/>
      <c r="AD159" s="21"/>
      <c r="AF159"/>
      <c r="AG159"/>
      <c r="AH159"/>
      <c r="AI159"/>
      <c r="AJ159"/>
      <c r="AK159"/>
      <c r="AL159"/>
      <c r="AM159"/>
      <c r="AN159"/>
      <c r="AO159"/>
    </row>
    <row r="160" spans="1:41" s="6" customFormat="1" x14ac:dyDescent="0.25">
      <c r="A160"/>
      <c r="B160"/>
      <c r="C160"/>
      <c r="D160"/>
      <c r="E160"/>
      <c r="F160"/>
      <c r="H160"/>
      <c r="I160"/>
      <c r="J160"/>
      <c r="K160"/>
      <c r="L160"/>
      <c r="N160"/>
      <c r="O160"/>
      <c r="P160"/>
      <c r="Q160"/>
      <c r="R160"/>
      <c r="T160"/>
      <c r="U160"/>
      <c r="V160"/>
      <c r="W160"/>
      <c r="X160"/>
      <c r="Z160" s="21"/>
      <c r="AA160" s="21">
        <f>Tabla3568132129397172747576777877172737[[#This Row],[COMISIONES]]*0.21</f>
        <v>0</v>
      </c>
      <c r="AB160" s="21">
        <f>Tabla3568132129397172747576777877172737[[#This Row],[COMISIONES]]*0.105</f>
        <v>0</v>
      </c>
      <c r="AC160" s="21"/>
      <c r="AD160" s="21"/>
      <c r="AF160"/>
      <c r="AG160"/>
      <c r="AH160"/>
      <c r="AI160"/>
      <c r="AJ160"/>
      <c r="AK160"/>
      <c r="AL160"/>
      <c r="AM160"/>
      <c r="AN160"/>
      <c r="AO160"/>
    </row>
    <row r="161" spans="1:41" s="6" customFormat="1" x14ac:dyDescent="0.25">
      <c r="A161"/>
      <c r="B161"/>
      <c r="C161"/>
      <c r="D161"/>
      <c r="E161"/>
      <c r="F161"/>
      <c r="H161"/>
      <c r="I161"/>
      <c r="J161"/>
      <c r="K161"/>
      <c r="L161"/>
      <c r="N161"/>
      <c r="O161"/>
      <c r="P161"/>
      <c r="Q161"/>
      <c r="R161"/>
      <c r="T161"/>
      <c r="U161"/>
      <c r="V161"/>
      <c r="W161"/>
      <c r="X161"/>
      <c r="Z161" s="21"/>
      <c r="AA161" s="21">
        <f>Tabla3568132129397172747576777877172737[[#This Row],[COMISIONES]]*0.21</f>
        <v>0</v>
      </c>
      <c r="AB161" s="21">
        <f>Tabla3568132129397172747576777877172737[[#This Row],[COMISIONES]]*0.105</f>
        <v>0</v>
      </c>
      <c r="AC161" s="21"/>
      <c r="AD161" s="21"/>
      <c r="AF161"/>
      <c r="AG161"/>
      <c r="AH161"/>
      <c r="AI161"/>
      <c r="AJ161"/>
      <c r="AK161"/>
      <c r="AL161"/>
      <c r="AM161"/>
      <c r="AN161"/>
      <c r="AO161"/>
    </row>
    <row r="162" spans="1:41" s="6" customFormat="1" x14ac:dyDescent="0.25">
      <c r="A162"/>
      <c r="B162"/>
      <c r="C162"/>
      <c r="D162"/>
      <c r="E162"/>
      <c r="F162"/>
      <c r="H162"/>
      <c r="I162"/>
      <c r="J162"/>
      <c r="K162"/>
      <c r="L162"/>
      <c r="N162"/>
      <c r="O162"/>
      <c r="P162"/>
      <c r="Q162"/>
      <c r="R162"/>
      <c r="T162"/>
      <c r="U162"/>
      <c r="V162"/>
      <c r="W162"/>
      <c r="X162"/>
      <c r="Z162" s="21"/>
      <c r="AA162" s="21">
        <f>Tabla3568132129397172747576777877172737[[#This Row],[COMISIONES]]*0.21</f>
        <v>0</v>
      </c>
      <c r="AB162" s="21">
        <f>Tabla3568132129397172747576777877172737[[#This Row],[COMISIONES]]*0.105</f>
        <v>0</v>
      </c>
      <c r="AC162" s="21"/>
      <c r="AD162" s="21"/>
      <c r="AF162"/>
      <c r="AG162"/>
      <c r="AH162"/>
      <c r="AI162"/>
      <c r="AJ162"/>
      <c r="AK162"/>
      <c r="AL162"/>
      <c r="AM162"/>
      <c r="AN162"/>
      <c r="AO162"/>
    </row>
    <row r="163" spans="1:41" s="6" customFormat="1" x14ac:dyDescent="0.25">
      <c r="A163"/>
      <c r="B163"/>
      <c r="C163"/>
      <c r="D163"/>
      <c r="E163"/>
      <c r="F163"/>
      <c r="H163"/>
      <c r="I163"/>
      <c r="J163"/>
      <c r="K163"/>
      <c r="L163"/>
      <c r="N163"/>
      <c r="O163"/>
      <c r="P163"/>
      <c r="Q163"/>
      <c r="R163"/>
      <c r="T163"/>
      <c r="U163"/>
      <c r="V163"/>
      <c r="W163"/>
      <c r="X163"/>
      <c r="Z163" s="21"/>
      <c r="AA163" s="21">
        <f>Tabla3568132129397172747576777877172737[[#This Row],[COMISIONES]]*0.21</f>
        <v>0</v>
      </c>
      <c r="AB163" s="21">
        <f>Tabla3568132129397172747576777877172737[[#This Row],[COMISIONES]]*0.105</f>
        <v>0</v>
      </c>
      <c r="AC163" s="21"/>
      <c r="AD163" s="21"/>
      <c r="AF163"/>
      <c r="AG163"/>
      <c r="AH163"/>
      <c r="AI163"/>
      <c r="AJ163"/>
      <c r="AK163"/>
      <c r="AL163"/>
      <c r="AM163"/>
      <c r="AN163"/>
      <c r="AO163"/>
    </row>
    <row r="164" spans="1:41" s="6" customFormat="1" x14ac:dyDescent="0.25">
      <c r="A164"/>
      <c r="B164"/>
      <c r="C164"/>
      <c r="D164"/>
      <c r="E164"/>
      <c r="F164"/>
      <c r="H164"/>
      <c r="I164"/>
      <c r="J164"/>
      <c r="K164"/>
      <c r="L164"/>
      <c r="N164"/>
      <c r="O164"/>
      <c r="P164"/>
      <c r="Q164"/>
      <c r="R164"/>
      <c r="T164"/>
      <c r="U164"/>
      <c r="V164"/>
      <c r="W164"/>
      <c r="X164"/>
      <c r="Z164" s="21"/>
      <c r="AA164" s="21">
        <f>Tabla3568132129397172747576777877172737[[#This Row],[COMISIONES]]*0.21</f>
        <v>0</v>
      </c>
      <c r="AB164" s="21">
        <f>Tabla3568132129397172747576777877172737[[#This Row],[COMISIONES]]*0.105</f>
        <v>0</v>
      </c>
      <c r="AC164" s="21"/>
      <c r="AD164" s="21"/>
      <c r="AF164"/>
      <c r="AG164"/>
      <c r="AH164"/>
      <c r="AI164"/>
      <c r="AJ164"/>
      <c r="AK164"/>
      <c r="AL164"/>
      <c r="AM164"/>
      <c r="AN164"/>
      <c r="AO164"/>
    </row>
    <row r="165" spans="1:41" s="6" customFormat="1" x14ac:dyDescent="0.25">
      <c r="A165"/>
      <c r="B165"/>
      <c r="C165"/>
      <c r="D165"/>
      <c r="E165"/>
      <c r="F165"/>
      <c r="H165"/>
      <c r="I165"/>
      <c r="J165"/>
      <c r="K165"/>
      <c r="L165"/>
      <c r="N165"/>
      <c r="O165"/>
      <c r="P165"/>
      <c r="Q165"/>
      <c r="R165"/>
      <c r="T165"/>
      <c r="U165"/>
      <c r="V165"/>
      <c r="W165"/>
      <c r="X165"/>
      <c r="Z165" s="21"/>
      <c r="AA165" s="21">
        <f>Tabla3568132129397172747576777877172737[[#This Row],[COMISIONES]]*0.21</f>
        <v>0</v>
      </c>
      <c r="AB165" s="21">
        <f>Tabla3568132129397172747576777877172737[[#This Row],[COMISIONES]]*0.105</f>
        <v>0</v>
      </c>
      <c r="AC165" s="21"/>
      <c r="AD165" s="21"/>
      <c r="AF165"/>
      <c r="AG165"/>
      <c r="AH165"/>
      <c r="AI165"/>
      <c r="AJ165"/>
      <c r="AK165"/>
      <c r="AL165"/>
      <c r="AM165"/>
      <c r="AN165"/>
      <c r="AO165"/>
    </row>
    <row r="166" spans="1:41" s="6" customFormat="1" x14ac:dyDescent="0.25">
      <c r="A166"/>
      <c r="B166"/>
      <c r="C166"/>
      <c r="D166"/>
      <c r="E166"/>
      <c r="F166"/>
      <c r="H166"/>
      <c r="I166"/>
      <c r="J166"/>
      <c r="K166"/>
      <c r="L166"/>
      <c r="N166"/>
      <c r="O166"/>
      <c r="P166"/>
      <c r="Q166"/>
      <c r="R166"/>
      <c r="T166"/>
      <c r="U166"/>
      <c r="V166"/>
      <c r="W166"/>
      <c r="X166"/>
      <c r="Z166" s="21"/>
      <c r="AA166" s="21">
        <f>Tabla3568132129397172747576777877172737[[#This Row],[COMISIONES]]*0.21</f>
        <v>0</v>
      </c>
      <c r="AB166" s="21">
        <f>Tabla3568132129397172747576777877172737[[#This Row],[COMISIONES]]*0.105</f>
        <v>0</v>
      </c>
      <c r="AC166" s="21"/>
      <c r="AD166" s="21"/>
      <c r="AF166"/>
      <c r="AG166"/>
      <c r="AH166"/>
      <c r="AI166"/>
      <c r="AJ166"/>
      <c r="AK166"/>
      <c r="AL166"/>
      <c r="AM166"/>
      <c r="AN166"/>
      <c r="AO166"/>
    </row>
    <row r="167" spans="1:41" s="6" customFormat="1" x14ac:dyDescent="0.25">
      <c r="A167"/>
      <c r="B167"/>
      <c r="C167"/>
      <c r="D167"/>
      <c r="E167"/>
      <c r="F167"/>
      <c r="H167"/>
      <c r="I167"/>
      <c r="J167"/>
      <c r="K167"/>
      <c r="L167"/>
      <c r="N167"/>
      <c r="O167"/>
      <c r="P167"/>
      <c r="Q167"/>
      <c r="R167"/>
      <c r="T167"/>
      <c r="U167"/>
      <c r="V167"/>
      <c r="W167"/>
      <c r="X167"/>
      <c r="Z167" s="21"/>
      <c r="AA167" s="21">
        <f>Tabla3568132129397172747576777877172737[[#This Row],[COMISIONES]]*0.21</f>
        <v>0</v>
      </c>
      <c r="AB167" s="21">
        <f>Tabla3568132129397172747576777877172737[[#This Row],[COMISIONES]]*0.105</f>
        <v>0</v>
      </c>
      <c r="AC167" s="21"/>
      <c r="AD167" s="21"/>
      <c r="AF167"/>
      <c r="AG167"/>
      <c r="AH167"/>
      <c r="AI167"/>
      <c r="AJ167"/>
      <c r="AK167"/>
      <c r="AL167"/>
      <c r="AM167"/>
      <c r="AN167"/>
      <c r="AO167"/>
    </row>
    <row r="168" spans="1:41" s="6" customFormat="1" x14ac:dyDescent="0.25">
      <c r="A168"/>
      <c r="B168"/>
      <c r="C168"/>
      <c r="D168"/>
      <c r="E168"/>
      <c r="F168"/>
      <c r="H168"/>
      <c r="I168"/>
      <c r="J168"/>
      <c r="K168"/>
      <c r="L168"/>
      <c r="N168"/>
      <c r="O168"/>
      <c r="P168"/>
      <c r="Q168"/>
      <c r="R168"/>
      <c r="T168"/>
      <c r="U168"/>
      <c r="V168"/>
      <c r="W168"/>
      <c r="X168"/>
      <c r="Z168" s="21"/>
      <c r="AA168" s="21">
        <f>Tabla3568132129397172747576777877172737[[#This Row],[COMISIONES]]*0.21</f>
        <v>0</v>
      </c>
      <c r="AB168" s="21">
        <f>Tabla3568132129397172747576777877172737[[#This Row],[COMISIONES]]*0.105</f>
        <v>0</v>
      </c>
      <c r="AC168" s="21"/>
      <c r="AD168" s="21"/>
      <c r="AF168"/>
      <c r="AG168"/>
      <c r="AH168"/>
      <c r="AI168"/>
      <c r="AJ168"/>
      <c r="AK168"/>
      <c r="AL168"/>
      <c r="AM168"/>
      <c r="AN168"/>
      <c r="AO168"/>
    </row>
    <row r="169" spans="1:41" s="6" customFormat="1" x14ac:dyDescent="0.25">
      <c r="A169"/>
      <c r="B169"/>
      <c r="C169"/>
      <c r="D169"/>
      <c r="E169"/>
      <c r="F169"/>
      <c r="H169"/>
      <c r="I169"/>
      <c r="J169"/>
      <c r="K169"/>
      <c r="L169"/>
      <c r="N169"/>
      <c r="O169"/>
      <c r="P169"/>
      <c r="Q169"/>
      <c r="R169"/>
      <c r="T169"/>
      <c r="U169"/>
      <c r="V169"/>
      <c r="W169"/>
      <c r="X169"/>
      <c r="Z169" s="4">
        <f>SUBTOTAL(109,Tabla3568132129397172747576777877172737[COMISIONES])</f>
        <v>1734362.5199999998</v>
      </c>
      <c r="AA169" s="4">
        <f>SUBTOTAL(109,Tabla3568132129397172747576777877172737[IVA 21])</f>
        <v>186935.66889999996</v>
      </c>
      <c r="AB169" s="4">
        <f>SUBTOTAL(109,Tabla3568132129397172747576777877172737[IVA 10,5])</f>
        <v>78732.792350000003</v>
      </c>
      <c r="AC169" s="4">
        <f>SUBTOTAL(109,Tabla3568132129397172747576777877172737[Ret IIBB Caba])</f>
        <v>1709480.09</v>
      </c>
      <c r="AD169" s="4">
        <f>SUBTOTAL(109,Tabla3568132129397172747576777877172737[PERC IVA])</f>
        <v>0</v>
      </c>
      <c r="AF169"/>
      <c r="AG169"/>
      <c r="AH169"/>
      <c r="AI169"/>
      <c r="AJ169"/>
      <c r="AK169"/>
      <c r="AL169"/>
      <c r="AM169"/>
      <c r="AN169"/>
      <c r="AO169"/>
    </row>
  </sheetData>
  <mergeCells count="13">
    <mergeCell ref="T64:X64"/>
    <mergeCell ref="T14:X14"/>
    <mergeCell ref="AK14:AO14"/>
    <mergeCell ref="T32:X32"/>
    <mergeCell ref="Z14:AD14"/>
    <mergeCell ref="G2:H2"/>
    <mergeCell ref="J2:K2"/>
    <mergeCell ref="G12:H12"/>
    <mergeCell ref="B14:F14"/>
    <mergeCell ref="H14:L14"/>
    <mergeCell ref="AF14:AJ14"/>
    <mergeCell ref="N14:R14"/>
    <mergeCell ref="H54:L54"/>
  </mergeCells>
  <pageMargins left="0.7" right="0.7" top="0.75" bottom="0.75" header="0.3" footer="0.3"/>
  <pageSetup paperSize="9" orientation="portrait" horizontalDpi="300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E873-2E72-49C3-AE9E-21C141569666}">
  <dimension ref="A1:AO169"/>
  <sheetViews>
    <sheetView showGridLines="0" topLeftCell="I1" zoomScale="115" zoomScaleNormal="115" workbookViewId="0">
      <selection activeCell="H11" sqref="H11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4" bestFit="1" customWidth="1"/>
    <col min="4" max="4" width="12.140625" bestFit="1" customWidth="1"/>
    <col min="5" max="5" width="11.5703125" customWidth="1"/>
    <col min="6" max="6" width="13" bestFit="1" customWidth="1"/>
    <col min="7" max="7" width="2.42578125" style="6" customWidth="1"/>
    <col min="8" max="8" width="12.7109375" customWidth="1"/>
    <col min="9" max="9" width="13.5703125" customWidth="1"/>
    <col min="10" max="10" width="12.28515625" bestFit="1" customWidth="1"/>
    <col min="11" max="11" width="12.85546875" customWidth="1"/>
    <col min="13" max="13" width="2.5703125" style="6" customWidth="1"/>
    <col min="14" max="14" width="12.7109375" customWidth="1"/>
    <col min="17" max="17" width="12.85546875" customWidth="1"/>
    <col min="19" max="19" width="2.5703125" style="6" customWidth="1"/>
    <col min="20" max="20" width="12.7109375" customWidth="1"/>
    <col min="23" max="23" width="12.85546875" customWidth="1"/>
    <col min="24" max="24" width="13.5703125" customWidth="1"/>
    <col min="25" max="25" width="2.5703125" style="6" customWidth="1"/>
    <col min="26" max="26" width="15.42578125" bestFit="1" customWidth="1"/>
    <col min="27" max="27" width="13.28515625" customWidth="1"/>
    <col min="29" max="29" width="15.7109375" bestFit="1" customWidth="1"/>
    <col min="31" max="31" width="2.5703125" style="6" customWidth="1"/>
    <col min="32" max="32" width="15.42578125" bestFit="1" customWidth="1"/>
    <col min="33" max="33" width="12.28515625" bestFit="1" customWidth="1"/>
    <col min="35" max="35" width="15.7109375" bestFit="1" customWidth="1"/>
  </cols>
  <sheetData>
    <row r="1" spans="1:41" x14ac:dyDescent="0.25">
      <c r="G1"/>
      <c r="M1"/>
      <c r="S1"/>
      <c r="Y1"/>
      <c r="AE1"/>
    </row>
    <row r="2" spans="1:41" ht="18.75" x14ac:dyDescent="0.25">
      <c r="C2" s="15" t="s">
        <v>2</v>
      </c>
      <c r="D2" s="16" t="s">
        <v>0</v>
      </c>
      <c r="E2" s="16" t="s">
        <v>1</v>
      </c>
      <c r="F2" s="16" t="s">
        <v>3</v>
      </c>
      <c r="G2" s="53" t="s">
        <v>4</v>
      </c>
      <c r="H2" s="54"/>
      <c r="J2" s="55">
        <v>45536</v>
      </c>
      <c r="K2" s="55"/>
      <c r="M2"/>
      <c r="S2"/>
      <c r="Y2"/>
      <c r="AE2"/>
    </row>
    <row r="3" spans="1:41" x14ac:dyDescent="0.25">
      <c r="B3" s="25" t="str">
        <f>+B14</f>
        <v>Extracto Santander</v>
      </c>
      <c r="C3" s="14">
        <v>163466.68</v>
      </c>
      <c r="D3" s="14">
        <v>33932.409</v>
      </c>
      <c r="E3" s="14">
        <v>197.79689999999999</v>
      </c>
      <c r="F3" s="14">
        <v>11293.5</v>
      </c>
      <c r="G3" s="32"/>
      <c r="H3" s="33">
        <v>4847.25</v>
      </c>
      <c r="J3" s="2"/>
      <c r="K3" s="3"/>
      <c r="M3"/>
      <c r="N3" t="s">
        <v>5</v>
      </c>
      <c r="S3"/>
      <c r="Y3"/>
      <c r="AE3"/>
    </row>
    <row r="4" spans="1:41" x14ac:dyDescent="0.25">
      <c r="B4" s="25" t="str">
        <f>+H14</f>
        <v>CABAL 22/3</v>
      </c>
      <c r="C4" s="14"/>
      <c r="D4" s="14"/>
      <c r="E4" s="14"/>
      <c r="F4" s="14"/>
      <c r="G4" s="32"/>
      <c r="H4" s="33"/>
      <c r="J4" s="2"/>
      <c r="K4" s="3"/>
      <c r="M4"/>
      <c r="S4"/>
      <c r="Y4"/>
      <c r="AE4"/>
    </row>
    <row r="5" spans="1:41" x14ac:dyDescent="0.25">
      <c r="B5" s="25" t="str">
        <f>+N14</f>
        <v>BBVA VISA</v>
      </c>
      <c r="C5" s="14">
        <v>6611.57</v>
      </c>
      <c r="D5" s="14">
        <v>1388.4296999999999</v>
      </c>
      <c r="E5" s="14"/>
      <c r="F5" s="14">
        <v>52.18</v>
      </c>
      <c r="G5" s="32"/>
      <c r="H5" s="33">
        <v>198.35</v>
      </c>
      <c r="M5"/>
      <c r="S5"/>
      <c r="Y5"/>
      <c r="AE5"/>
    </row>
    <row r="6" spans="1:41" x14ac:dyDescent="0.25">
      <c r="B6" s="25" t="str">
        <f>+T14</f>
        <v>GALICIA EXTRACTO (31/03)</v>
      </c>
      <c r="C6" s="14">
        <v>48143.21</v>
      </c>
      <c r="D6" s="14">
        <v>10080</v>
      </c>
      <c r="E6" s="14">
        <v>15.037050000000001</v>
      </c>
      <c r="F6" s="14">
        <v>2880</v>
      </c>
      <c r="G6" s="32"/>
      <c r="H6" s="34">
        <v>1440</v>
      </c>
      <c r="M6"/>
      <c r="S6"/>
      <c r="Y6"/>
      <c r="AE6"/>
    </row>
    <row r="7" spans="1:41" x14ac:dyDescent="0.25">
      <c r="B7" s="25" t="str">
        <f>+Z14</f>
        <v>SANTANDER - GETNET</v>
      </c>
      <c r="C7" s="31"/>
      <c r="D7" s="14"/>
      <c r="E7" s="14"/>
      <c r="F7" s="14"/>
      <c r="G7" s="32"/>
      <c r="H7" s="33"/>
      <c r="M7"/>
      <c r="S7"/>
      <c r="Y7"/>
      <c r="AE7"/>
    </row>
    <row r="8" spans="1:41" x14ac:dyDescent="0.25">
      <c r="B8" s="25" t="s">
        <v>14</v>
      </c>
      <c r="C8" s="14">
        <v>147760</v>
      </c>
      <c r="D8" s="14">
        <v>22923.599999999999</v>
      </c>
      <c r="E8" s="14">
        <v>4053</v>
      </c>
      <c r="F8" s="14">
        <v>8703.01</v>
      </c>
      <c r="G8"/>
      <c r="H8" s="35">
        <v>3772.5</v>
      </c>
      <c r="I8" s="36"/>
      <c r="M8"/>
      <c r="S8"/>
      <c r="Y8"/>
      <c r="AE8"/>
    </row>
    <row r="9" spans="1:41" x14ac:dyDescent="0.25">
      <c r="B9" s="28" t="s">
        <v>17</v>
      </c>
      <c r="C9" s="14"/>
      <c r="D9" s="14"/>
      <c r="E9" s="14"/>
      <c r="F9" s="14"/>
      <c r="G9" s="32"/>
      <c r="H9" s="33"/>
      <c r="M9"/>
      <c r="S9"/>
      <c r="Y9"/>
      <c r="AE9"/>
    </row>
    <row r="10" spans="1:41" x14ac:dyDescent="0.25">
      <c r="B10" s="28" t="s">
        <v>15</v>
      </c>
      <c r="C10" s="14"/>
      <c r="D10" s="14"/>
      <c r="E10" s="14"/>
      <c r="F10" s="14"/>
      <c r="G10" s="32"/>
      <c r="H10" s="33"/>
      <c r="J10" s="3">
        <f>E7*100/10.5</f>
        <v>0</v>
      </c>
      <c r="M10"/>
      <c r="S10"/>
      <c r="Y10"/>
      <c r="AE10"/>
    </row>
    <row r="11" spans="1:41" x14ac:dyDescent="0.25">
      <c r="B11" s="28" t="s">
        <v>13</v>
      </c>
      <c r="C11" s="14">
        <v>4291.1900000000005</v>
      </c>
      <c r="D11" s="14">
        <v>833.05740000000003</v>
      </c>
      <c r="E11" s="14">
        <v>34.046250000000001</v>
      </c>
      <c r="F11" s="14">
        <v>7577.91</v>
      </c>
      <c r="G11" s="32"/>
      <c r="H11" s="33">
        <v>119.01</v>
      </c>
      <c r="M11"/>
      <c r="S11"/>
      <c r="Y11"/>
      <c r="AE11"/>
    </row>
    <row r="12" spans="1:41" x14ac:dyDescent="0.25">
      <c r="A12" s="26"/>
      <c r="B12" s="26"/>
      <c r="C12" s="27">
        <f>SUM(C3:C11)</f>
        <v>370272.64999999997</v>
      </c>
      <c r="D12" s="27">
        <f t="shared" ref="D12:F12" si="0">SUM(D3:D11)</f>
        <v>69157.496100000004</v>
      </c>
      <c r="E12" s="27">
        <f t="shared" si="0"/>
        <v>4299.8802000000005</v>
      </c>
      <c r="F12" s="27">
        <f t="shared" si="0"/>
        <v>30506.600000000002</v>
      </c>
      <c r="G12" s="56">
        <f>SUM(G3:H11)</f>
        <v>10377.11</v>
      </c>
      <c r="H12" s="56"/>
      <c r="M12"/>
      <c r="S12"/>
      <c r="Y12"/>
      <c r="AE12"/>
    </row>
    <row r="13" spans="1:41" x14ac:dyDescent="0.25">
      <c r="A13" s="26"/>
      <c r="B13" s="26"/>
      <c r="G13"/>
      <c r="M13"/>
      <c r="S13"/>
      <c r="Y13"/>
      <c r="AE13"/>
    </row>
    <row r="14" spans="1:41" ht="16.5" customHeight="1" x14ac:dyDescent="0.3">
      <c r="B14" s="52" t="s">
        <v>10</v>
      </c>
      <c r="C14" s="52"/>
      <c r="D14" s="52"/>
      <c r="E14" s="52"/>
      <c r="F14" s="52"/>
      <c r="H14" s="52" t="s">
        <v>8</v>
      </c>
      <c r="I14" s="52"/>
      <c r="J14" s="52"/>
      <c r="K14" s="52"/>
      <c r="L14" s="52"/>
      <c r="N14" s="52" t="s">
        <v>11</v>
      </c>
      <c r="O14" s="52"/>
      <c r="P14" s="52"/>
      <c r="Q14" s="52"/>
      <c r="R14" s="52"/>
      <c r="T14" s="52" t="s">
        <v>6</v>
      </c>
      <c r="U14" s="52"/>
      <c r="V14" s="52"/>
      <c r="W14" s="52"/>
      <c r="X14" s="52"/>
      <c r="Z14" s="52" t="s">
        <v>16</v>
      </c>
      <c r="AA14" s="52"/>
      <c r="AB14" s="52"/>
      <c r="AC14" s="52"/>
      <c r="AD14" s="52"/>
      <c r="AF14" s="52" t="s">
        <v>17</v>
      </c>
      <c r="AG14" s="52"/>
      <c r="AH14" s="52"/>
      <c r="AI14" s="52"/>
      <c r="AJ14" s="52"/>
      <c r="AK14" s="52" t="s">
        <v>13</v>
      </c>
      <c r="AL14" s="52"/>
      <c r="AM14" s="52"/>
      <c r="AN14" s="52"/>
      <c r="AO14" s="52"/>
    </row>
    <row r="15" spans="1:41" s="5" customFormat="1" x14ac:dyDescent="0.25">
      <c r="B15" s="10" t="s">
        <v>2</v>
      </c>
      <c r="C15" s="9" t="s">
        <v>0</v>
      </c>
      <c r="D15" s="9" t="s">
        <v>1</v>
      </c>
      <c r="E15" s="9" t="s">
        <v>3</v>
      </c>
      <c r="F15" s="9" t="s">
        <v>4</v>
      </c>
      <c r="G15" s="7"/>
      <c r="H15" s="12" t="s">
        <v>2</v>
      </c>
      <c r="I15" s="13" t="s">
        <v>0</v>
      </c>
      <c r="J15" s="13" t="s">
        <v>1</v>
      </c>
      <c r="K15" s="13" t="s">
        <v>3</v>
      </c>
      <c r="L15" s="13" t="s">
        <v>4</v>
      </c>
      <c r="M15" s="7"/>
      <c r="N15" s="12" t="s">
        <v>2</v>
      </c>
      <c r="O15" s="13" t="s">
        <v>0</v>
      </c>
      <c r="P15" s="13" t="s">
        <v>1</v>
      </c>
      <c r="Q15" s="13" t="s">
        <v>3</v>
      </c>
      <c r="R15" s="13" t="s">
        <v>4</v>
      </c>
      <c r="S15" s="7"/>
      <c r="T15" s="12" t="s">
        <v>2</v>
      </c>
      <c r="U15" s="13" t="s">
        <v>0</v>
      </c>
      <c r="V15" s="13" t="s">
        <v>1</v>
      </c>
      <c r="W15" s="13" t="s">
        <v>3</v>
      </c>
      <c r="X15" s="13" t="s">
        <v>4</v>
      </c>
      <c r="Y15" s="7"/>
      <c r="Z15" s="12" t="s">
        <v>2</v>
      </c>
      <c r="AA15" s="13" t="s">
        <v>0</v>
      </c>
      <c r="AB15" s="13" t="s">
        <v>1</v>
      </c>
      <c r="AC15" s="13" t="s">
        <v>3</v>
      </c>
      <c r="AD15" s="13" t="s">
        <v>4</v>
      </c>
      <c r="AE15" s="7"/>
      <c r="AF15" s="12" t="s">
        <v>2</v>
      </c>
      <c r="AG15" s="13" t="s">
        <v>0</v>
      </c>
      <c r="AH15" s="13" t="s">
        <v>1</v>
      </c>
      <c r="AI15" s="13" t="s">
        <v>3</v>
      </c>
      <c r="AJ15" s="13" t="s">
        <v>4</v>
      </c>
      <c r="AK15" s="12" t="s">
        <v>2</v>
      </c>
      <c r="AL15" s="13" t="s">
        <v>0</v>
      </c>
      <c r="AM15" s="13" t="s">
        <v>1</v>
      </c>
      <c r="AN15" s="13" t="s">
        <v>3</v>
      </c>
      <c r="AO15" s="13" t="s">
        <v>4</v>
      </c>
    </row>
    <row r="16" spans="1:41" x14ac:dyDescent="0.25">
      <c r="B16" s="2"/>
      <c r="C16" s="2">
        <f>Tabla13162432212223352627282212223242[[#This Row],[COMISIONES]]*0.21</f>
        <v>0</v>
      </c>
      <c r="D16" s="3" t="s">
        <v>18</v>
      </c>
      <c r="E16" s="3"/>
      <c r="F16" s="1"/>
      <c r="G16" s="8"/>
      <c r="H16" s="3"/>
      <c r="I16" s="11">
        <f>Tabla39172535313233453637383313233343[[#This Row],[COMISIONES]]*0.21</f>
        <v>0</v>
      </c>
      <c r="J16" s="11"/>
      <c r="K16" s="11"/>
      <c r="L16" s="3"/>
      <c r="M16" s="8"/>
      <c r="N16" s="3">
        <v>6611.57</v>
      </c>
      <c r="O16" s="11">
        <f>Tabla3510182636414244454647484414243444[[#This Row],[COMISIONES]]*0.21</f>
        <v>1388.4296999999999</v>
      </c>
      <c r="P16" s="11"/>
      <c r="Q16" s="1">
        <v>52.18</v>
      </c>
      <c r="R16">
        <v>198.35</v>
      </c>
      <c r="S16" s="8"/>
      <c r="T16" s="11">
        <v>48000</v>
      </c>
      <c r="U16" s="11">
        <f>Tabla35611192737515254555657585515253545[[#This Row],[COMISIONES]]*0.21</f>
        <v>10080</v>
      </c>
      <c r="V16" s="11"/>
      <c r="W16" s="11">
        <v>2880</v>
      </c>
      <c r="X16" s="11">
        <v>1440</v>
      </c>
      <c r="Y16" s="8"/>
      <c r="Z16" s="3"/>
      <c r="AA16" s="11">
        <f>Tabla356813212939717274757677787717273747[[#This Row],[COMISIONES]]*0.21</f>
        <v>0</v>
      </c>
      <c r="AB16" s="3"/>
      <c r="AC16" s="1"/>
      <c r="AE16" s="8"/>
      <c r="AF16" s="3"/>
      <c r="AG16" s="11">
        <f>Tabla35681314223040818284858687888818283848[[#This Row],[COMISIONES]]*0.21</f>
        <v>0</v>
      </c>
      <c r="AH16" s="11"/>
      <c r="AI16" s="1"/>
      <c r="AJ16" s="11"/>
      <c r="AK16" s="11">
        <v>3966.94</v>
      </c>
      <c r="AL16" s="11">
        <f>Tabla356111927344311213151617181911121314151[[#This Row],[COMISIONES]]*0.21</f>
        <v>833.05740000000003</v>
      </c>
      <c r="AM16" s="11"/>
      <c r="AN16" s="11">
        <v>7577.91</v>
      </c>
      <c r="AO16" s="11">
        <v>119.01</v>
      </c>
    </row>
    <row r="17" spans="2:41" x14ac:dyDescent="0.25">
      <c r="B17" s="3">
        <v>1883.78</v>
      </c>
      <c r="C17" s="2" t="s">
        <v>18</v>
      </c>
      <c r="D17" s="3">
        <f>Tabla13162432212223352627282212223242[[#This Row],[COMISIONES]]*0.105</f>
        <v>197.79689999999999</v>
      </c>
      <c r="E17" s="3"/>
      <c r="F17" s="3">
        <v>356.85</v>
      </c>
      <c r="G17" s="8"/>
      <c r="H17" s="11"/>
      <c r="I17" s="11">
        <f>Tabla39172535313233453637383313233343[[#This Row],[COMISIONES]]*0.21</f>
        <v>0</v>
      </c>
      <c r="J17" s="11"/>
      <c r="K17" s="11"/>
      <c r="L17" s="11"/>
      <c r="M17" s="8"/>
      <c r="N17" s="11"/>
      <c r="O17" s="11">
        <f>Tabla3510182636414244454647484414243444[[#This Row],[COMISIONES]]*0.21</f>
        <v>0</v>
      </c>
      <c r="P17" s="11"/>
      <c r="Q17" s="1"/>
      <c r="S17" s="8"/>
      <c r="T17" s="11">
        <v>143.21</v>
      </c>
      <c r="U17" s="11"/>
      <c r="V17" s="11">
        <f>Tabla35611192737515254555657585515253545[[#This Row],[COMISIONES]]*0.105</f>
        <v>15.037050000000001</v>
      </c>
      <c r="W17" s="11"/>
      <c r="X17" s="11"/>
      <c r="Y17" s="8"/>
      <c r="Z17" s="3"/>
      <c r="AA17" s="11">
        <f>Tabla356813212939717274757677787717273747[[#This Row],[COMISIONES]]*0.21</f>
        <v>0</v>
      </c>
      <c r="AB17" s="3"/>
      <c r="AC17" s="1"/>
      <c r="AE17" s="8"/>
      <c r="AF17" s="11"/>
      <c r="AG17" s="11">
        <f>Tabla35681314223040818284858687888818283848[[#This Row],[COMISIONES]]*0.21</f>
        <v>0</v>
      </c>
      <c r="AH17" s="11"/>
      <c r="AI17" s="11"/>
      <c r="AJ17" s="11"/>
      <c r="AK17" s="11">
        <v>324.25</v>
      </c>
      <c r="AL17" s="11" t="s">
        <v>18</v>
      </c>
      <c r="AM17" s="11">
        <f>Tabla356111927344311213151617181911121314151[[#This Row],[COMISIONES]]*0.105</f>
        <v>34.046250000000001</v>
      </c>
      <c r="AN17" s="11"/>
      <c r="AO17" s="11" t="s">
        <v>18</v>
      </c>
    </row>
    <row r="18" spans="2:41" x14ac:dyDescent="0.25">
      <c r="B18" s="3">
        <v>96387.9</v>
      </c>
      <c r="C18" s="2">
        <f>Tabla13162432212223352627282212223242[[#This Row],[COMISIONES]]*0.21</f>
        <v>20241.458999999999</v>
      </c>
      <c r="D18" s="3" t="s">
        <v>18</v>
      </c>
      <c r="E18" s="3">
        <v>5782.8</v>
      </c>
      <c r="F18" s="3">
        <v>1599</v>
      </c>
      <c r="H18" s="11"/>
      <c r="I18" s="11">
        <f>Tabla39172535313233453637383313233343[[#This Row],[COMISIONES]]*0.21</f>
        <v>0</v>
      </c>
      <c r="J18" s="11"/>
      <c r="K18" s="11"/>
      <c r="L18" s="11"/>
      <c r="N18" s="1"/>
      <c r="O18" s="11">
        <f>Tabla3510182636414244454647484414243444[[#This Row],[COMISIONES]]*0.21</f>
        <v>0</v>
      </c>
      <c r="P18" s="11"/>
      <c r="Q18" s="11"/>
      <c r="R18" s="23"/>
      <c r="T18" s="11"/>
      <c r="U18" s="11">
        <f>Tabla35611192737515254555657585515253545[[#This Row],[COMISIONES]]*0.21</f>
        <v>0</v>
      </c>
      <c r="V18" s="11"/>
      <c r="W18" s="11"/>
      <c r="X18" s="11"/>
      <c r="Z18" s="3"/>
      <c r="AA18" s="11">
        <f>Tabla356813212939717274757677787717273747[[#This Row],[COMISIONES]]*0.21</f>
        <v>0</v>
      </c>
      <c r="AB18" s="3"/>
      <c r="AF18" s="11"/>
      <c r="AG18" s="11">
        <f>Tabla35681314223040818284858687888818283848[[#This Row],[COMISIONES]]*0.21</f>
        <v>0</v>
      </c>
      <c r="AH18" s="11"/>
      <c r="AI18" s="11"/>
      <c r="AJ18" s="11"/>
      <c r="AK18" s="11"/>
      <c r="AL18" s="11">
        <f>Tabla356111927344311213151617181911121314151[[#This Row],[COMISIONES]]*0.21</f>
        <v>0</v>
      </c>
      <c r="AM18" s="11"/>
      <c r="AN18" s="11"/>
      <c r="AO18" s="11"/>
    </row>
    <row r="19" spans="2:41" x14ac:dyDescent="0.25">
      <c r="B19" s="3">
        <v>53300</v>
      </c>
      <c r="C19" s="2">
        <f>Tabla13162432212223352627282212223242[[#This Row],[COMISIONES]]*0.21</f>
        <v>11193</v>
      </c>
      <c r="D19" s="3" t="s">
        <v>18</v>
      </c>
      <c r="E19" s="3">
        <v>3198</v>
      </c>
      <c r="F19" s="3">
        <v>2891.4</v>
      </c>
      <c r="G19" s="8"/>
      <c r="H19" s="11"/>
      <c r="I19" s="11">
        <f>Tabla39172535313233453637383313233343[[#This Row],[COMISIONES]]*0.21</f>
        <v>0</v>
      </c>
      <c r="J19" s="11"/>
      <c r="K19" s="11"/>
      <c r="L19" s="11"/>
      <c r="M19" s="8"/>
      <c r="N19" s="1"/>
      <c r="O19" s="11">
        <f>Tabla3510182636414244454647484414243444[[#This Row],[COMISIONES]]*0.21</f>
        <v>0</v>
      </c>
      <c r="P19" s="11"/>
      <c r="Q19" s="11"/>
      <c r="R19" s="23"/>
      <c r="S19" s="8"/>
      <c r="T19" s="11"/>
      <c r="U19" s="11">
        <f>Tabla35611192737515254555657585515253545[[#This Row],[COMISIONES]]*0.21</f>
        <v>0</v>
      </c>
      <c r="V19" s="11"/>
      <c r="W19" s="11"/>
      <c r="X19" s="11"/>
      <c r="Y19" s="8"/>
      <c r="Z19" s="3"/>
      <c r="AA19" s="11">
        <f>Tabla356813212939717274757677787717273747[[#This Row],[COMISIONES]]*0.21</f>
        <v>0</v>
      </c>
      <c r="AB19" s="3"/>
      <c r="AC19" s="1"/>
      <c r="AE19" s="8"/>
      <c r="AF19" s="11"/>
      <c r="AG19" s="11">
        <f>Tabla35681314223040818284858687888818283848[[#This Row],[COMISIONES]]*0.21</f>
        <v>0</v>
      </c>
      <c r="AH19" s="11"/>
      <c r="AI19" s="11"/>
      <c r="AJ19" s="11"/>
      <c r="AK19" s="11"/>
      <c r="AL19" s="11">
        <f>Tabla356111927344311213151617181911121314151[[#This Row],[COMISIONES]]*0.21</f>
        <v>0</v>
      </c>
      <c r="AM19" s="11"/>
      <c r="AN19" s="11"/>
      <c r="AO19" s="11"/>
    </row>
    <row r="20" spans="2:41" x14ac:dyDescent="0.25">
      <c r="B20" s="3">
        <v>11895</v>
      </c>
      <c r="C20" s="2">
        <f>Tabla13162432212223352627282212223242[[#This Row],[COMISIONES]]*0.21</f>
        <v>2497.9499999999998</v>
      </c>
      <c r="D20" s="3" t="s">
        <v>18</v>
      </c>
      <c r="E20" s="3">
        <v>1599</v>
      </c>
      <c r="F20" s="3"/>
      <c r="H20" s="11"/>
      <c r="I20" s="11">
        <f>Tabla39172535313233453637383313233343[[#This Row],[COMISIONES]]*0.21</f>
        <v>0</v>
      </c>
      <c r="J20" s="11"/>
      <c r="K20" s="11"/>
      <c r="L20" s="11"/>
      <c r="N20" s="1"/>
      <c r="O20" s="11">
        <f>Tabla3510182636414244454647484414243444[[#This Row],[COMISIONES]]*0.21</f>
        <v>0</v>
      </c>
      <c r="P20" s="11"/>
      <c r="Q20" s="11"/>
      <c r="R20" s="23"/>
      <c r="T20" s="11"/>
      <c r="U20" s="11">
        <f>Tabla35611192737515254555657585515253545[[#This Row],[COMISIONES]]*0.21</f>
        <v>0</v>
      </c>
      <c r="V20" s="11"/>
      <c r="W20" s="11"/>
      <c r="X20" s="11"/>
      <c r="Z20" s="3"/>
      <c r="AA20" s="11">
        <f>Tabla356813212939717274757677787717273747[[#This Row],[COMISIONES]]*0.21</f>
        <v>0</v>
      </c>
      <c r="AB20" s="11"/>
      <c r="AC20" s="1"/>
      <c r="AF20" s="11"/>
      <c r="AG20" s="11">
        <f>Tabla35681314223040818284858687888818283848[[#This Row],[COMISIONES]]*0.21</f>
        <v>0</v>
      </c>
      <c r="AH20" s="11"/>
      <c r="AI20" s="11"/>
      <c r="AJ20" s="11"/>
      <c r="AK20" s="11"/>
      <c r="AL20" s="11">
        <f>Tabla356111927344311213151617181911121314151[[#This Row],[COMISIONES]]*0.21</f>
        <v>0</v>
      </c>
      <c r="AM20" s="11"/>
      <c r="AN20" s="11"/>
      <c r="AO20" s="11"/>
    </row>
    <row r="21" spans="2:41" x14ac:dyDescent="0.25">
      <c r="B21" s="3"/>
      <c r="C21" s="2">
        <f>Tabla13162432212223352627282212223242[[#This Row],[COMISIONES]]*0.21</f>
        <v>0</v>
      </c>
      <c r="D21" s="3">
        <f>Tabla13162432212223352627282212223242[[#This Row],[COMISIONES]]*0.105</f>
        <v>0</v>
      </c>
      <c r="E21" s="3">
        <v>713.7</v>
      </c>
      <c r="F21" s="3"/>
      <c r="H21" s="11"/>
      <c r="I21" s="11">
        <f>Tabla39172535313233453637383313233343[[#This Row],[COMISIONES]]*0.21</f>
        <v>0</v>
      </c>
      <c r="J21" s="11"/>
      <c r="K21" s="11"/>
      <c r="L21" s="11"/>
      <c r="N21" s="11"/>
      <c r="O21" s="11">
        <f>Tabla3510182636414244454647484414243444[[#This Row],[COMISIONES]]*0.21</f>
        <v>0</v>
      </c>
      <c r="P21" s="11"/>
      <c r="Q21" s="11"/>
      <c r="R21" s="11"/>
      <c r="T21" s="11"/>
      <c r="U21" s="11">
        <f>Tabla35611192737515254555657585515253545[[#This Row],[COMISIONES]]*0.21</f>
        <v>0</v>
      </c>
      <c r="V21" s="11"/>
      <c r="W21" s="11"/>
      <c r="X21" s="11"/>
      <c r="Z21" s="3"/>
      <c r="AA21" s="11">
        <f>Tabla356813212939717274757677787717273747[[#This Row],[COMISIONES]]*0.21</f>
        <v>0</v>
      </c>
      <c r="AB21" s="11"/>
      <c r="AC21" s="1"/>
      <c r="AF21" s="11"/>
      <c r="AG21" s="11">
        <f>Tabla35681314223040818284858687888818283848[[#This Row],[COMISIONES]]*0.21</f>
        <v>0</v>
      </c>
      <c r="AH21" s="11"/>
      <c r="AI21" s="11"/>
      <c r="AJ21" s="11"/>
      <c r="AK21" s="11"/>
      <c r="AL21" s="11">
        <f>Tabla356111927344311213151617181911121314151[[#This Row],[COMISIONES]]*0.21</f>
        <v>0</v>
      </c>
      <c r="AM21" s="11"/>
      <c r="AN21" s="11"/>
      <c r="AO21" s="11"/>
    </row>
    <row r="22" spans="2:41" x14ac:dyDescent="0.25">
      <c r="B22" s="3"/>
      <c r="C22" s="2">
        <f>Tabla13162432212223352627282212223242[[#This Row],[COMISIONES]]*0.21</f>
        <v>0</v>
      </c>
      <c r="D22" s="3">
        <f>Tabla13162432212223352627282212223242[[#This Row],[COMISIONES]]*0.105</f>
        <v>0</v>
      </c>
      <c r="E22" s="3"/>
      <c r="F22" s="3"/>
      <c r="H22" s="11"/>
      <c r="I22" s="11">
        <f>Tabla39172535313233453637383313233343[[#This Row],[COMISIONES]]*0.21</f>
        <v>0</v>
      </c>
      <c r="J22" s="11"/>
      <c r="K22" s="11"/>
      <c r="L22" s="11"/>
      <c r="N22" s="11"/>
      <c r="O22" s="11">
        <f>Tabla3510182636414244454647484414243444[[#This Row],[COMISIONES]]*0.21</f>
        <v>0</v>
      </c>
      <c r="P22" s="11"/>
      <c r="Q22" s="11"/>
      <c r="R22" s="11"/>
      <c r="T22" s="11"/>
      <c r="U22" s="11">
        <f>Tabla35611192737515254555657585515253545[[#This Row],[COMISIONES]]*0.21</f>
        <v>0</v>
      </c>
      <c r="V22" s="11"/>
      <c r="W22" s="11"/>
      <c r="X22" s="11"/>
      <c r="Z22" s="3"/>
      <c r="AA22" s="11">
        <f>Tabla356813212939717274757677787717273747[[#This Row],[COMISIONES]]*0.21</f>
        <v>0</v>
      </c>
      <c r="AB22" s="29"/>
      <c r="AC22" s="1"/>
      <c r="AD22" s="11"/>
      <c r="AF22" s="11"/>
      <c r="AG22" s="11">
        <f>Tabla35681314223040818284858687888818283848[[#This Row],[COMISIONES]]*0.21</f>
        <v>0</v>
      </c>
      <c r="AH22" s="11"/>
      <c r="AI22" s="11"/>
      <c r="AJ22" s="11"/>
      <c r="AK22" s="11"/>
      <c r="AL22" s="11">
        <f>Tabla356111927344311213151617181911121314151[[#This Row],[COMISIONES]]*0.21</f>
        <v>0</v>
      </c>
      <c r="AM22" s="11"/>
      <c r="AN22" s="11"/>
      <c r="AO22" s="11"/>
    </row>
    <row r="23" spans="2:41" x14ac:dyDescent="0.25">
      <c r="B23" s="3"/>
      <c r="C23" s="2">
        <f>Tabla13162432212223352627282212223242[[#This Row],[COMISIONES]]*0.21</f>
        <v>0</v>
      </c>
      <c r="D23" s="3">
        <f>Tabla13162432212223352627282212223242[[#This Row],[COMISIONES]]*0.105</f>
        <v>0</v>
      </c>
      <c r="E23" s="3"/>
      <c r="F23" s="3"/>
      <c r="H23" s="11"/>
      <c r="I23" s="11">
        <f>Tabla39172535313233453637383313233343[[#This Row],[COMISIONES]]*0.21</f>
        <v>0</v>
      </c>
      <c r="J23" s="11"/>
      <c r="K23" s="11"/>
      <c r="L23" s="11"/>
      <c r="N23" s="11"/>
      <c r="O23" s="11">
        <f>Tabla3510182636414244454647484414243444[[#This Row],[COMISIONES]]*0.21</f>
        <v>0</v>
      </c>
      <c r="P23" s="11"/>
      <c r="Q23" s="11"/>
      <c r="R23" s="11"/>
      <c r="T23" s="11"/>
      <c r="U23" s="11">
        <f>Tabla35611192737515254555657585515253545[[#This Row],[COMISIONES]]*0.21</f>
        <v>0</v>
      </c>
      <c r="V23" s="11"/>
      <c r="W23" s="11"/>
      <c r="X23" s="11"/>
      <c r="Z23" s="3"/>
      <c r="AA23" s="11"/>
      <c r="AB23" s="3">
        <f>Tabla356813212939717274757677787717273747[[#This Row],[COMISIONES]]*0.105</f>
        <v>0</v>
      </c>
      <c r="AC23" s="1"/>
      <c r="AD23" s="11"/>
      <c r="AF23" s="11"/>
      <c r="AG23" s="11">
        <f>Tabla35681314223040818284858687888818283848[[#This Row],[COMISIONES]]*0.21</f>
        <v>0</v>
      </c>
      <c r="AH23" s="11"/>
      <c r="AI23" s="11"/>
      <c r="AJ23" s="11"/>
      <c r="AK23" s="11"/>
      <c r="AL23" s="11">
        <f>Tabla356111927344311213151617181911121314151[[#This Row],[COMISIONES]]*0.21</f>
        <v>0</v>
      </c>
      <c r="AM23" s="11"/>
      <c r="AN23" s="11"/>
      <c r="AO23" s="11"/>
    </row>
    <row r="24" spans="2:41" x14ac:dyDescent="0.25">
      <c r="B24" s="3"/>
      <c r="C24" s="2">
        <f>Tabla13162432212223352627282212223242[[#This Row],[COMISIONES]]*0.21</f>
        <v>0</v>
      </c>
      <c r="D24" s="3">
        <f>Tabla13162432212223352627282212223242[[#This Row],[COMISIONES]]*0.105</f>
        <v>0</v>
      </c>
      <c r="E24" s="3"/>
      <c r="F24" s="3"/>
      <c r="H24" s="11"/>
      <c r="I24" s="11">
        <f>Tabla39172535313233453637383313233343[[#This Row],[COMISIONES]]*0.21</f>
        <v>0</v>
      </c>
      <c r="J24" s="11"/>
      <c r="K24" s="11"/>
      <c r="L24" s="11"/>
      <c r="N24" s="11"/>
      <c r="O24" s="11">
        <f>Tabla3510182636414244454647484414243444[[#This Row],[COMISIONES]]*0.21</f>
        <v>0</v>
      </c>
      <c r="P24" s="11"/>
      <c r="Q24" s="11"/>
      <c r="R24" s="11"/>
      <c r="T24" s="11"/>
      <c r="U24" s="11">
        <f>Tabla35611192737515254555657585515253545[[#This Row],[COMISIONES]]*0.21</f>
        <v>0</v>
      </c>
      <c r="V24" s="11"/>
      <c r="W24" s="11"/>
      <c r="X24" s="11"/>
      <c r="Z24" s="3"/>
      <c r="AA24" s="11">
        <f>Tabla356813212939717274757677787717273747[[#This Row],[COMISIONES]]*0.21</f>
        <v>0</v>
      </c>
      <c r="AB24" s="11"/>
      <c r="AC24" s="1"/>
      <c r="AD24" s="11"/>
      <c r="AF24" s="11"/>
      <c r="AG24" s="11">
        <f>Tabla35681314223040818284858687888818283848[[#This Row],[COMISIONES]]*0.21</f>
        <v>0</v>
      </c>
      <c r="AH24" s="11"/>
      <c r="AI24" s="11"/>
      <c r="AJ24" s="11"/>
      <c r="AK24" s="11"/>
      <c r="AL24" s="11">
        <f>Tabla356111927344311213151617181911121314151[[#This Row],[COMISIONES]]*0.21</f>
        <v>0</v>
      </c>
      <c r="AM24" s="11"/>
      <c r="AN24" s="11"/>
      <c r="AO24" s="11"/>
    </row>
    <row r="25" spans="2:41" x14ac:dyDescent="0.25">
      <c r="B25" s="3"/>
      <c r="C25" s="2">
        <f>Tabla13162432212223352627282212223242[[#This Row],[COMISIONES]]*0.21</f>
        <v>0</v>
      </c>
      <c r="D25" s="3">
        <f>Tabla13162432212223352627282212223242[[#This Row],[COMISIONES]]*0.105</f>
        <v>0</v>
      </c>
      <c r="E25" s="3"/>
      <c r="F25" s="3"/>
      <c r="H25" s="11"/>
      <c r="I25" s="11">
        <f>Tabla39172535313233453637383313233343[[#This Row],[COMISIONES]]*0.21</f>
        <v>0</v>
      </c>
      <c r="J25" s="11"/>
      <c r="K25" s="11"/>
      <c r="L25" s="11"/>
      <c r="N25" s="11"/>
      <c r="O25" s="11">
        <f>Tabla3510182636414244454647484414243444[[#This Row],[COMISIONES]]*0.21</f>
        <v>0</v>
      </c>
      <c r="P25" s="11"/>
      <c r="Q25" s="11"/>
      <c r="R25" s="11"/>
      <c r="T25" s="11"/>
      <c r="U25" s="11">
        <f>Tabla35611192737515254555657585515253545[[#This Row],[COMISIONES]]*0.21</f>
        <v>0</v>
      </c>
      <c r="V25" s="11"/>
      <c r="W25" s="11"/>
      <c r="X25" s="11"/>
      <c r="Z25" s="3"/>
      <c r="AA25" s="11">
        <f>Tabla356813212939717274757677787717273747[[#This Row],[COMISIONES]]*0.21</f>
        <v>0</v>
      </c>
      <c r="AB25" s="11"/>
      <c r="AC25" s="1"/>
      <c r="AD25" s="11"/>
      <c r="AF25" s="11"/>
      <c r="AG25" s="11">
        <f>Tabla35681314223040818284858687888818283848[[#This Row],[COMISIONES]]*0.21</f>
        <v>0</v>
      </c>
      <c r="AH25" s="11"/>
      <c r="AI25" s="11"/>
      <c r="AJ25" s="11"/>
      <c r="AK25" s="11"/>
      <c r="AL25" s="11">
        <f>Tabla356111927344311213151617181911121314151[[#This Row],[COMISIONES]]*0.21</f>
        <v>0</v>
      </c>
      <c r="AM25" s="11"/>
      <c r="AN25" s="11"/>
      <c r="AO25" s="11"/>
    </row>
    <row r="26" spans="2:41" x14ac:dyDescent="0.25">
      <c r="B26" s="3"/>
      <c r="C26" s="2">
        <f>Tabla13162432212223352627282212223242[[#This Row],[COMISIONES]]*0.21</f>
        <v>0</v>
      </c>
      <c r="D26" s="3">
        <f>Tabla13162432212223352627282212223242[[#This Row],[COMISIONES]]*0.105</f>
        <v>0</v>
      </c>
      <c r="E26" s="3"/>
      <c r="F26" s="3"/>
      <c r="H26" s="11"/>
      <c r="I26" s="11">
        <f>Tabla39172535313233453637383313233343[[#This Row],[COMISIONES]]*0.21</f>
        <v>0</v>
      </c>
      <c r="J26" s="11"/>
      <c r="K26" s="11"/>
      <c r="L26" s="11"/>
      <c r="N26" s="11"/>
      <c r="O26" s="11">
        <f>Tabla3510182636414244454647484414243444[[#This Row],[COMISIONES]]*0.21</f>
        <v>0</v>
      </c>
      <c r="P26" s="11"/>
      <c r="Q26" s="11"/>
      <c r="R26" s="11"/>
      <c r="T26" s="11"/>
      <c r="U26" s="11">
        <f>Tabla35611192737515254555657585515253545[[#This Row],[COMISIONES]]*0.21</f>
        <v>0</v>
      </c>
      <c r="V26" s="11"/>
      <c r="W26" s="11"/>
      <c r="X26" s="11"/>
      <c r="Z26" s="3"/>
      <c r="AA26" s="11">
        <f>Tabla356813212939717274757677787717273747[[#This Row],[COMISIONES]]*0.21</f>
        <v>0</v>
      </c>
      <c r="AB26" s="11"/>
      <c r="AC26" s="1"/>
      <c r="AD26" s="11"/>
      <c r="AF26" s="4">
        <f>SUBTOTAL(109,Tabla35681314223040818284858687888818283848[COMISIONES])</f>
        <v>0</v>
      </c>
      <c r="AG26" s="4">
        <f>SUBTOTAL(109,Tabla35681314223040818284858687888818283848[IVA 21])</f>
        <v>0</v>
      </c>
      <c r="AH26" s="4">
        <f>SUBTOTAL(109,Tabla35681314223040818284858687888818283848[IVA 10,5])</f>
        <v>0</v>
      </c>
      <c r="AI26" s="4">
        <f>SUBTOTAL(109,Tabla35681314223040818284858687888818283848[Ret IIBB Caba])</f>
        <v>0</v>
      </c>
      <c r="AJ26" s="4">
        <f>SUBTOTAL(109,Tabla35681314223040818284858687888818283848[PERC IVA])</f>
        <v>0</v>
      </c>
      <c r="AK26" s="11"/>
      <c r="AL26" s="11">
        <f>Tabla356111927344311213151617181911121314151[[#This Row],[COMISIONES]]*0.21</f>
        <v>0</v>
      </c>
      <c r="AM26" s="11"/>
      <c r="AN26" s="11"/>
      <c r="AO26" s="11"/>
    </row>
    <row r="27" spans="2:41" x14ac:dyDescent="0.25">
      <c r="B27" s="3"/>
      <c r="C27" s="2">
        <f>Tabla13162432212223352627282212223242[[#This Row],[COMISIONES]]*0.21</f>
        <v>0</v>
      </c>
      <c r="D27" s="3">
        <f>Tabla13162432212223352627282212223242[[#This Row],[COMISIONES]]*0.105</f>
        <v>0</v>
      </c>
      <c r="E27" s="3"/>
      <c r="F27" s="3"/>
      <c r="H27" s="11"/>
      <c r="I27" s="11">
        <f>Tabla39172535313233453637383313233343[[#This Row],[COMISIONES]]*0.21</f>
        <v>0</v>
      </c>
      <c r="J27" s="11"/>
      <c r="K27" s="11"/>
      <c r="L27" s="11"/>
      <c r="N27" s="11"/>
      <c r="O27" s="11">
        <f>Tabla3510182636414244454647484414243444[[#This Row],[COMISIONES]]*0.21</f>
        <v>0</v>
      </c>
      <c r="P27" s="11"/>
      <c r="Q27" s="11"/>
      <c r="R27" s="11"/>
      <c r="T27" s="11"/>
      <c r="U27" s="11">
        <f>Tabla35611192737515254555657585515253545[[#This Row],[COMISIONES]]*0.21</f>
        <v>0</v>
      </c>
      <c r="V27" s="11"/>
      <c r="W27" s="11"/>
      <c r="X27" s="11"/>
      <c r="Z27" s="3"/>
      <c r="AA27" s="11" t="s">
        <v>18</v>
      </c>
      <c r="AB27" s="11"/>
      <c r="AC27" s="1"/>
      <c r="AK27" s="11"/>
      <c r="AL27" s="11">
        <f>Tabla356111927344311213151617181911121314151[[#This Row],[COMISIONES]]*0.21</f>
        <v>0</v>
      </c>
      <c r="AM27" s="11"/>
      <c r="AN27" s="11"/>
      <c r="AO27" s="11"/>
    </row>
    <row r="28" spans="2:41" x14ac:dyDescent="0.25">
      <c r="B28" s="3"/>
      <c r="C28" s="2">
        <f>Tabla13162432212223352627282212223242[[#This Row],[COMISIONES]]*0.21</f>
        <v>0</v>
      </c>
      <c r="D28" s="3">
        <f>Tabla13162432212223352627282212223242[[#This Row],[COMISIONES]]*0.105</f>
        <v>0</v>
      </c>
      <c r="E28" s="3"/>
      <c r="F28" s="3"/>
      <c r="H28" s="11"/>
      <c r="I28" s="11">
        <f>Tabla39172535313233453637383313233343[[#This Row],[COMISIONES]]*0.21</f>
        <v>0</v>
      </c>
      <c r="J28" s="11"/>
      <c r="K28" s="11"/>
      <c r="L28" s="11"/>
      <c r="N28" s="11"/>
      <c r="O28" s="11">
        <f>Tabla3510182636414244454647484414243444[[#This Row],[COMISIONES]]*0.21</f>
        <v>0</v>
      </c>
      <c r="P28" s="11"/>
      <c r="Q28" s="11"/>
      <c r="R28" s="11"/>
      <c r="T28" s="11"/>
      <c r="U28" s="11">
        <f>Tabla35611192737515254555657585515253545[[#This Row],[COMISIONES]]*0.21</f>
        <v>0</v>
      </c>
      <c r="V28" s="11"/>
      <c r="W28" s="11"/>
      <c r="X28" s="11"/>
      <c r="Z28" s="3"/>
      <c r="AA28" s="11">
        <f>Tabla356813212939717274757677787717273747[[#This Row],[COMISIONES]]*0.21</f>
        <v>0</v>
      </c>
      <c r="AB28" s="1"/>
      <c r="AC28" s="1"/>
      <c r="AD28" s="11"/>
      <c r="AK28" s="11"/>
      <c r="AL28" s="11">
        <f>Tabla356111927344311213151617181911121314151[[#This Row],[COMISIONES]]*0.21</f>
        <v>0</v>
      </c>
      <c r="AM28" s="11"/>
      <c r="AN28" s="11"/>
      <c r="AO28" s="11"/>
    </row>
    <row r="29" spans="2:41" x14ac:dyDescent="0.25">
      <c r="B29" s="3"/>
      <c r="C29" s="2">
        <f>Tabla13162432212223352627282212223242[[#This Row],[COMISIONES]]*0.21</f>
        <v>0</v>
      </c>
      <c r="D29" s="3">
        <f>Tabla13162432212223352627282212223242[[#This Row],[COMISIONES]]*0.105</f>
        <v>0</v>
      </c>
      <c r="E29" s="3"/>
      <c r="F29" s="3"/>
      <c r="H29" s="11"/>
      <c r="I29" s="11">
        <f>Tabla39172535313233453637383313233343[[#This Row],[COMISIONES]]*0.21</f>
        <v>0</v>
      </c>
      <c r="J29" s="11"/>
      <c r="K29" s="11"/>
      <c r="L29" s="11"/>
      <c r="N29" s="11"/>
      <c r="O29" s="11">
        <f>Tabla3510182636414244454647484414243444[[#This Row],[COMISIONES]]*0.21</f>
        <v>0</v>
      </c>
      <c r="P29" s="11"/>
      <c r="Q29" s="11"/>
      <c r="R29" s="11"/>
      <c r="T29" s="18"/>
      <c r="U29" s="18">
        <f>Tabla35611192737515254555657585515253545[[#This Row],[COMISIONES]]*0.21</f>
        <v>0</v>
      </c>
      <c r="V29" s="18"/>
      <c r="W29" s="18"/>
      <c r="X29" s="18"/>
      <c r="Z29" s="3"/>
      <c r="AA29" s="11">
        <f>Tabla356813212939717274757677787717273747[[#This Row],[COMISIONES]]*0.21</f>
        <v>0</v>
      </c>
      <c r="AB29" s="1"/>
      <c r="AD29" s="11"/>
      <c r="AK29" s="18"/>
      <c r="AL29" s="18">
        <f>Tabla356111927344311213151617181911121314151[[#This Row],[COMISIONES]]*0.21</f>
        <v>0</v>
      </c>
      <c r="AM29" s="18"/>
      <c r="AN29" s="18"/>
      <c r="AO29" s="18"/>
    </row>
    <row r="30" spans="2:41" x14ac:dyDescent="0.25">
      <c r="B30" s="3"/>
      <c r="C30" s="2">
        <f>Tabla13162432212223352627282212223242[[#This Row],[COMISIONES]]*0.21</f>
        <v>0</v>
      </c>
      <c r="D30" s="3">
        <f>Tabla13162432212223352627282212223242[[#This Row],[COMISIONES]]*0.105</f>
        <v>0</v>
      </c>
      <c r="E30" s="3"/>
      <c r="F30" s="3"/>
      <c r="H30" s="11"/>
      <c r="I30" s="11">
        <f>Tabla39172535313233453637383313233343[[#This Row],[COMISIONES]]*0.21</f>
        <v>0</v>
      </c>
      <c r="J30" s="11"/>
      <c r="K30" s="11"/>
      <c r="L30" s="11"/>
      <c r="N30" s="11"/>
      <c r="O30" s="11">
        <f>Tabla3510182636414244454647484414243444[[#This Row],[COMISIONES]]*0.21</f>
        <v>0</v>
      </c>
      <c r="P30" s="11"/>
      <c r="Q30" s="11"/>
      <c r="R30" s="11"/>
      <c r="T30" s="18"/>
      <c r="U30" s="18">
        <f>Tabla35611192737515254555657585515253545[[#This Row],[COMISIONES]]*0.21</f>
        <v>0</v>
      </c>
      <c r="V30" s="18"/>
      <c r="W30" s="18"/>
      <c r="X30" s="18"/>
      <c r="Z30" s="3"/>
      <c r="AA30" s="11">
        <f>Tabla356813212939717274757677787717273747[[#This Row],[COMISIONES]]*0.21</f>
        <v>0</v>
      </c>
      <c r="AB30" s="11"/>
      <c r="AC30" s="11"/>
      <c r="AD30" s="11"/>
      <c r="AK30" s="18"/>
      <c r="AL30" s="18">
        <f>Tabla356111927344311213151617181911121314151[[#This Row],[COMISIONES]]*0.21</f>
        <v>0</v>
      </c>
      <c r="AM30" s="18"/>
      <c r="AN30" s="18"/>
      <c r="AO30" s="18"/>
    </row>
    <row r="31" spans="2:41" x14ac:dyDescent="0.25">
      <c r="B31" s="3"/>
      <c r="C31" s="2">
        <f>Tabla13162432212223352627282212223242[[#This Row],[COMISIONES]]*0.21</f>
        <v>0</v>
      </c>
      <c r="D31" s="3">
        <f>Tabla13162432212223352627282212223242[[#This Row],[COMISIONES]]*0.105</f>
        <v>0</v>
      </c>
      <c r="E31" s="1"/>
      <c r="F31" s="3"/>
      <c r="H31" s="11"/>
      <c r="I31" s="11">
        <f>Tabla39172535313233453637383313233343[[#This Row],[COMISIONES]]*0.21</f>
        <v>0</v>
      </c>
      <c r="J31" s="11"/>
      <c r="K31" s="11"/>
      <c r="L31" s="11"/>
      <c r="N31" s="11"/>
      <c r="O31" s="11">
        <f>Tabla3510182636414244454647484414243444[[#This Row],[COMISIONES]]*0.21</f>
        <v>0</v>
      </c>
      <c r="P31" s="11"/>
      <c r="Q31" s="11"/>
      <c r="R31" s="11"/>
      <c r="T31" s="4">
        <f>SUBTOTAL(109,Tabla35611192737515254555657585515253545[COMISIONES])</f>
        <v>48143.21</v>
      </c>
      <c r="U31" s="4">
        <f>SUBTOTAL(109,Tabla35611192737515254555657585515253545[IVA 21])</f>
        <v>10080</v>
      </c>
      <c r="V31" s="4">
        <f>SUBTOTAL(109,Tabla35611192737515254555657585515253545[IVA 10,5])</f>
        <v>15.037050000000001</v>
      </c>
      <c r="W31" s="4">
        <f>SUBTOTAL(109,Tabla35611192737515254555657585515253545[Ret IIBB Caba])</f>
        <v>2880</v>
      </c>
      <c r="X31" s="4">
        <f>SUBTOTAL(109,Tabla35611192737515254555657585515253545[PERC IVA])</f>
        <v>1440</v>
      </c>
      <c r="Z31" s="3"/>
      <c r="AA31" s="11"/>
      <c r="AB31" s="11">
        <f>Tabla356813212939717274757677787717273747[[#This Row],[COMISIONES]]*0.105</f>
        <v>0</v>
      </c>
      <c r="AC31" s="1"/>
      <c r="AK31" s="4">
        <f>SUBTOTAL(109,Tabla356111927344311213151617181911121314151[COMISIONES])</f>
        <v>4291.1900000000005</v>
      </c>
      <c r="AL31" s="4">
        <f>SUBTOTAL(109,Tabla356111927344311213151617181911121314151[IVA 21])</f>
        <v>833.05740000000003</v>
      </c>
      <c r="AM31" s="4">
        <f>SUBTOTAL(109,Tabla356111927344311213151617181911121314151[IVA 10,5])</f>
        <v>34.046250000000001</v>
      </c>
      <c r="AN31" s="4">
        <f>SUBTOTAL(109,Tabla356111927344311213151617181911121314151[Ret IIBB Caba])</f>
        <v>7577.91</v>
      </c>
      <c r="AO31" s="4">
        <f>SUBTOTAL(109,Tabla356111927344311213151617181911121314151[PERC IVA])</f>
        <v>119.01</v>
      </c>
    </row>
    <row r="32" spans="2:41" ht="18.75" x14ac:dyDescent="0.3">
      <c r="B32" s="3"/>
      <c r="C32" s="2">
        <f>Tabla13162432212223352627282212223242[[#This Row],[COMISIONES]]*0.21</f>
        <v>0</v>
      </c>
      <c r="D32" s="3">
        <f>Tabla13162432212223352627282212223242[[#This Row],[COMISIONES]]*0.105</f>
        <v>0</v>
      </c>
      <c r="E32" s="3"/>
      <c r="F32" s="3"/>
      <c r="H32" s="11"/>
      <c r="I32" s="11">
        <f>Tabla39172535313233453637383313233343[[#This Row],[COMISIONES]]*0.21</f>
        <v>0</v>
      </c>
      <c r="J32" s="11"/>
      <c r="K32" s="11"/>
      <c r="L32" s="11"/>
      <c r="N32" s="11"/>
      <c r="O32" s="11">
        <f>Tabla3510182636414244454647484414243444[[#This Row],[COMISIONES]]*0.21</f>
        <v>0</v>
      </c>
      <c r="P32" s="11"/>
      <c r="Q32" s="11"/>
      <c r="R32" s="11"/>
      <c r="T32" s="52" t="s">
        <v>9</v>
      </c>
      <c r="U32" s="52"/>
      <c r="V32" s="52"/>
      <c r="W32" s="52"/>
      <c r="X32" s="52"/>
      <c r="Z32" s="3"/>
      <c r="AA32" s="11">
        <f>Tabla356813212939717274757677787717273747[[#This Row],[COMISIONES]]*0.21</f>
        <v>0</v>
      </c>
      <c r="AB32" s="1"/>
      <c r="AC32" s="11"/>
      <c r="AD32" s="11"/>
    </row>
    <row r="33" spans="2:31" x14ac:dyDescent="0.25">
      <c r="B33" s="3"/>
      <c r="C33" s="2">
        <f>Tabla13162432212223352627282212223242[[#This Row],[COMISIONES]]*0.21</f>
        <v>0</v>
      </c>
      <c r="D33" s="3">
        <f>Tabla13162432212223352627282212223242[[#This Row],[COMISIONES]]*0.105</f>
        <v>0</v>
      </c>
      <c r="E33" s="3"/>
      <c r="F33" s="3"/>
      <c r="H33" s="11"/>
      <c r="I33" s="11">
        <f>Tabla39172535313233453637383313233343[[#This Row],[COMISIONES]]*0.21</f>
        <v>0</v>
      </c>
      <c r="J33" s="11"/>
      <c r="K33" s="11"/>
      <c r="L33" s="11"/>
      <c r="N33" s="11"/>
      <c r="O33" s="11">
        <f>Tabla3510182636414244454647484414243444[[#This Row],[COMISIONES]]*0.21</f>
        <v>0</v>
      </c>
      <c r="P33" s="11"/>
      <c r="Q33" s="11"/>
      <c r="R33" s="11"/>
      <c r="T33" s="12" t="s">
        <v>2</v>
      </c>
      <c r="U33" s="13" t="s">
        <v>0</v>
      </c>
      <c r="V33" s="13" t="s">
        <v>1</v>
      </c>
      <c r="W33" s="13" t="s">
        <v>3</v>
      </c>
      <c r="X33" s="13" t="s">
        <v>4</v>
      </c>
      <c r="Z33" s="3"/>
      <c r="AA33" s="11">
        <f>Tabla356813212939717274757677787717273747[[#This Row],[COMISIONES]]*0.21</f>
        <v>0</v>
      </c>
      <c r="AB33" s="29"/>
      <c r="AC33" s="11"/>
      <c r="AD33" s="11"/>
    </row>
    <row r="34" spans="2:31" x14ac:dyDescent="0.25">
      <c r="B34" s="3"/>
      <c r="C34" s="2">
        <f>Tabla13162432212223352627282212223242[[#This Row],[COMISIONES]]*0.21</f>
        <v>0</v>
      </c>
      <c r="D34" s="3">
        <f>Tabla13162432212223352627282212223242[[#This Row],[COMISIONES]]*0.105</f>
        <v>0</v>
      </c>
      <c r="E34" s="3"/>
      <c r="F34" s="3"/>
      <c r="H34" s="11"/>
      <c r="I34" s="11">
        <f>Tabla39172535313233453637383313233343[[#This Row],[COMISIONES]]*0.21</f>
        <v>0</v>
      </c>
      <c r="J34" s="11"/>
      <c r="K34" s="11"/>
      <c r="L34" s="11"/>
      <c r="N34" s="11"/>
      <c r="O34" s="11">
        <f>Tabla3510182636414244454647484414243444[[#This Row],[COMISIONES]]*0.21</f>
        <v>0</v>
      </c>
      <c r="P34" s="11"/>
      <c r="Q34" s="11"/>
      <c r="R34" s="11"/>
      <c r="T34" s="11">
        <v>10</v>
      </c>
      <c r="U34" s="11">
        <f>Tabla612202838616264656667686616263646[[#This Row],[COMISIONES]]*0.21</f>
        <v>2.1</v>
      </c>
      <c r="V34" s="11"/>
      <c r="W34" s="11">
        <v>2316.0100000000002</v>
      </c>
      <c r="X34" s="11">
        <v>579</v>
      </c>
      <c r="Z34" s="3"/>
      <c r="AA34" s="11">
        <f>Tabla356813212939717274757677787717273747[[#This Row],[COMISIONES]]*0.21</f>
        <v>0</v>
      </c>
      <c r="AB34" s="11"/>
      <c r="AC34" s="11"/>
      <c r="AD34" s="11"/>
    </row>
    <row r="35" spans="2:31" x14ac:dyDescent="0.25">
      <c r="B35" s="3"/>
      <c r="C35" s="2">
        <f>Tabla13162432212223352627282212223242[[#This Row],[COMISIONES]]*0.21</f>
        <v>0</v>
      </c>
      <c r="D35" s="3">
        <f>Tabla13162432212223352627282212223242[[#This Row],[COMISIONES]]*0.105</f>
        <v>0</v>
      </c>
      <c r="E35" s="3"/>
      <c r="F35" s="3"/>
      <c r="H35" s="11"/>
      <c r="I35" s="11">
        <f>Tabla39172535313233453637383313233343[[#This Row],[COMISIONES]]*0.21</f>
        <v>0</v>
      </c>
      <c r="J35" s="11"/>
      <c r="K35" s="11"/>
      <c r="L35" s="11"/>
      <c r="N35" s="11"/>
      <c r="O35" s="11">
        <f>Tabla3510182636414244454647484414243444[[#This Row],[COMISIONES]]*0.21</f>
        <v>0</v>
      </c>
      <c r="P35" s="11"/>
      <c r="Q35" s="11"/>
      <c r="R35" s="11"/>
      <c r="T35" s="11">
        <v>38600</v>
      </c>
      <c r="U35" s="11"/>
      <c r="V35" s="11">
        <f>Tabla612202838616264656667686616263646[[#This Row],[COMISIONES]]*0.105</f>
        <v>4053</v>
      </c>
      <c r="W35" s="11">
        <v>3138</v>
      </c>
      <c r="X35" s="11">
        <v>1569</v>
      </c>
      <c r="Z35" s="3"/>
      <c r="AA35" s="11">
        <f>Tabla356813212939717274757677787717273747[[#This Row],[COMISIONES]]*0.21</f>
        <v>0</v>
      </c>
      <c r="AB35" s="11"/>
      <c r="AC35" s="11"/>
      <c r="AD35" s="11"/>
    </row>
    <row r="36" spans="2:31" x14ac:dyDescent="0.25">
      <c r="B36" s="3"/>
      <c r="C36" s="2">
        <f>Tabla13162432212223352627282212223242[[#This Row],[COMISIONES]]*0.21</f>
        <v>0</v>
      </c>
      <c r="D36" s="3">
        <f>Tabla13162432212223352627282212223242[[#This Row],[COMISIONES]]*0.105</f>
        <v>0</v>
      </c>
      <c r="E36" s="3"/>
      <c r="F36" s="3"/>
      <c r="H36" s="11"/>
      <c r="I36" s="11">
        <f>Tabla39172535313233453637383313233343[[#This Row],[COMISIONES]]*0.21</f>
        <v>0</v>
      </c>
      <c r="J36" s="11"/>
      <c r="K36" s="11"/>
      <c r="L36" s="11"/>
      <c r="N36" s="11"/>
      <c r="O36" s="11">
        <f>Tabla3510182636414244454647484414243444[[#This Row],[COMISIONES]]*0.21</f>
        <v>0</v>
      </c>
      <c r="P36" s="11"/>
      <c r="Q36" s="11"/>
      <c r="R36" s="11"/>
      <c r="T36" s="11">
        <v>52300</v>
      </c>
      <c r="U36" s="11">
        <f>Tabla612202838616264656667686616263646[[#This Row],[COMISIONES]]*0.21</f>
        <v>10983</v>
      </c>
      <c r="V36" s="19" t="s">
        <v>18</v>
      </c>
      <c r="W36" s="3">
        <v>3249</v>
      </c>
      <c r="X36" s="3">
        <v>1624.5</v>
      </c>
      <c r="Z36" s="3"/>
      <c r="AA36" s="11">
        <f>Tabla356813212939717274757677787717273747[[#This Row],[COMISIONES]]*0.21</f>
        <v>0</v>
      </c>
      <c r="AB36" s="1"/>
      <c r="AC36" s="11"/>
      <c r="AD36" s="11"/>
    </row>
    <row r="37" spans="2:31" x14ac:dyDescent="0.25">
      <c r="B37" s="3"/>
      <c r="C37" s="2">
        <f>Tabla13162432212223352627282212223242[[#This Row],[COMISIONES]]*0.21</f>
        <v>0</v>
      </c>
      <c r="D37" s="3">
        <f>Tabla13162432212223352627282212223242[[#This Row],[COMISIONES]]*0.105</f>
        <v>0</v>
      </c>
      <c r="E37" s="3"/>
      <c r="F37" s="3"/>
      <c r="H37" s="11"/>
      <c r="I37" s="11">
        <f>Tabla39172535313233453637383313233343[[#This Row],[COMISIONES]]*0.21</f>
        <v>0</v>
      </c>
      <c r="J37" s="11"/>
      <c r="K37" s="11"/>
      <c r="L37" s="11"/>
      <c r="N37" s="11"/>
      <c r="O37" s="11">
        <f>Tabla3510182636414244454647484414243444[[#This Row],[COMISIONES]]*0.21</f>
        <v>0</v>
      </c>
      <c r="P37" s="11"/>
      <c r="Q37" s="11"/>
      <c r="R37" s="11"/>
      <c r="T37" s="11">
        <v>54150</v>
      </c>
      <c r="U37" s="19">
        <f>Tabla612202838616264656667686616263646[[#This Row],[COMISIONES]]*0.21</f>
        <v>11371.5</v>
      </c>
      <c r="Z37" s="3"/>
      <c r="AA37" s="11">
        <f>Tabla356813212939717274757677787717273747[[#This Row],[COMISIONES]]*0.21</f>
        <v>0</v>
      </c>
      <c r="AB37" s="11"/>
      <c r="AC37" s="21"/>
      <c r="AD37" s="22"/>
    </row>
    <row r="38" spans="2:31" x14ac:dyDescent="0.25">
      <c r="B38" s="3"/>
      <c r="C38" s="2">
        <f>Tabla13162432212223352627282212223242[[#This Row],[COMISIONES]]*0.21</f>
        <v>0</v>
      </c>
      <c r="D38" s="3">
        <f>Tabla13162432212223352627282212223242[[#This Row],[COMISIONES]]*0.105</f>
        <v>0</v>
      </c>
      <c r="E38" s="3"/>
      <c r="F38" s="3"/>
      <c r="H38" s="11"/>
      <c r="I38" s="11">
        <f>Tabla39172535313233453637383313233343[[#This Row],[COMISIONES]]*0.21</f>
        <v>0</v>
      </c>
      <c r="J38" s="11"/>
      <c r="K38" s="11"/>
      <c r="L38" s="11"/>
      <c r="N38" s="11"/>
      <c r="O38" s="11">
        <f>Tabla3510182636414244454647484414243444[[#This Row],[COMISIONES]]*0.21</f>
        <v>0</v>
      </c>
      <c r="P38" s="11"/>
      <c r="Q38" s="11"/>
      <c r="R38" s="11"/>
      <c r="T38" s="11">
        <v>300</v>
      </c>
      <c r="U38" s="19">
        <f>Tabla612202838616264656667686616263646[[#This Row],[COMISIONES]]*0.21</f>
        <v>63</v>
      </c>
      <c r="Z38" s="3"/>
      <c r="AA38" s="11">
        <f>Tabla356813212939717274757677787717273747[[#This Row],[COMISIONES]]*0.21</f>
        <v>0</v>
      </c>
      <c r="AB38" s="1"/>
      <c r="AC38" s="1"/>
    </row>
    <row r="39" spans="2:31" x14ac:dyDescent="0.25">
      <c r="B39" s="3"/>
      <c r="C39" s="2">
        <f>Tabla13162432212223352627282212223242[[#This Row],[COMISIONES]]*0.21</f>
        <v>0</v>
      </c>
      <c r="D39" s="3">
        <f>Tabla13162432212223352627282212223242[[#This Row],[COMISIONES]]*0.105</f>
        <v>0</v>
      </c>
      <c r="E39" s="3"/>
      <c r="F39" s="3"/>
      <c r="H39" s="11"/>
      <c r="I39" s="11">
        <f>Tabla39172535313233453637383313233343[[#This Row],[COMISIONES]]*0.21</f>
        <v>0</v>
      </c>
      <c r="J39" s="11"/>
      <c r="K39" s="11"/>
      <c r="L39" s="11"/>
      <c r="N39" s="11"/>
      <c r="O39" s="11">
        <f>Tabla3510182636414244454647484414243444[[#This Row],[COMISIONES]]*0.21</f>
        <v>0</v>
      </c>
      <c r="P39" s="11"/>
      <c r="Q39" s="11"/>
      <c r="R39" s="11"/>
      <c r="T39" s="11">
        <v>300</v>
      </c>
      <c r="U39" s="19">
        <f>Tabla612202838616264656667686616263646[[#This Row],[COMISIONES]]*0.21</f>
        <v>63</v>
      </c>
      <c r="V39" s="19"/>
      <c r="Z39" s="3"/>
      <c r="AA39" s="11">
        <f>Tabla356813212939717274757677787717273747[[#This Row],[COMISIONES]]*0.21</f>
        <v>0</v>
      </c>
      <c r="AB39" s="21"/>
      <c r="AC39" s="21"/>
      <c r="AD39" s="21"/>
    </row>
    <row r="40" spans="2:31" x14ac:dyDescent="0.25">
      <c r="B40" s="3"/>
      <c r="C40" s="2">
        <f>Tabla13162432212223352627282212223242[[#This Row],[COMISIONES]]*0.21</f>
        <v>0</v>
      </c>
      <c r="D40" s="3">
        <f>Tabla13162432212223352627282212223242[[#This Row],[COMISIONES]]*0.105</f>
        <v>0</v>
      </c>
      <c r="E40" s="3"/>
      <c r="F40" s="3"/>
      <c r="H40" s="11"/>
      <c r="I40" s="11">
        <f>Tabla39172535313233453637383313233343[[#This Row],[COMISIONES]]*0.21</f>
        <v>0</v>
      </c>
      <c r="J40" s="11"/>
      <c r="K40" s="11"/>
      <c r="L40" s="11"/>
      <c r="N40" s="11"/>
      <c r="O40" s="11">
        <f>Tabla3510182636414244454647484414243444[[#This Row],[COMISIONES]]*0.21</f>
        <v>0</v>
      </c>
      <c r="P40" s="11"/>
      <c r="Q40" s="11"/>
      <c r="R40" s="11"/>
      <c r="T40" s="11">
        <v>300</v>
      </c>
      <c r="U40" s="19">
        <f>Tabla612202838616264656667686616263646[[#This Row],[COMISIONES]]*0.21</f>
        <v>63</v>
      </c>
      <c r="Z40" s="3"/>
      <c r="AA40" s="11">
        <f>Tabla356813212939717274757677787717273747[[#This Row],[COMISIONES]]*0.21</f>
        <v>0</v>
      </c>
      <c r="AB40" s="21"/>
      <c r="AC40" s="21"/>
      <c r="AD40" s="21"/>
    </row>
    <row r="41" spans="2:31" x14ac:dyDescent="0.25">
      <c r="B41" s="3"/>
      <c r="C41" s="2">
        <f>Tabla13162432212223352627282212223242[[#This Row],[COMISIONES]]*0.21</f>
        <v>0</v>
      </c>
      <c r="D41" s="3">
        <f>Tabla13162432212223352627282212223242[[#This Row],[COMISIONES]]*0.105</f>
        <v>0</v>
      </c>
      <c r="E41" s="3"/>
      <c r="F41" s="3"/>
      <c r="H41" s="18"/>
      <c r="I41" s="18">
        <f>Tabla39172535313233453637383313233343[[#This Row],[COMISIONES]]*0.21</f>
        <v>0</v>
      </c>
      <c r="J41" s="18"/>
      <c r="K41" s="18"/>
      <c r="L41" s="18"/>
      <c r="N41" s="11"/>
      <c r="O41" s="11">
        <f>Tabla3510182636414244454647484414243444[[#This Row],[COMISIONES]]*0.21</f>
        <v>0</v>
      </c>
      <c r="P41" s="11"/>
      <c r="Q41" s="11"/>
      <c r="R41" s="11"/>
      <c r="T41" s="11">
        <v>300</v>
      </c>
      <c r="U41" s="19">
        <f>Tabla612202838616264656667686616263646[[#This Row],[COMISIONES]]*0.21</f>
        <v>63</v>
      </c>
      <c r="Z41" s="3"/>
      <c r="AA41" s="11">
        <f>Tabla356813212939717274757677787717273747[[#This Row],[COMISIONES]]*0.21</f>
        <v>0</v>
      </c>
      <c r="AB41" s="21"/>
      <c r="AC41" s="21"/>
      <c r="AD41" s="21"/>
    </row>
    <row r="42" spans="2:31" x14ac:dyDescent="0.25">
      <c r="B42" s="3"/>
      <c r="C42" s="2">
        <f>Tabla13162432212223352627282212223242[[#This Row],[COMISIONES]]*0.21</f>
        <v>0</v>
      </c>
      <c r="D42" s="3">
        <f>Tabla13162432212223352627282212223242[[#This Row],[COMISIONES]]*0.105</f>
        <v>0</v>
      </c>
      <c r="E42" s="3"/>
      <c r="F42" s="3"/>
      <c r="H42" s="18"/>
      <c r="I42" s="18">
        <f>Tabla39172535313233453637383313233343[[#This Row],[COMISIONES]]*0.21</f>
        <v>0</v>
      </c>
      <c r="J42" s="18"/>
      <c r="K42" s="18"/>
      <c r="L42" s="18"/>
      <c r="N42" s="11"/>
      <c r="O42" s="11">
        <f>Tabla3510182636414244454647484414243444[[#This Row],[COMISIONES]]*0.21</f>
        <v>0</v>
      </c>
      <c r="P42" s="11"/>
      <c r="Q42" s="11"/>
      <c r="R42" s="11"/>
      <c r="T42" s="11">
        <v>300</v>
      </c>
      <c r="U42" s="19">
        <f>Tabla612202838616264656667686616263646[[#This Row],[COMISIONES]]*0.21</f>
        <v>63</v>
      </c>
      <c r="Z42" s="3"/>
      <c r="AA42" s="11">
        <f>Tabla356813212939717274757677787717273747[[#This Row],[COMISIONES]]*0.21</f>
        <v>0</v>
      </c>
      <c r="AB42" s="21"/>
      <c r="AC42" s="21"/>
      <c r="AD42" s="21"/>
    </row>
    <row r="43" spans="2:31" x14ac:dyDescent="0.25">
      <c r="B43" s="3"/>
      <c r="C43" s="2">
        <f>Tabla13162432212223352627282212223242[[#This Row],[COMISIONES]]*0.21</f>
        <v>0</v>
      </c>
      <c r="D43" s="3">
        <f>Tabla13162432212223352627282212223242[[#This Row],[COMISIONES]]*0.105</f>
        <v>0</v>
      </c>
      <c r="E43" s="3"/>
      <c r="F43" s="3"/>
      <c r="G43" s="8"/>
      <c r="H43" s="18"/>
      <c r="I43" s="18">
        <f>Tabla39172535313233453637383313233343[[#This Row],[COMISIONES]]*0.21</f>
        <v>0</v>
      </c>
      <c r="J43" s="18"/>
      <c r="K43" s="18"/>
      <c r="L43" s="18"/>
      <c r="M43" s="8"/>
      <c r="N43" s="11"/>
      <c r="O43" s="11">
        <f>Tabla3510182636414244454647484414243444[[#This Row],[COMISIONES]]*0.21</f>
        <v>0</v>
      </c>
      <c r="P43" s="11"/>
      <c r="Q43" s="11"/>
      <c r="R43" s="11"/>
      <c r="S43" s="8"/>
      <c r="T43" s="11">
        <v>300</v>
      </c>
      <c r="U43" s="19">
        <f>Tabla612202838616264656667686616263646[[#This Row],[COMISIONES]]*0.21</f>
        <v>63</v>
      </c>
      <c r="Y43" s="8"/>
      <c r="Z43" s="3"/>
      <c r="AA43" s="11">
        <f>Tabla356813212939717274757677787717273747[[#This Row],[COMISIONES]]*0.21</f>
        <v>0</v>
      </c>
      <c r="AB43" s="21"/>
      <c r="AC43" s="21"/>
      <c r="AD43" s="21"/>
      <c r="AE43" s="8"/>
    </row>
    <row r="44" spans="2:31" x14ac:dyDescent="0.25">
      <c r="B44" s="3"/>
      <c r="C44" s="2">
        <f>Tabla13162432212223352627282212223242[[#This Row],[COMISIONES]]*0.21</f>
        <v>0</v>
      </c>
      <c r="D44" s="3">
        <f>Tabla13162432212223352627282212223242[[#This Row],[COMISIONES]]*0.105</f>
        <v>0</v>
      </c>
      <c r="E44" s="3"/>
      <c r="F44" s="3"/>
      <c r="H44" s="18"/>
      <c r="I44" s="18">
        <f>Tabla39172535313233453637383313233343[[#This Row],[COMISIONES]]*0.21</f>
        <v>0</v>
      </c>
      <c r="J44" s="18"/>
      <c r="K44" s="18"/>
      <c r="L44" s="18"/>
      <c r="N44" s="11"/>
      <c r="O44" s="11">
        <f>Tabla3510182636414244454647484414243444[[#This Row],[COMISIONES]]*0.21</f>
        <v>0</v>
      </c>
      <c r="P44" s="11"/>
      <c r="Q44" s="11"/>
      <c r="R44" s="11"/>
      <c r="T44">
        <v>300</v>
      </c>
      <c r="U44" s="19">
        <f>Tabla612202838616264656667686616263646[[#This Row],[COMISIONES]]*0.21</f>
        <v>63</v>
      </c>
      <c r="Z44" s="3"/>
      <c r="AA44" s="11">
        <f>Tabla356813212939717274757677787717273747[[#This Row],[COMISIONES]]*0.21</f>
        <v>0</v>
      </c>
      <c r="AB44" s="21"/>
      <c r="AC44" s="21"/>
      <c r="AD44" s="21"/>
    </row>
    <row r="45" spans="2:31" x14ac:dyDescent="0.25">
      <c r="B45" s="3"/>
      <c r="C45" s="2">
        <f>Tabla13162432212223352627282212223242[[#This Row],[COMISIONES]]*0.21</f>
        <v>0</v>
      </c>
      <c r="D45" s="3">
        <f>Tabla13162432212223352627282212223242[[#This Row],[COMISIONES]]*0.105</f>
        <v>0</v>
      </c>
      <c r="E45" s="3"/>
      <c r="F45" s="3"/>
      <c r="H45" s="18"/>
      <c r="I45" s="18">
        <f>Tabla39172535313233453637383313233343[[#This Row],[COMISIONES]]*0.21</f>
        <v>0</v>
      </c>
      <c r="J45" s="18"/>
      <c r="K45" s="18"/>
      <c r="L45" s="18"/>
      <c r="N45" s="11"/>
      <c r="O45" s="11">
        <f>Tabla3510182636414244454647484414243444[[#This Row],[COMISIONES]]*0.21</f>
        <v>0</v>
      </c>
      <c r="P45" s="11"/>
      <c r="Q45" s="11"/>
      <c r="R45" s="11"/>
      <c r="T45">
        <v>300</v>
      </c>
      <c r="U45" s="19">
        <f>Tabla612202838616264656667686616263646[[#This Row],[COMISIONES]]*0.21</f>
        <v>63</v>
      </c>
      <c r="Z45" s="3"/>
      <c r="AA45" s="11">
        <f>Tabla356813212939717274757677787717273747[[#This Row],[COMISIONES]]*0.21</f>
        <v>0</v>
      </c>
      <c r="AB45" s="11" t="s">
        <v>18</v>
      </c>
      <c r="AC45" s="21"/>
      <c r="AD45" s="21"/>
    </row>
    <row r="46" spans="2:31" x14ac:dyDescent="0.25">
      <c r="B46" s="3"/>
      <c r="C46" s="2">
        <f>Tabla13162432212223352627282212223242[[#This Row],[COMISIONES]]*0.21</f>
        <v>0</v>
      </c>
      <c r="D46" s="3">
        <f>Tabla13162432212223352627282212223242[[#This Row],[COMISIONES]]*0.105</f>
        <v>0</v>
      </c>
      <c r="E46" s="3"/>
      <c r="F46" s="3"/>
      <c r="H46" s="18"/>
      <c r="I46" s="18">
        <f>Tabla39172535313233453637383313233343[[#This Row],[COMISIONES]]*0.21</f>
        <v>0</v>
      </c>
      <c r="J46" s="18"/>
      <c r="K46" s="18"/>
      <c r="L46" s="18"/>
      <c r="N46" s="11"/>
      <c r="O46" s="11">
        <f>Tabla3510182636414244454647484414243444[[#This Row],[COMISIONES]]*0.21</f>
        <v>0</v>
      </c>
      <c r="P46" s="11"/>
      <c r="Q46" s="11"/>
      <c r="R46" s="11"/>
      <c r="T46">
        <v>300</v>
      </c>
      <c r="U46" s="19">
        <f>Tabla612202838616264656667686616263646[[#This Row],[COMISIONES]]*0.21</f>
        <v>63</v>
      </c>
      <c r="Z46" s="3"/>
      <c r="AA46" s="11">
        <f>Tabla356813212939717274757677787717273747[[#This Row],[COMISIONES]]*0.21</f>
        <v>0</v>
      </c>
      <c r="AB46" s="21"/>
      <c r="AC46" s="21"/>
      <c r="AD46" s="21"/>
    </row>
    <row r="47" spans="2:31" x14ac:dyDescent="0.25">
      <c r="B47" s="3"/>
      <c r="C47" s="2">
        <f>Tabla13162432212223352627282212223242[[#This Row],[COMISIONES]]*0.21</f>
        <v>0</v>
      </c>
      <c r="D47" s="3">
        <f>Tabla13162432212223352627282212223242[[#This Row],[COMISIONES]]*0.105</f>
        <v>0</v>
      </c>
      <c r="E47" s="3"/>
      <c r="F47" s="3"/>
      <c r="H47" s="18"/>
      <c r="I47" s="18">
        <f>Tabla39172535313233453637383313233343[[#This Row],[COMISIONES]]*0.21</f>
        <v>0</v>
      </c>
      <c r="J47" s="18"/>
      <c r="K47" s="18"/>
      <c r="L47" s="18"/>
      <c r="N47" s="11"/>
      <c r="O47" s="11">
        <f>Tabla3510182636414244454647484414243444[[#This Row],[COMISIONES]]*0.21</f>
        <v>0</v>
      </c>
      <c r="P47" s="11"/>
      <c r="Q47" s="11"/>
      <c r="R47" s="11"/>
      <c r="U47" s="19">
        <f>Tabla612202838616264656667686616263646[[#This Row],[COMISIONES]]*0.21</f>
        <v>0</v>
      </c>
      <c r="Z47" s="3"/>
      <c r="AA47" s="11">
        <f>Tabla356813212939717274757677787717273747[[#This Row],[COMISIONES]]*0.21</f>
        <v>0</v>
      </c>
      <c r="AB47" s="21"/>
      <c r="AC47" s="21"/>
      <c r="AD47" s="21"/>
    </row>
    <row r="48" spans="2:31" x14ac:dyDescent="0.25">
      <c r="B48" s="3"/>
      <c r="C48" s="2">
        <f>Tabla13162432212223352627282212223242[[#This Row],[COMISIONES]]*0.21</f>
        <v>0</v>
      </c>
      <c r="D48" s="3">
        <f>Tabla13162432212223352627282212223242[[#This Row],[COMISIONES]]*0.105</f>
        <v>0</v>
      </c>
      <c r="E48" s="3"/>
      <c r="F48" s="3"/>
      <c r="H48" s="18"/>
      <c r="I48" s="18">
        <f>Tabla39172535313233453637383313233343[[#This Row],[COMISIONES]]*0.21</f>
        <v>0</v>
      </c>
      <c r="J48" s="18"/>
      <c r="K48" s="18"/>
      <c r="L48" s="18"/>
      <c r="N48" s="11"/>
      <c r="O48" s="11">
        <f>Tabla3510182636414244454647484414243444[[#This Row],[COMISIONES]]*0.21</f>
        <v>0</v>
      </c>
      <c r="P48" s="11"/>
      <c r="Q48" s="11"/>
      <c r="R48" s="11"/>
      <c r="U48" s="19">
        <f>Tabla612202838616264656667686616263646[[#This Row],[COMISIONES]]*0.21</f>
        <v>0</v>
      </c>
      <c r="Z48" s="3"/>
      <c r="AA48" s="11">
        <f>Tabla356813212939717274757677787717273747[[#This Row],[COMISIONES]]*0.21</f>
        <v>0</v>
      </c>
      <c r="AB48" s="21"/>
      <c r="AC48" s="21"/>
      <c r="AD48" s="21"/>
    </row>
    <row r="49" spans="1:41" x14ac:dyDescent="0.25">
      <c r="B49" s="3"/>
      <c r="C49" s="2">
        <f>Tabla13162432212223352627282212223242[[#This Row],[COMISIONES]]*0.21</f>
        <v>0</v>
      </c>
      <c r="D49" s="3">
        <f>Tabla13162432212223352627282212223242[[#This Row],[COMISIONES]]*0.105</f>
        <v>0</v>
      </c>
      <c r="E49" s="3"/>
      <c r="F49" s="3"/>
      <c r="H49" s="18"/>
      <c r="I49" s="18">
        <f>Tabla39172535313233453637383313233343[[#This Row],[COMISIONES]]*0.21</f>
        <v>0</v>
      </c>
      <c r="J49" s="18"/>
      <c r="K49" s="18"/>
      <c r="L49" s="18"/>
      <c r="N49" s="11"/>
      <c r="O49" s="11">
        <f>Tabla3510182636414244454647484414243444[[#This Row],[COMISIONES]]*0.21</f>
        <v>0</v>
      </c>
      <c r="P49" s="11"/>
      <c r="Q49" s="11"/>
      <c r="R49" s="11"/>
      <c r="U49" s="19">
        <f>Tabla612202838616264656667686616263646[[#This Row],[COMISIONES]]*0.21</f>
        <v>0</v>
      </c>
      <c r="Z49" s="3"/>
      <c r="AA49" s="11">
        <f>Tabla356813212939717274757677787717273747[[#This Row],[COMISIONES]]*0.21</f>
        <v>0</v>
      </c>
      <c r="AB49" s="1"/>
      <c r="AC49" s="21"/>
      <c r="AD49" s="21"/>
    </row>
    <row r="50" spans="1:41" s="6" customFormat="1" x14ac:dyDescent="0.25">
      <c r="A50"/>
      <c r="B50" s="3"/>
      <c r="C50" s="2">
        <f>Tabla13162432212223352627282212223242[[#This Row],[COMISIONES]]*0.21</f>
        <v>0</v>
      </c>
      <c r="D50" s="3">
        <f>Tabla13162432212223352627282212223242[[#This Row],[COMISIONES]]*0.105</f>
        <v>0</v>
      </c>
      <c r="E50" s="3"/>
      <c r="F50" s="3"/>
      <c r="H50" s="18"/>
      <c r="I50" s="18">
        <f>Tabla39172535313233453637383313233343[[#This Row],[COMISIONES]]*0.21</f>
        <v>0</v>
      </c>
      <c r="J50" s="18"/>
      <c r="K50" s="18"/>
      <c r="L50" s="18"/>
      <c r="N50" s="11"/>
      <c r="O50" s="11">
        <f>Tabla3510182636414244454647484414243444[[#This Row],[COMISIONES]]*0.21</f>
        <v>0</v>
      </c>
      <c r="P50" s="11"/>
      <c r="Q50" s="11"/>
      <c r="R50" s="11"/>
      <c r="T50"/>
      <c r="U50" s="19">
        <f>Tabla612202838616264656667686616263646[[#This Row],[COMISIONES]]*0.21</f>
        <v>0</v>
      </c>
      <c r="V50"/>
      <c r="W50"/>
      <c r="X50"/>
      <c r="Z50" s="3"/>
      <c r="AA50" s="11">
        <f>Tabla356813212939717274757677787717273747[[#This Row],[COMISIONES]]*0.21</f>
        <v>0</v>
      </c>
      <c r="AB50" s="21"/>
      <c r="AC50" s="21"/>
      <c r="AD50" s="21"/>
      <c r="AF50"/>
      <c r="AG50"/>
      <c r="AH50"/>
      <c r="AI50"/>
      <c r="AJ50"/>
      <c r="AK50"/>
      <c r="AL50"/>
      <c r="AM50"/>
      <c r="AN50"/>
      <c r="AO50"/>
    </row>
    <row r="51" spans="1:41" s="6" customFormat="1" x14ac:dyDescent="0.25">
      <c r="A51"/>
      <c r="B51" s="2"/>
      <c r="C51" s="2">
        <f>Tabla13162432212223352627282212223242[[#This Row],[COMISIONES]]*0.21</f>
        <v>0</v>
      </c>
      <c r="D51" s="2">
        <f>Tabla13162432212223352627282212223242[[#This Row],[COMISIONES]]*0.105</f>
        <v>0</v>
      </c>
      <c r="E51" s="2"/>
      <c r="F51"/>
      <c r="H51" s="18"/>
      <c r="I51" s="18">
        <f>Tabla39172535313233453637383313233343[[#This Row],[COMISIONES]]*0.21</f>
        <v>0</v>
      </c>
      <c r="J51" s="18"/>
      <c r="K51" s="18"/>
      <c r="L51" s="18"/>
      <c r="N51" s="11"/>
      <c r="O51" s="11">
        <f>Tabla3510182636414244454647484414243444[[#This Row],[COMISIONES]]*0.21</f>
        <v>0</v>
      </c>
      <c r="P51" s="11"/>
      <c r="Q51" s="11"/>
      <c r="R51" s="11"/>
      <c r="T51"/>
      <c r="U51" s="19">
        <f>Tabla612202838616264656667686616263646[[#This Row],[COMISIONES]]*0.21</f>
        <v>0</v>
      </c>
      <c r="V51"/>
      <c r="W51"/>
      <c r="X51"/>
      <c r="Z51" s="3"/>
      <c r="AA51" s="21">
        <f>Tabla356813212939717274757677787717273747[[#This Row],[COMISIONES]]*0.21</f>
        <v>0</v>
      </c>
      <c r="AB51" s="11" t="s">
        <v>18</v>
      </c>
      <c r="AC51" s="21"/>
      <c r="AD51" s="21"/>
      <c r="AF51"/>
      <c r="AG51"/>
      <c r="AH51"/>
      <c r="AI51"/>
      <c r="AJ51"/>
      <c r="AK51"/>
      <c r="AL51"/>
      <c r="AM51"/>
      <c r="AN51"/>
      <c r="AO51"/>
    </row>
    <row r="52" spans="1:41" s="6" customFormat="1" x14ac:dyDescent="0.25">
      <c r="A52"/>
      <c r="B52" s="2"/>
      <c r="C52" s="2">
        <f>Tabla13162432212223352627282212223242[[#This Row],[COMISIONES]]*0.21</f>
        <v>0</v>
      </c>
      <c r="D52" s="2">
        <f>Tabla13162432212223352627282212223242[[#This Row],[COMISIONES]]*0.105</f>
        <v>0</v>
      </c>
      <c r="E52" s="2"/>
      <c r="F52"/>
      <c r="H52" s="18"/>
      <c r="I52" s="18">
        <f>Tabla39172535313233453637383313233343[[#This Row],[COMISIONES]]*0.21</f>
        <v>0</v>
      </c>
      <c r="J52" s="18"/>
      <c r="K52" s="18"/>
      <c r="L52" s="18"/>
      <c r="N52" s="11"/>
      <c r="O52" s="11">
        <f>Tabla3510182636414244454647484414243444[[#This Row],[COMISIONES]]*0.21</f>
        <v>0</v>
      </c>
      <c r="P52" s="11"/>
      <c r="Q52" s="11"/>
      <c r="R52" s="11"/>
      <c r="T52"/>
      <c r="U52" s="19">
        <f>Tabla612202838616264656667686616263646[[#This Row],[COMISIONES]]*0.21</f>
        <v>0</v>
      </c>
      <c r="V52"/>
      <c r="W52"/>
      <c r="X52"/>
      <c r="Z52" s="3"/>
      <c r="AA52" s="21">
        <f>Tabla356813212939717274757677787717273747[[#This Row],[COMISIONES]]*0.21</f>
        <v>0</v>
      </c>
      <c r="AB52" s="30"/>
      <c r="AC52" s="21"/>
      <c r="AD52" s="21"/>
      <c r="AF52"/>
      <c r="AG52"/>
      <c r="AH52"/>
      <c r="AI52"/>
      <c r="AJ52"/>
      <c r="AK52"/>
      <c r="AL52"/>
      <c r="AM52"/>
      <c r="AN52"/>
      <c r="AO52"/>
    </row>
    <row r="53" spans="1:41" s="6" customFormat="1" x14ac:dyDescent="0.25">
      <c r="A53"/>
      <c r="B53" s="2"/>
      <c r="C53" s="2">
        <f>Tabla13162432212223352627282212223242[[#This Row],[COMISIONES]]*0.21</f>
        <v>0</v>
      </c>
      <c r="D53" s="2">
        <f>Tabla13162432212223352627282212223242[[#This Row],[COMISIONES]]*0.105</f>
        <v>0</v>
      </c>
      <c r="E53" s="2"/>
      <c r="F53"/>
      <c r="H53" s="24">
        <f>SUBTOTAL(109,Tabla39172535313233453637383313233343[COMISIONES])</f>
        <v>0</v>
      </c>
      <c r="I53" s="24">
        <f>SUBTOTAL(109,Tabla39172535313233453637383313233343[IVA 21])</f>
        <v>0</v>
      </c>
      <c r="J53" s="24">
        <f>SUBTOTAL(109,Tabla39172535313233453637383313233343[IVA 10,5])</f>
        <v>0</v>
      </c>
      <c r="K53" s="24">
        <f>SUBTOTAL(109,Tabla39172535313233453637383313233343[Ret IIBB Caba])</f>
        <v>0</v>
      </c>
      <c r="L53" s="24">
        <f>SUBTOTAL(109,Tabla39172535313233453637383313233343[PERC IVA])</f>
        <v>0</v>
      </c>
      <c r="N53" s="11"/>
      <c r="O53" s="11">
        <f>Tabla3510182636414244454647484414243444[[#This Row],[COMISIONES]]*0.21</f>
        <v>0</v>
      </c>
      <c r="P53" s="11"/>
      <c r="Q53" s="11"/>
      <c r="R53" s="11"/>
      <c r="T53"/>
      <c r="U53" s="19">
        <f>Tabla612202838616264656667686616263646[[#This Row],[COMISIONES]]*0.21</f>
        <v>0</v>
      </c>
      <c r="V53"/>
      <c r="W53"/>
      <c r="X53"/>
      <c r="Z53" s="3"/>
      <c r="AA53" s="21">
        <f>Tabla356813212939717274757677787717273747[[#This Row],[COMISIONES]]*0.21</f>
        <v>0</v>
      </c>
      <c r="AB53" s="1"/>
      <c r="AC53" s="21"/>
      <c r="AD53" s="21"/>
      <c r="AF53"/>
      <c r="AG53"/>
      <c r="AH53"/>
      <c r="AI53"/>
      <c r="AJ53"/>
      <c r="AK53"/>
      <c r="AL53"/>
      <c r="AM53"/>
      <c r="AN53"/>
      <c r="AO53"/>
    </row>
    <row r="54" spans="1:41" s="6" customFormat="1" ht="18.75" x14ac:dyDescent="0.3">
      <c r="A54"/>
      <c r="B54" s="2"/>
      <c r="C54" s="2">
        <f>Tabla13162432212223352627282212223242[[#This Row],[COMISIONES]]*0.21</f>
        <v>0</v>
      </c>
      <c r="D54" s="2">
        <f>Tabla13162432212223352627282212223242[[#This Row],[COMISIONES]]*0.105</f>
        <v>0</v>
      </c>
      <c r="E54" s="2"/>
      <c r="F54"/>
      <c r="H54" s="52" t="s">
        <v>12</v>
      </c>
      <c r="I54" s="52"/>
      <c r="J54" s="52"/>
      <c r="K54" s="52"/>
      <c r="L54" s="52"/>
      <c r="N54" s="11"/>
      <c r="O54" s="11">
        <f>Tabla3510182636414244454647484414243444[[#This Row],[COMISIONES]]*0.21</f>
        <v>0</v>
      </c>
      <c r="P54" s="11"/>
      <c r="Q54" s="11"/>
      <c r="R54" s="11"/>
      <c r="T54"/>
      <c r="U54" s="19">
        <f>Tabla612202838616264656667686616263646[[#This Row],[COMISIONES]]*0.21</f>
        <v>0</v>
      </c>
      <c r="V54"/>
      <c r="W54"/>
      <c r="X54"/>
      <c r="Z54" s="3"/>
      <c r="AA54" s="21">
        <f>Tabla356813212939717274757677787717273747[[#This Row],[COMISIONES]]*0.21</f>
        <v>0</v>
      </c>
      <c r="AB54" s="21"/>
      <c r="AC54" s="1"/>
      <c r="AD54" s="21"/>
      <c r="AF54"/>
      <c r="AG54"/>
      <c r="AH54"/>
      <c r="AI54"/>
      <c r="AJ54"/>
      <c r="AK54"/>
      <c r="AL54"/>
      <c r="AM54"/>
      <c r="AN54"/>
      <c r="AO54"/>
    </row>
    <row r="55" spans="1:41" s="6" customFormat="1" x14ac:dyDescent="0.25">
      <c r="A55"/>
      <c r="B55" s="2"/>
      <c r="C55" s="2">
        <f>Tabla13162432212223352627282212223242[[#This Row],[COMISIONES]]*0.21</f>
        <v>0</v>
      </c>
      <c r="D55" s="2">
        <f>Tabla13162432212223352627282212223242[[#This Row],[COMISIONES]]*0.105</f>
        <v>0</v>
      </c>
      <c r="E55" s="2"/>
      <c r="F55"/>
      <c r="H55" s="12" t="s">
        <v>2</v>
      </c>
      <c r="I55" s="13" t="s">
        <v>0</v>
      </c>
      <c r="J55" s="13" t="s">
        <v>1</v>
      </c>
      <c r="K55" s="13" t="s">
        <v>3</v>
      </c>
      <c r="L55" s="13" t="s">
        <v>4</v>
      </c>
      <c r="N55" s="11"/>
      <c r="O55" s="11">
        <f>Tabla3510182636414244454647484414243444[[#This Row],[COMISIONES]]*0.21</f>
        <v>0</v>
      </c>
      <c r="P55" s="11"/>
      <c r="Q55" s="11"/>
      <c r="R55" s="11"/>
      <c r="T55"/>
      <c r="U55" s="19">
        <f>Tabla612202838616264656667686616263646[[#This Row],[COMISIONES]]*0.21</f>
        <v>0</v>
      </c>
      <c r="V55"/>
      <c r="W55"/>
      <c r="X55"/>
      <c r="Z55" s="3"/>
      <c r="AA55" s="21"/>
      <c r="AB55" s="3">
        <f>Tabla356813212939717274757677787717273747[[#This Row],[COMISIONES]]*0.105</f>
        <v>0</v>
      </c>
      <c r="AC55" s="1"/>
      <c r="AD55" s="21"/>
      <c r="AF55"/>
      <c r="AG55"/>
      <c r="AH55"/>
      <c r="AI55"/>
      <c r="AJ55"/>
      <c r="AK55"/>
      <c r="AL55"/>
      <c r="AM55"/>
      <c r="AN55"/>
      <c r="AO55"/>
    </row>
    <row r="56" spans="1:41" s="6" customFormat="1" x14ac:dyDescent="0.25">
      <c r="A56"/>
      <c r="B56" s="2"/>
      <c r="C56" s="2">
        <f>Tabla13162432212223352627282212223242[[#This Row],[COMISIONES]]*0.21</f>
        <v>0</v>
      </c>
      <c r="D56" s="2">
        <f>Tabla13162432212223352627282212223242[[#This Row],[COMISIONES]]*0.105</f>
        <v>0</v>
      </c>
      <c r="E56" s="2"/>
      <c r="F56"/>
      <c r="H56" s="1"/>
      <c r="I56" s="11">
        <f>Tabla3915233141919294959697989919293949[[#This Row],[COMISIONES]]*0.21</f>
        <v>0</v>
      </c>
      <c r="J56" s="11"/>
      <c r="K56" s="11"/>
      <c r="L56" s="1"/>
      <c r="N56" s="11"/>
      <c r="O56" s="11">
        <f>Tabla3510182636414244454647484414243444[[#This Row],[COMISIONES]]*0.21</f>
        <v>0</v>
      </c>
      <c r="P56" s="11"/>
      <c r="Q56" s="11"/>
      <c r="R56" s="11"/>
      <c r="T56"/>
      <c r="U56" s="19">
        <f>Tabla612202838616264656667686616263646[[#This Row],[COMISIONES]]*0.21</f>
        <v>0</v>
      </c>
      <c r="V56"/>
      <c r="W56"/>
      <c r="X56"/>
      <c r="Z56" s="3"/>
      <c r="AA56" s="21">
        <f>Tabla356813212939717274757677787717273747[[#This Row],[COMISIONES]]*0.21</f>
        <v>0</v>
      </c>
      <c r="AB56" s="3"/>
      <c r="AC56"/>
      <c r="AD56" s="21"/>
      <c r="AF56"/>
      <c r="AG56"/>
      <c r="AH56"/>
      <c r="AI56"/>
      <c r="AJ56"/>
      <c r="AK56"/>
      <c r="AL56"/>
      <c r="AM56"/>
      <c r="AN56"/>
      <c r="AO56"/>
    </row>
    <row r="57" spans="1:41" s="6" customFormat="1" x14ac:dyDescent="0.25">
      <c r="A57"/>
      <c r="B57" s="2"/>
      <c r="C57" s="2">
        <f>Tabla13162432212223352627282212223242[[#This Row],[COMISIONES]]*0.21</f>
        <v>0</v>
      </c>
      <c r="D57" s="2">
        <f>Tabla13162432212223352627282212223242[[#This Row],[COMISIONES]]*0.105</f>
        <v>0</v>
      </c>
      <c r="E57" s="2"/>
      <c r="F57"/>
      <c r="H57" s="11"/>
      <c r="I57" s="11">
        <f>Tabla3915233141919294959697989919293949[[#This Row],[COMISIONES]]*0.21</f>
        <v>0</v>
      </c>
      <c r="J57" s="11"/>
      <c r="K57" s="11"/>
      <c r="L57" s="21"/>
      <c r="N57" s="11"/>
      <c r="O57" s="11">
        <f>Tabla3510182636414244454647484414243444[[#This Row],[COMISIONES]]*0.21</f>
        <v>0</v>
      </c>
      <c r="P57" s="11"/>
      <c r="Q57" s="11"/>
      <c r="R57" s="11"/>
      <c r="T57"/>
      <c r="U57" s="19">
        <f>Tabla612202838616264656667686616263646[[#This Row],[COMISIONES]]*0.21</f>
        <v>0</v>
      </c>
      <c r="V57"/>
      <c r="W57"/>
      <c r="X57"/>
      <c r="Z57" s="3"/>
      <c r="AA57" s="21">
        <f>Tabla356813212939717274757677787717273747[[#This Row],[COMISIONES]]*0.21</f>
        <v>0</v>
      </c>
      <c r="AB57" s="21"/>
      <c r="AC57" s="21"/>
      <c r="AD57" s="21"/>
      <c r="AF57"/>
      <c r="AG57"/>
      <c r="AH57"/>
      <c r="AI57"/>
      <c r="AJ57"/>
      <c r="AK57"/>
      <c r="AL57"/>
      <c r="AM57"/>
      <c r="AN57"/>
      <c r="AO57"/>
    </row>
    <row r="58" spans="1:41" s="6" customFormat="1" x14ac:dyDescent="0.25">
      <c r="A58"/>
      <c r="B58" s="2"/>
      <c r="C58" s="2">
        <f>Tabla13162432212223352627282212223242[[#This Row],[COMISIONES]]*0.21</f>
        <v>0</v>
      </c>
      <c r="D58" s="1">
        <f>Tabla13162432212223352627282212223242[[#This Row],[COMISIONES]]*0.105</f>
        <v>0</v>
      </c>
      <c r="E58" s="2"/>
      <c r="F58"/>
      <c r="H58" s="11"/>
      <c r="I58" s="11">
        <f>Tabla3915233141919294959697989919293949[[#This Row],[COMISIONES]]*0.21</f>
        <v>0</v>
      </c>
      <c r="J58" s="11"/>
      <c r="K58" s="11"/>
      <c r="L58" s="11"/>
      <c r="N58" s="11"/>
      <c r="O58" s="11">
        <f>Tabla3510182636414244454647484414243444[[#This Row],[COMISIONES]]*0.21</f>
        <v>0</v>
      </c>
      <c r="P58" s="11"/>
      <c r="Q58" s="11"/>
      <c r="R58" s="11"/>
      <c r="T58"/>
      <c r="U58" s="19">
        <f>Tabla612202838616264656667686616263646[[#This Row],[COMISIONES]]*0.21</f>
        <v>0</v>
      </c>
      <c r="V58"/>
      <c r="W58"/>
      <c r="X58"/>
      <c r="Z58" s="3"/>
      <c r="AA58" s="21">
        <f>Tabla356813212939717274757677787717273747[[#This Row],[COMISIONES]]*0.21</f>
        <v>0</v>
      </c>
      <c r="AB58" s="21"/>
      <c r="AC58" s="21"/>
      <c r="AD58" s="21"/>
      <c r="AF58"/>
      <c r="AG58"/>
      <c r="AH58"/>
      <c r="AI58"/>
      <c r="AJ58"/>
      <c r="AK58"/>
      <c r="AL58"/>
      <c r="AM58"/>
      <c r="AN58"/>
      <c r="AO58"/>
    </row>
    <row r="59" spans="1:41" s="6" customFormat="1" x14ac:dyDescent="0.25">
      <c r="A59"/>
      <c r="B59" s="2"/>
      <c r="C59" s="2">
        <f>Tabla13162432212223352627282212223242[[#This Row],[COMISIONES]]*0.21</f>
        <v>0</v>
      </c>
      <c r="D59" s="2">
        <f>Tabla13162432212223352627282212223242[[#This Row],[COMISIONES]]*0.105</f>
        <v>0</v>
      </c>
      <c r="E59" s="2"/>
      <c r="F59"/>
      <c r="H59" s="11"/>
      <c r="I59" s="11">
        <f>Tabla3915233141919294959697989919293949[[#This Row],[COMISIONES]]*0.21</f>
        <v>0</v>
      </c>
      <c r="J59" s="11"/>
      <c r="K59" s="11"/>
      <c r="L59" s="11"/>
      <c r="N59" s="11"/>
      <c r="O59" s="11">
        <f>Tabla3510182636414244454647484414243444[[#This Row],[COMISIONES]]*0.21</f>
        <v>0</v>
      </c>
      <c r="P59" s="11"/>
      <c r="Q59" s="11"/>
      <c r="R59" s="11"/>
      <c r="T59"/>
      <c r="U59" s="19">
        <f>Tabla612202838616264656667686616263646[[#This Row],[COMISIONES]]*0.21</f>
        <v>0</v>
      </c>
      <c r="V59"/>
      <c r="W59"/>
      <c r="X59"/>
      <c r="Z59" s="3"/>
      <c r="AA59" s="21">
        <f>Tabla356813212939717274757677787717273747[[#This Row],[COMISIONES]]*0.21</f>
        <v>0</v>
      </c>
      <c r="AB59" s="21"/>
      <c r="AC59" s="21"/>
      <c r="AD59" s="21"/>
      <c r="AF59"/>
      <c r="AG59"/>
      <c r="AH59"/>
      <c r="AI59"/>
      <c r="AJ59"/>
      <c r="AK59"/>
      <c r="AL59"/>
      <c r="AM59"/>
      <c r="AN59"/>
      <c r="AO59"/>
    </row>
    <row r="60" spans="1:41" s="6" customFormat="1" x14ac:dyDescent="0.25">
      <c r="A60"/>
      <c r="B60" s="2"/>
      <c r="C60" s="2">
        <f>Tabla13162432212223352627282212223242[[#This Row],[COMISIONES]]*0.21</f>
        <v>0</v>
      </c>
      <c r="D60" s="2">
        <f>Tabla13162432212223352627282212223242[[#This Row],[COMISIONES]]*0.105</f>
        <v>0</v>
      </c>
      <c r="E60" s="2"/>
      <c r="F60"/>
      <c r="H60" s="11"/>
      <c r="I60" s="11">
        <f>Tabla3915233141919294959697989919293949[[#This Row],[COMISIONES]]*0.21</f>
        <v>0</v>
      </c>
      <c r="J60" s="11"/>
      <c r="K60" s="11"/>
      <c r="L60" s="11"/>
      <c r="N60" s="11"/>
      <c r="O60" s="11">
        <f>Tabla3510182636414244454647484414243444[[#This Row],[COMISIONES]]*0.21</f>
        <v>0</v>
      </c>
      <c r="P60" s="11"/>
      <c r="Q60" s="11"/>
      <c r="R60" s="11"/>
      <c r="T60"/>
      <c r="U60" s="19">
        <f>Tabla612202838616264656667686616263646[[#This Row],[COMISIONES]]*0.21</f>
        <v>0</v>
      </c>
      <c r="V60"/>
      <c r="W60"/>
      <c r="X60"/>
      <c r="Z60" s="3"/>
      <c r="AA60" s="21">
        <f>Tabla356813212939717274757677787717273747[[#This Row],[COMISIONES]]*0.21</f>
        <v>0</v>
      </c>
      <c r="AB60" s="21"/>
      <c r="AC60" s="21"/>
      <c r="AD60" s="21"/>
      <c r="AF60"/>
      <c r="AG60"/>
      <c r="AH60"/>
      <c r="AI60"/>
      <c r="AJ60"/>
      <c r="AK60"/>
      <c r="AL60"/>
      <c r="AM60"/>
      <c r="AN60"/>
      <c r="AO60"/>
    </row>
    <row r="61" spans="1:41" s="6" customFormat="1" x14ac:dyDescent="0.25">
      <c r="A61"/>
      <c r="B61" s="4">
        <f>SUBTOTAL(109,Tabla13162432212223352627282212223242[COMISIONES])</f>
        <v>163466.68</v>
      </c>
      <c r="C61" s="4">
        <f>SUBTOTAL(109,Tabla13162432212223352627282212223242[IVA 21])</f>
        <v>33932.409</v>
      </c>
      <c r="D61" s="4">
        <f>SUBTOTAL(109,Tabla13162432212223352627282212223242[IVA 10,5])</f>
        <v>197.79689999999999</v>
      </c>
      <c r="E61" s="4">
        <f>SUBTOTAL(109,Tabla13162432212223352627282212223242[Ret IIBB Caba])</f>
        <v>11293.5</v>
      </c>
      <c r="F61" s="4">
        <f>SUBTOTAL(109,Tabla13162432212223352627282212223242[PERC IVA])</f>
        <v>4847.25</v>
      </c>
      <c r="H61" s="11"/>
      <c r="I61" s="11">
        <f>Tabla3915233141919294959697989919293949[[#This Row],[COMISIONES]]*0.21</f>
        <v>0</v>
      </c>
      <c r="J61" s="11"/>
      <c r="K61" s="11"/>
      <c r="L61" s="11"/>
      <c r="N61" s="11"/>
      <c r="O61" s="11">
        <f>Tabla3510182636414244454647484414243444[[#This Row],[COMISIONES]]*0.21</f>
        <v>0</v>
      </c>
      <c r="P61" s="11"/>
      <c r="Q61" s="11"/>
      <c r="R61" s="11"/>
      <c r="T61"/>
      <c r="U61" s="19">
        <f>Tabla612202838616264656667686616263646[[#This Row],[COMISIONES]]*0.21</f>
        <v>0</v>
      </c>
      <c r="V61"/>
      <c r="W61"/>
      <c r="X61"/>
      <c r="Z61" s="3"/>
      <c r="AA61" s="21">
        <f>Tabla356813212939717274757677787717273747[[#This Row],[COMISIONES]]*0.21</f>
        <v>0</v>
      </c>
      <c r="AB61" s="21"/>
      <c r="AC61" s="21"/>
      <c r="AD61" s="21"/>
      <c r="AF61"/>
      <c r="AG61"/>
      <c r="AH61"/>
      <c r="AI61"/>
      <c r="AJ61"/>
      <c r="AK61"/>
      <c r="AL61"/>
      <c r="AM61"/>
      <c r="AN61"/>
      <c r="AO61"/>
    </row>
    <row r="62" spans="1:41" s="6" customFormat="1" x14ac:dyDescent="0.25">
      <c r="A62"/>
      <c r="B62"/>
      <c r="C62"/>
      <c r="D62"/>
      <c r="E62"/>
      <c r="F62"/>
      <c r="H62" s="11"/>
      <c r="I62" s="11">
        <f>Tabla3915233141919294959697989919293949[[#This Row],[COMISIONES]]*0.21</f>
        <v>0</v>
      </c>
      <c r="J62" s="11"/>
      <c r="K62" s="11"/>
      <c r="L62" s="11"/>
      <c r="N62" s="11"/>
      <c r="O62" s="11">
        <f>Tabla3510182636414244454647484414243444[[#This Row],[COMISIONES]]*0.21</f>
        <v>0</v>
      </c>
      <c r="P62" s="11"/>
      <c r="Q62" s="11"/>
      <c r="R62" s="11"/>
      <c r="T62" s="4">
        <f>SUBTOTAL(109,Tabla612202838616264656667686616263646[COMISIONES])</f>
        <v>147760</v>
      </c>
      <c r="U62" s="4">
        <f>SUBTOTAL(109,Tabla612202838616264656667686616263646[IVA 21])</f>
        <v>22923.599999999999</v>
      </c>
      <c r="V62" s="4">
        <f>SUBTOTAL(109,Tabla612202838616264656667686616263646[IVA 10,5])</f>
        <v>4053</v>
      </c>
      <c r="W62" s="4">
        <f>SUBTOTAL(109,Tabla612202838616264656667686616263646[Ret IIBB Caba])</f>
        <v>8703.01</v>
      </c>
      <c r="X62" s="4">
        <f>SUBTOTAL(109,Tabla612202838616264656667686616263646[PERC IVA])</f>
        <v>3772.5</v>
      </c>
      <c r="Z62" s="3"/>
      <c r="AA62" s="21"/>
      <c r="AB62" s="21">
        <f>Tabla356813212939717274757677787717273747[[#This Row],[COMISIONES]]*0.105</f>
        <v>0</v>
      </c>
      <c r="AC62" s="21"/>
      <c r="AD62" s="21"/>
      <c r="AF62"/>
      <c r="AG62"/>
      <c r="AH62"/>
      <c r="AI62"/>
      <c r="AJ62"/>
      <c r="AK62"/>
      <c r="AL62"/>
      <c r="AM62"/>
      <c r="AN62"/>
      <c r="AO62"/>
    </row>
    <row r="63" spans="1:41" s="6" customFormat="1" x14ac:dyDescent="0.25">
      <c r="A63"/>
      <c r="B63"/>
      <c r="C63"/>
      <c r="D63"/>
      <c r="E63"/>
      <c r="F63"/>
      <c r="H63" s="11"/>
      <c r="I63" s="11">
        <f>Tabla3915233141919294959697989919293949[[#This Row],[COMISIONES]]*0.21</f>
        <v>0</v>
      </c>
      <c r="J63" s="11"/>
      <c r="K63" s="11"/>
      <c r="L63" s="11"/>
      <c r="N63" s="11"/>
      <c r="O63" s="11">
        <f>Tabla3510182636414244454647484414243444[[#This Row],[COMISIONES]]*0.21</f>
        <v>0</v>
      </c>
      <c r="P63" s="11"/>
      <c r="Q63" s="11"/>
      <c r="R63" s="11"/>
      <c r="T63"/>
      <c r="U63"/>
      <c r="V63"/>
      <c r="W63"/>
      <c r="X63"/>
      <c r="Z63" s="3"/>
      <c r="AA63" s="21">
        <f>Tabla356813212939717274757677787717273747[[#This Row],[COMISIONES]]*0.21</f>
        <v>0</v>
      </c>
      <c r="AB63" s="21"/>
      <c r="AC63" s="21"/>
      <c r="AD63" s="21"/>
      <c r="AF63"/>
      <c r="AG63"/>
      <c r="AH63"/>
      <c r="AI63"/>
      <c r="AJ63"/>
      <c r="AK63"/>
      <c r="AL63"/>
      <c r="AM63"/>
      <c r="AN63"/>
      <c r="AO63"/>
    </row>
    <row r="64" spans="1:41" s="6" customFormat="1" ht="18.75" x14ac:dyDescent="0.3">
      <c r="A64"/>
      <c r="B64"/>
      <c r="C64"/>
      <c r="D64"/>
      <c r="E64"/>
      <c r="F64"/>
      <c r="H64" s="11"/>
      <c r="I64" s="11">
        <f>Tabla3915233141919294959697989919293949[[#This Row],[COMISIONES]]*0.21</f>
        <v>0</v>
      </c>
      <c r="J64" s="11"/>
      <c r="K64" s="11"/>
      <c r="L64" s="11"/>
      <c r="N64" s="11"/>
      <c r="O64" s="11">
        <f>Tabla3510182636414244454647484414243444[[#This Row],[COMISIONES]]*0.21</f>
        <v>0</v>
      </c>
      <c r="P64" s="11"/>
      <c r="Q64" s="11"/>
      <c r="R64" s="11"/>
      <c r="T64" s="52" t="s">
        <v>19</v>
      </c>
      <c r="U64" s="52"/>
      <c r="V64" s="52"/>
      <c r="W64" s="52"/>
      <c r="X64" s="52"/>
      <c r="Z64" s="3"/>
      <c r="AA64" s="21">
        <f>Tabla356813212939717274757677787717273747[[#This Row],[COMISIONES]]*0.21</f>
        <v>0</v>
      </c>
      <c r="AB64" s="1"/>
      <c r="AC64" s="21"/>
      <c r="AD64"/>
      <c r="AF64"/>
      <c r="AG64"/>
      <c r="AH64"/>
      <c r="AI64"/>
      <c r="AJ64"/>
      <c r="AK64"/>
      <c r="AL64"/>
      <c r="AM64"/>
      <c r="AN64"/>
      <c r="AO64"/>
    </row>
    <row r="65" spans="1:41" s="6" customFormat="1" x14ac:dyDescent="0.25">
      <c r="A65"/>
      <c r="B65"/>
      <c r="C65"/>
      <c r="D65"/>
      <c r="E65"/>
      <c r="F65"/>
      <c r="H65" s="11"/>
      <c r="I65" s="11">
        <f>Tabla3915233141919294959697989919293949[[#This Row],[COMISIONES]]*0.21</f>
        <v>0</v>
      </c>
      <c r="J65" s="11"/>
      <c r="K65" s="11"/>
      <c r="L65" s="11"/>
      <c r="N65" s="11"/>
      <c r="O65" s="11">
        <f>Tabla3510182636414244454647484414243444[[#This Row],[COMISIONES]]*0.21</f>
        <v>0</v>
      </c>
      <c r="P65" s="11"/>
      <c r="Q65" s="11"/>
      <c r="R65" s="11"/>
      <c r="T65" s="12" t="s">
        <v>2</v>
      </c>
      <c r="U65" s="13" t="s">
        <v>0</v>
      </c>
      <c r="V65" s="13" t="s">
        <v>1</v>
      </c>
      <c r="W65" s="13" t="s">
        <v>3</v>
      </c>
      <c r="X65" s="13" t="s">
        <v>4</v>
      </c>
      <c r="Z65" s="3"/>
      <c r="AA65" s="21"/>
      <c r="AB65" s="21"/>
      <c r="AC65" s="21"/>
      <c r="AD65"/>
      <c r="AF65"/>
      <c r="AG65"/>
      <c r="AH65"/>
      <c r="AI65"/>
      <c r="AJ65"/>
      <c r="AK65"/>
      <c r="AL65"/>
      <c r="AM65"/>
      <c r="AN65"/>
      <c r="AO65"/>
    </row>
    <row r="66" spans="1:41" s="6" customFormat="1" x14ac:dyDescent="0.25">
      <c r="A66"/>
      <c r="B66"/>
      <c r="C66"/>
      <c r="D66"/>
      <c r="E66"/>
      <c r="F66"/>
      <c r="H66" s="11"/>
      <c r="I66" s="11">
        <f>Tabla3915233141919294959697989919293949[[#This Row],[COMISIONES]]*0.21</f>
        <v>0</v>
      </c>
      <c r="J66" s="11"/>
      <c r="K66" s="11"/>
      <c r="L66" s="11"/>
      <c r="N66" s="11"/>
      <c r="O66" s="11">
        <f>Tabla3510182636414244454647484414243444[[#This Row],[COMISIONES]]*0.21</f>
        <v>0</v>
      </c>
      <c r="P66" s="11"/>
      <c r="Q66" s="11"/>
      <c r="R66" s="11"/>
      <c r="T66" s="11"/>
      <c r="U66" s="11">
        <f>Tabla6122028334210203050607080901020304050[[#This Row],[COMISIONES]]*0.21</f>
        <v>0</v>
      </c>
      <c r="V66" s="11"/>
      <c r="W66" s="1"/>
      <c r="X66" s="11"/>
      <c r="Z66" s="3"/>
      <c r="AA66" s="21">
        <f>Tabla356813212939717274757677787717273747[[#This Row],[COMISIONES]]*0.21</f>
        <v>0</v>
      </c>
      <c r="AB66" s="21"/>
      <c r="AC66" s="21"/>
      <c r="AD66" s="21"/>
      <c r="AF66"/>
      <c r="AG66"/>
      <c r="AH66"/>
      <c r="AI66"/>
      <c r="AJ66"/>
      <c r="AK66"/>
      <c r="AL66"/>
      <c r="AM66"/>
      <c r="AN66"/>
      <c r="AO66"/>
    </row>
    <row r="67" spans="1:41" s="6" customFormat="1" x14ac:dyDescent="0.25">
      <c r="A67"/>
      <c r="B67"/>
      <c r="C67"/>
      <c r="D67"/>
      <c r="E67"/>
      <c r="F67"/>
      <c r="H67" s="11"/>
      <c r="I67" s="11">
        <f>Tabla3915233141919294959697989919293949[[#This Row],[COMISIONES]]*0.21</f>
        <v>0</v>
      </c>
      <c r="J67" s="11"/>
      <c r="K67" s="11"/>
      <c r="L67" s="11"/>
      <c r="N67" s="18"/>
      <c r="O67" s="11">
        <f>Tabla3510182636414244454647484414243444[[#This Row],[COMISIONES]]*0.21</f>
        <v>0</v>
      </c>
      <c r="P67" s="18"/>
      <c r="Q67" s="18"/>
      <c r="R67" s="18"/>
      <c r="T67" s="11"/>
      <c r="U67" s="11">
        <f>Tabla6122028334210203050607080901020304050[[#This Row],[COMISIONES]]*0.21</f>
        <v>0</v>
      </c>
      <c r="V67" s="11"/>
      <c r="W67" s="11"/>
      <c r="X67" s="11"/>
      <c r="Z67" s="3"/>
      <c r="AA67" s="21">
        <f>Tabla356813212939717274757677787717273747[[#This Row],[COMISIONES]]*0.21</f>
        <v>0</v>
      </c>
      <c r="AB67" s="21"/>
      <c r="AC67" s="21"/>
      <c r="AD67" s="21"/>
      <c r="AF67"/>
      <c r="AG67"/>
      <c r="AH67"/>
      <c r="AI67"/>
      <c r="AJ67"/>
      <c r="AK67"/>
      <c r="AL67"/>
      <c r="AM67"/>
      <c r="AN67"/>
      <c r="AO67"/>
    </row>
    <row r="68" spans="1:41" s="6" customFormat="1" x14ac:dyDescent="0.25">
      <c r="A68"/>
      <c r="B68"/>
      <c r="C68"/>
      <c r="D68"/>
      <c r="E68"/>
      <c r="F68"/>
      <c r="H68" s="11"/>
      <c r="I68" s="11">
        <f>Tabla3915233141919294959697989919293949[[#This Row],[COMISIONES]]*0.21</f>
        <v>0</v>
      </c>
      <c r="J68" s="11"/>
      <c r="K68" s="11"/>
      <c r="L68" s="11"/>
      <c r="N68" s="18"/>
      <c r="O68" s="11">
        <f>Tabla3510182636414244454647484414243444[[#This Row],[COMISIONES]]*0.21</f>
        <v>0</v>
      </c>
      <c r="P68" s="18"/>
      <c r="Q68" s="18"/>
      <c r="R68" s="18"/>
      <c r="T68" s="11"/>
      <c r="U68" s="19">
        <f>Tabla6122028334210203050607080901020304050[[#This Row],[COMISIONES]]*0.21</f>
        <v>0</v>
      </c>
      <c r="V68"/>
      <c r="W68" s="1"/>
      <c r="X68"/>
      <c r="Z68" s="3"/>
      <c r="AA68" s="21">
        <f>Tabla356813212939717274757677787717273747[[#This Row],[COMISIONES]]*0.21</f>
        <v>0</v>
      </c>
      <c r="AB68" s="21"/>
      <c r="AC68" s="21"/>
      <c r="AD68" s="21"/>
      <c r="AF68"/>
      <c r="AG68"/>
      <c r="AH68"/>
      <c r="AI68"/>
      <c r="AJ68"/>
      <c r="AK68"/>
      <c r="AL68"/>
      <c r="AM68"/>
      <c r="AN68"/>
      <c r="AO68"/>
    </row>
    <row r="69" spans="1:41" s="6" customFormat="1" x14ac:dyDescent="0.25">
      <c r="A69"/>
      <c r="B69"/>
      <c r="C69"/>
      <c r="D69"/>
      <c r="E69"/>
      <c r="F69"/>
      <c r="H69" s="11"/>
      <c r="I69" s="11">
        <f>Tabla3915233141919294959697989919293949[[#This Row],[COMISIONES]]*0.21</f>
        <v>0</v>
      </c>
      <c r="J69" s="11"/>
      <c r="K69" s="11"/>
      <c r="L69" s="11"/>
      <c r="N69" s="18"/>
      <c r="O69" s="11">
        <f>Tabla3510182636414244454647484414243444[[#This Row],[COMISIONES]]*0.21</f>
        <v>0</v>
      </c>
      <c r="P69" s="18"/>
      <c r="Q69" s="18"/>
      <c r="R69" s="18"/>
      <c r="T69" s="11"/>
      <c r="U69" s="19">
        <f>Tabla6122028334210203050607080901020304050[[#This Row],[COMISIONES]]*0.21</f>
        <v>0</v>
      </c>
      <c r="V69"/>
      <c r="W69"/>
      <c r="X69"/>
      <c r="Z69" s="3"/>
      <c r="AA69" s="21">
        <f>Tabla356813212939717274757677787717273747[[#This Row],[COMISIONES]]*0.21</f>
        <v>0</v>
      </c>
      <c r="AB69" s="21"/>
      <c r="AC69" s="21"/>
      <c r="AD69" s="21"/>
      <c r="AF69"/>
      <c r="AG69"/>
      <c r="AH69"/>
      <c r="AI69"/>
      <c r="AJ69"/>
      <c r="AK69"/>
      <c r="AL69"/>
      <c r="AM69"/>
      <c r="AN69"/>
      <c r="AO69"/>
    </row>
    <row r="70" spans="1:41" s="6" customFormat="1" x14ac:dyDescent="0.25">
      <c r="A70"/>
      <c r="B70"/>
      <c r="C70"/>
      <c r="D70"/>
      <c r="E70"/>
      <c r="F70"/>
      <c r="H70" s="11"/>
      <c r="I70" s="11">
        <f>Tabla3915233141919294959697989919293949[[#This Row],[COMISIONES]]*0.21</f>
        <v>0</v>
      </c>
      <c r="J70" s="11"/>
      <c r="K70" s="11"/>
      <c r="L70" s="11"/>
      <c r="N70" s="18"/>
      <c r="O70" s="11">
        <f>Tabla3510182636414244454647484414243444[[#This Row],[COMISIONES]]*0.21</f>
        <v>0</v>
      </c>
      <c r="P70" s="18"/>
      <c r="Q70" s="18"/>
      <c r="R70" s="18"/>
      <c r="T70" s="11"/>
      <c r="U70" s="19">
        <f>Tabla6122028334210203050607080901020304050[[#This Row],[COMISIONES]]*0.21</f>
        <v>0</v>
      </c>
      <c r="V70"/>
      <c r="W70"/>
      <c r="X70"/>
      <c r="Z70" s="3"/>
      <c r="AA70" s="21">
        <f>Tabla356813212939717274757677787717273747[[#This Row],[COMISIONES]]*0.21</f>
        <v>0</v>
      </c>
      <c r="AB70" s="21"/>
      <c r="AC70" s="21"/>
      <c r="AD70" s="21"/>
      <c r="AF70"/>
      <c r="AG70"/>
      <c r="AH70"/>
      <c r="AI70"/>
      <c r="AJ70"/>
      <c r="AK70"/>
      <c r="AL70"/>
      <c r="AM70"/>
      <c r="AN70"/>
      <c r="AO70"/>
    </row>
    <row r="71" spans="1:41" s="6" customFormat="1" x14ac:dyDescent="0.25">
      <c r="A71"/>
      <c r="B71"/>
      <c r="C71"/>
      <c r="D71"/>
      <c r="E71"/>
      <c r="F71"/>
      <c r="H71" s="11"/>
      <c r="I71" s="11">
        <f>Tabla3915233141919294959697989919293949[[#This Row],[COMISIONES]]*0.21</f>
        <v>0</v>
      </c>
      <c r="J71" s="11"/>
      <c r="K71" s="11"/>
      <c r="L71" s="11"/>
      <c r="N71" s="18"/>
      <c r="O71" s="11">
        <f>Tabla3510182636414244454647484414243444[[#This Row],[COMISIONES]]*0.21</f>
        <v>0</v>
      </c>
      <c r="P71" s="18"/>
      <c r="Q71" s="18"/>
      <c r="R71" s="18"/>
      <c r="T71" s="11"/>
      <c r="U71" s="19">
        <f>Tabla6122028334210203050607080901020304050[[#This Row],[COMISIONES]]*0.21</f>
        <v>0</v>
      </c>
      <c r="V71"/>
      <c r="W71"/>
      <c r="X71"/>
      <c r="Z71" s="3"/>
      <c r="AA71" s="21">
        <f>Tabla356813212939717274757677787717273747[[#This Row],[COMISIONES]]*0.21</f>
        <v>0</v>
      </c>
      <c r="AB71" s="21"/>
      <c r="AC71" s="21"/>
      <c r="AD71" s="21"/>
      <c r="AF71"/>
      <c r="AG71"/>
      <c r="AH71"/>
      <c r="AI71"/>
      <c r="AJ71"/>
      <c r="AK71"/>
      <c r="AL71"/>
      <c r="AM71"/>
      <c r="AN71"/>
      <c r="AO71"/>
    </row>
    <row r="72" spans="1:41" s="6" customFormat="1" x14ac:dyDescent="0.25">
      <c r="A72"/>
      <c r="B72"/>
      <c r="C72"/>
      <c r="D72"/>
      <c r="E72"/>
      <c r="F72"/>
      <c r="H72" s="11"/>
      <c r="I72" s="11">
        <f>Tabla3915233141919294959697989919293949[[#This Row],[COMISIONES]]*0.21</f>
        <v>0</v>
      </c>
      <c r="J72" s="11"/>
      <c r="K72" s="11"/>
      <c r="L72" s="11"/>
      <c r="N72" s="18"/>
      <c r="O72" s="11">
        <f>Tabla3510182636414244454647484414243444[[#This Row],[COMISIONES]]*0.21</f>
        <v>0</v>
      </c>
      <c r="P72" s="18"/>
      <c r="Q72" s="18"/>
      <c r="R72" s="18"/>
      <c r="T72" s="11"/>
      <c r="U72" s="19">
        <f>Tabla6122028334210203050607080901020304050[[#This Row],[COMISIONES]]*0.21</f>
        <v>0</v>
      </c>
      <c r="V72"/>
      <c r="W72"/>
      <c r="X72"/>
      <c r="Z72" s="3"/>
      <c r="AA72" s="21">
        <f>Tabla356813212939717274757677787717273747[[#This Row],[COMISIONES]]*0.21</f>
        <v>0</v>
      </c>
      <c r="AB72" s="21"/>
      <c r="AC72" s="21"/>
      <c r="AD72" s="21"/>
      <c r="AF72"/>
      <c r="AG72"/>
      <c r="AH72"/>
      <c r="AI72"/>
      <c r="AJ72"/>
      <c r="AK72"/>
      <c r="AL72"/>
      <c r="AM72"/>
      <c r="AN72"/>
      <c r="AO72"/>
    </row>
    <row r="73" spans="1:41" s="6" customFormat="1" x14ac:dyDescent="0.25">
      <c r="A73"/>
      <c r="B73"/>
      <c r="C73"/>
      <c r="D73"/>
      <c r="E73"/>
      <c r="F73"/>
      <c r="H73" s="11"/>
      <c r="I73" s="11">
        <f>Tabla3915233141919294959697989919293949[[#This Row],[COMISIONES]]*0.21</f>
        <v>0</v>
      </c>
      <c r="J73" s="11"/>
      <c r="K73" s="11"/>
      <c r="L73" s="11"/>
      <c r="N73" s="18"/>
      <c r="O73" s="11">
        <f>Tabla3510182636414244454647484414243444[[#This Row],[COMISIONES]]*0.21</f>
        <v>0</v>
      </c>
      <c r="P73" s="18"/>
      <c r="Q73" s="18"/>
      <c r="R73" s="18"/>
      <c r="T73" s="11"/>
      <c r="U73" s="19">
        <f>Tabla6122028334210203050607080901020304050[[#This Row],[COMISIONES]]*0.21</f>
        <v>0</v>
      </c>
      <c r="V73"/>
      <c r="W73"/>
      <c r="X73"/>
      <c r="Z73" s="3"/>
      <c r="AA73" s="21">
        <f>Tabla356813212939717274757677787717273747[[#This Row],[COMISIONES]]*0.21</f>
        <v>0</v>
      </c>
      <c r="AB73" s="1"/>
      <c r="AC73" s="1"/>
      <c r="AD73"/>
      <c r="AF73"/>
      <c r="AG73"/>
      <c r="AH73"/>
      <c r="AI73"/>
      <c r="AJ73"/>
      <c r="AK73"/>
      <c r="AL73"/>
      <c r="AM73"/>
      <c r="AN73"/>
      <c r="AO73"/>
    </row>
    <row r="74" spans="1:41" s="6" customFormat="1" x14ac:dyDescent="0.25">
      <c r="A74"/>
      <c r="B74"/>
      <c r="C74"/>
      <c r="D74"/>
      <c r="E74"/>
      <c r="F74"/>
      <c r="H74" s="11"/>
      <c r="I74" s="11">
        <f>Tabla3915233141919294959697989919293949[[#This Row],[COMISIONES]]*0.21</f>
        <v>0</v>
      </c>
      <c r="J74" s="11"/>
      <c r="K74" s="11"/>
      <c r="L74" s="11"/>
      <c r="N74" s="18"/>
      <c r="O74" s="11">
        <f>Tabla3510182636414244454647484414243444[[#This Row],[COMISIONES]]*0.21</f>
        <v>0</v>
      </c>
      <c r="P74" s="18"/>
      <c r="Q74" s="18"/>
      <c r="R74" s="18"/>
      <c r="T74" s="11"/>
      <c r="U74" s="19">
        <f>Tabla6122028334210203050607080901020304050[[#This Row],[COMISIONES]]*0.21</f>
        <v>0</v>
      </c>
      <c r="V74"/>
      <c r="W74"/>
      <c r="X74"/>
      <c r="Z74" s="3"/>
      <c r="AA74" s="21">
        <f>Tabla356813212939717274757677787717273747[[#This Row],[COMISIONES]]*0.21</f>
        <v>0</v>
      </c>
      <c r="AB74" s="19"/>
      <c r="AC74"/>
      <c r="AD74"/>
      <c r="AF74"/>
      <c r="AG74"/>
      <c r="AH74"/>
      <c r="AI74"/>
      <c r="AJ74"/>
      <c r="AK74"/>
      <c r="AL74"/>
      <c r="AM74"/>
      <c r="AN74"/>
      <c r="AO74"/>
    </row>
    <row r="75" spans="1:41" s="6" customFormat="1" x14ac:dyDescent="0.25">
      <c r="A75"/>
      <c r="B75"/>
      <c r="C75"/>
      <c r="D75"/>
      <c r="E75"/>
      <c r="F75"/>
      <c r="H75" s="11"/>
      <c r="I75" s="11">
        <f>Tabla3915233141919294959697989919293949[[#This Row],[COMISIONES]]*0.21</f>
        <v>0</v>
      </c>
      <c r="J75" s="11"/>
      <c r="K75" s="11"/>
      <c r="L75" s="11"/>
      <c r="N75" s="18"/>
      <c r="O75" s="11">
        <f>Tabla3510182636414244454647484414243444[[#This Row],[COMISIONES]]*0.21</f>
        <v>0</v>
      </c>
      <c r="P75" s="18"/>
      <c r="Q75" s="18"/>
      <c r="R75" s="18"/>
      <c r="T75" s="11"/>
      <c r="U75" s="19">
        <f>Tabla6122028334210203050607080901020304050[[#This Row],[COMISIONES]]*0.21</f>
        <v>0</v>
      </c>
      <c r="V75"/>
      <c r="W75"/>
      <c r="X75"/>
      <c r="Z75" s="3"/>
      <c r="AA75" s="11"/>
      <c r="AB75" s="1"/>
      <c r="AC75" s="21"/>
      <c r="AD75"/>
      <c r="AF75"/>
      <c r="AG75"/>
      <c r="AH75"/>
      <c r="AI75"/>
      <c r="AJ75"/>
      <c r="AK75"/>
      <c r="AL75"/>
      <c r="AM75"/>
      <c r="AN75"/>
      <c r="AO75"/>
    </row>
    <row r="76" spans="1:41" s="6" customFormat="1" x14ac:dyDescent="0.25">
      <c r="A76"/>
      <c r="B76"/>
      <c r="C76"/>
      <c r="D76"/>
      <c r="E76"/>
      <c r="F76"/>
      <c r="H76" s="11"/>
      <c r="I76" s="11">
        <f>Tabla3915233141919294959697989919293949[[#This Row],[COMISIONES]]*0.21</f>
        <v>0</v>
      </c>
      <c r="J76" s="11"/>
      <c r="K76" s="11"/>
      <c r="L76" s="11"/>
      <c r="N76" s="18"/>
      <c r="O76" s="11">
        <f>Tabla3510182636414244454647484414243444[[#This Row],[COMISIONES]]*0.21</f>
        <v>0</v>
      </c>
      <c r="P76" s="18"/>
      <c r="Q76" s="18"/>
      <c r="R76" s="18"/>
      <c r="T76"/>
      <c r="U76" s="19">
        <f>Tabla6122028334210203050607080901020304050[[#This Row],[COMISIONES]]*0.21</f>
        <v>0</v>
      </c>
      <c r="V76"/>
      <c r="W76"/>
      <c r="X76"/>
      <c r="Z76" s="3"/>
      <c r="AA76" s="21">
        <f>Tabla356813212939717274757677787717273747[[#This Row],[COMISIONES]]*0.21</f>
        <v>0</v>
      </c>
      <c r="AB76" s="1"/>
      <c r="AC76" s="21"/>
      <c r="AD76"/>
      <c r="AF76"/>
      <c r="AG76"/>
      <c r="AH76"/>
      <c r="AI76"/>
      <c r="AJ76"/>
      <c r="AK76"/>
      <c r="AL76"/>
      <c r="AM76"/>
      <c r="AN76"/>
      <c r="AO76"/>
    </row>
    <row r="77" spans="1:41" s="6" customFormat="1" x14ac:dyDescent="0.25">
      <c r="A77"/>
      <c r="B77"/>
      <c r="C77"/>
      <c r="D77"/>
      <c r="E77"/>
      <c r="F77"/>
      <c r="H77" s="11"/>
      <c r="I77" s="11">
        <f>Tabla3915233141919294959697989919293949[[#This Row],[COMISIONES]]*0.21</f>
        <v>0</v>
      </c>
      <c r="J77" s="11"/>
      <c r="K77" s="11"/>
      <c r="L77" s="11"/>
      <c r="N77" s="18"/>
      <c r="O77" s="11">
        <f>Tabla3510182636414244454647484414243444[[#This Row],[COMISIONES]]*0.21</f>
        <v>0</v>
      </c>
      <c r="P77" s="18"/>
      <c r="Q77" s="18"/>
      <c r="R77" s="18"/>
      <c r="T77"/>
      <c r="U77" s="19">
        <f>Tabla6122028334210203050607080901020304050[[#This Row],[COMISIONES]]*0.21</f>
        <v>0</v>
      </c>
      <c r="V77"/>
      <c r="W77"/>
      <c r="X77"/>
      <c r="Z77" s="3"/>
      <c r="AA77" s="21">
        <f>Tabla356813212939717274757677787717273747[[#This Row],[COMISIONES]]*0.21</f>
        <v>0</v>
      </c>
      <c r="AB77" s="1"/>
      <c r="AC77" s="21"/>
      <c r="AD77"/>
      <c r="AF77"/>
      <c r="AG77"/>
      <c r="AH77"/>
      <c r="AI77"/>
      <c r="AJ77"/>
      <c r="AK77"/>
      <c r="AL77"/>
      <c r="AM77"/>
      <c r="AN77"/>
      <c r="AO77"/>
    </row>
    <row r="78" spans="1:41" s="6" customFormat="1" x14ac:dyDescent="0.25">
      <c r="A78"/>
      <c r="B78"/>
      <c r="C78"/>
      <c r="D78"/>
      <c r="E78"/>
      <c r="F78"/>
      <c r="H78" s="11"/>
      <c r="I78" s="11">
        <f>Tabla3915233141919294959697989919293949[[#This Row],[COMISIONES]]*0.21</f>
        <v>0</v>
      </c>
      <c r="J78" s="11"/>
      <c r="K78" s="11"/>
      <c r="L78" s="11"/>
      <c r="N78" s="18"/>
      <c r="O78" s="11">
        <f>Tabla3510182636414244454647484414243444[[#This Row],[COMISIONES]]*0.21</f>
        <v>0</v>
      </c>
      <c r="P78" s="18"/>
      <c r="Q78" s="18"/>
      <c r="R78" s="18"/>
      <c r="T78"/>
      <c r="U78" s="19">
        <f>Tabla6122028334210203050607080901020304050[[#This Row],[COMISIONES]]*0.21</f>
        <v>0</v>
      </c>
      <c r="V78"/>
      <c r="W78"/>
      <c r="X78"/>
      <c r="Z78" s="3"/>
      <c r="AA78" s="21">
        <f>Tabla356813212939717274757677787717273747[[#This Row],[COMISIONES]]*0.21</f>
        <v>0</v>
      </c>
      <c r="AB78" s="1"/>
      <c r="AC78" s="21"/>
      <c r="AD78"/>
      <c r="AF78"/>
      <c r="AG78"/>
      <c r="AH78"/>
      <c r="AI78"/>
      <c r="AJ78"/>
      <c r="AK78"/>
      <c r="AL78"/>
      <c r="AM78"/>
      <c r="AN78"/>
      <c r="AO78"/>
    </row>
    <row r="79" spans="1:41" s="6" customFormat="1" x14ac:dyDescent="0.25">
      <c r="A79"/>
      <c r="B79"/>
      <c r="C79"/>
      <c r="D79"/>
      <c r="E79"/>
      <c r="F79"/>
      <c r="H79" s="11"/>
      <c r="I79" s="11">
        <f>Tabla3915233141919294959697989919293949[[#This Row],[COMISIONES]]*0.21</f>
        <v>0</v>
      </c>
      <c r="J79" s="11"/>
      <c r="K79" s="11"/>
      <c r="L79" s="11"/>
      <c r="N79" s="18"/>
      <c r="O79" s="11">
        <f>Tabla3510182636414244454647484414243444[[#This Row],[COMISIONES]]*0.21</f>
        <v>0</v>
      </c>
      <c r="P79" s="18"/>
      <c r="Q79" s="18"/>
      <c r="R79" s="18"/>
      <c r="T79"/>
      <c r="U79" s="19">
        <f>Tabla6122028334210203050607080901020304050[[#This Row],[COMISIONES]]*0.21</f>
        <v>0</v>
      </c>
      <c r="V79"/>
      <c r="W79"/>
      <c r="X79"/>
      <c r="Z79" s="3"/>
      <c r="AA79" s="21">
        <f>Tabla356813212939717274757677787717273747[[#This Row],[COMISIONES]]*0.21</f>
        <v>0</v>
      </c>
      <c r="AB79" s="11"/>
      <c r="AC79" s="21"/>
      <c r="AD79"/>
      <c r="AF79"/>
      <c r="AG79"/>
      <c r="AH79"/>
      <c r="AI79"/>
      <c r="AJ79"/>
      <c r="AK79"/>
      <c r="AL79"/>
      <c r="AM79"/>
      <c r="AN79"/>
      <c r="AO79"/>
    </row>
    <row r="80" spans="1:41" s="6" customFormat="1" x14ac:dyDescent="0.25">
      <c r="A80"/>
      <c r="B80"/>
      <c r="C80"/>
      <c r="D80"/>
      <c r="E80"/>
      <c r="F80"/>
      <c r="H80" s="11"/>
      <c r="I80" s="11">
        <f>Tabla3915233141919294959697989919293949[[#This Row],[COMISIONES]]*0.21</f>
        <v>0</v>
      </c>
      <c r="J80" s="11"/>
      <c r="K80" s="11"/>
      <c r="L80" s="11"/>
      <c r="N80" s="18"/>
      <c r="O80" s="11">
        <f>Tabla3510182636414244454647484414243444[[#This Row],[COMISIONES]]*0.21</f>
        <v>0</v>
      </c>
      <c r="P80" s="18"/>
      <c r="Q80" s="18"/>
      <c r="R80" s="18"/>
      <c r="T80"/>
      <c r="U80" s="19">
        <f>Tabla6122028334210203050607080901020304050[[#This Row],[COMISIONES]]*0.21</f>
        <v>0</v>
      </c>
      <c r="V80"/>
      <c r="W80"/>
      <c r="X80"/>
      <c r="Z80" s="3"/>
      <c r="AA80" s="21">
        <f>Tabla356813212939717274757677787717273747[[#This Row],[COMISIONES]]*0.21</f>
        <v>0</v>
      </c>
      <c r="AB80" s="21"/>
      <c r="AC80" s="21"/>
      <c r="AD80"/>
      <c r="AF80"/>
      <c r="AG80"/>
      <c r="AH80"/>
      <c r="AI80"/>
      <c r="AJ80"/>
      <c r="AK80"/>
      <c r="AL80"/>
      <c r="AM80"/>
      <c r="AN80"/>
      <c r="AO80"/>
    </row>
    <row r="81" spans="1:41" s="6" customFormat="1" x14ac:dyDescent="0.25">
      <c r="A81"/>
      <c r="B81"/>
      <c r="C81"/>
      <c r="D81"/>
      <c r="E81"/>
      <c r="F81"/>
      <c r="H81" s="18"/>
      <c r="I81" s="18">
        <f>Tabla3915233141919294959697989919293949[[#This Row],[COMISIONES]]*0.21</f>
        <v>0</v>
      </c>
      <c r="J81" s="18"/>
      <c r="K81" s="18"/>
      <c r="L81" s="18"/>
      <c r="N81" s="18"/>
      <c r="O81" s="11">
        <f>Tabla3510182636414244454647484414243444[[#This Row],[COMISIONES]]*0.21</f>
        <v>0</v>
      </c>
      <c r="P81" s="18"/>
      <c r="Q81" s="18"/>
      <c r="R81" s="18"/>
      <c r="T81"/>
      <c r="U81" s="19">
        <f>Tabla6122028334210203050607080901020304050[[#This Row],[COMISIONES]]*0.21</f>
        <v>0</v>
      </c>
      <c r="V81"/>
      <c r="W81"/>
      <c r="X81"/>
      <c r="Z81" s="3"/>
      <c r="AA81" s="21">
        <f>Tabla356813212939717274757677787717273747[[#This Row],[COMISIONES]]*0.21</f>
        <v>0</v>
      </c>
      <c r="AB81" s="21"/>
      <c r="AC81" s="21"/>
      <c r="AD81"/>
      <c r="AF81"/>
      <c r="AG81"/>
      <c r="AH81"/>
      <c r="AI81"/>
      <c r="AJ81"/>
      <c r="AK81"/>
      <c r="AL81"/>
      <c r="AM81"/>
      <c r="AN81"/>
      <c r="AO81"/>
    </row>
    <row r="82" spans="1:41" s="6" customFormat="1" x14ac:dyDescent="0.25">
      <c r="A82"/>
      <c r="B82"/>
      <c r="C82"/>
      <c r="D82"/>
      <c r="E82"/>
      <c r="F82"/>
      <c r="H82" s="18"/>
      <c r="I82" s="18">
        <f>Tabla3915233141919294959697989919293949[[#This Row],[COMISIONES]]*0.21</f>
        <v>0</v>
      </c>
      <c r="J82" s="18"/>
      <c r="K82" s="18"/>
      <c r="L82" s="18"/>
      <c r="N82" s="18"/>
      <c r="O82" s="11">
        <f>Tabla3510182636414244454647484414243444[[#This Row],[COMISIONES]]*0.21</f>
        <v>0</v>
      </c>
      <c r="P82" s="18"/>
      <c r="Q82" s="18"/>
      <c r="R82" s="18"/>
      <c r="T82"/>
      <c r="U82" s="19">
        <f>Tabla6122028334210203050607080901020304050[[#This Row],[COMISIONES]]*0.21</f>
        <v>0</v>
      </c>
      <c r="V82"/>
      <c r="W82"/>
      <c r="X82"/>
      <c r="Z82" s="3"/>
      <c r="AA82" s="21">
        <f>Tabla356813212939717274757677787717273747[[#This Row],[COMISIONES]]*0.21</f>
        <v>0</v>
      </c>
      <c r="AB82" s="1"/>
      <c r="AC82" s="1"/>
      <c r="AD82"/>
      <c r="AF82"/>
      <c r="AG82"/>
      <c r="AH82"/>
      <c r="AI82"/>
      <c r="AJ82"/>
      <c r="AK82"/>
      <c r="AL82"/>
      <c r="AM82"/>
      <c r="AN82"/>
      <c r="AO82"/>
    </row>
    <row r="83" spans="1:41" s="6" customFormat="1" x14ac:dyDescent="0.25">
      <c r="A83"/>
      <c r="B83"/>
      <c r="C83"/>
      <c r="D83"/>
      <c r="E83"/>
      <c r="F83"/>
      <c r="H83" s="18"/>
      <c r="I83" s="18">
        <f>Tabla3915233141919294959697989919293949[[#This Row],[COMISIONES]]*0.21</f>
        <v>0</v>
      </c>
      <c r="J83" s="18"/>
      <c r="K83" s="18"/>
      <c r="L83" s="18"/>
      <c r="N83" s="18"/>
      <c r="O83" s="11">
        <f>Tabla3510182636414244454647484414243444[[#This Row],[COMISIONES]]*0.21</f>
        <v>0</v>
      </c>
      <c r="P83" s="18"/>
      <c r="Q83" s="18"/>
      <c r="R83" s="18"/>
      <c r="T83"/>
      <c r="U83" s="19">
        <f>Tabla6122028334210203050607080901020304050[[#This Row],[COMISIONES]]*0.21</f>
        <v>0</v>
      </c>
      <c r="V83"/>
      <c r="W83"/>
      <c r="X83"/>
      <c r="Z83" s="3"/>
      <c r="AA83" s="21">
        <f>Tabla356813212939717274757677787717273747[[#This Row],[COMISIONES]]*0.21</f>
        <v>0</v>
      </c>
      <c r="AB83" s="21"/>
      <c r="AC83" s="21"/>
      <c r="AD83"/>
      <c r="AF83"/>
      <c r="AG83"/>
      <c r="AH83"/>
      <c r="AI83"/>
      <c r="AJ83"/>
      <c r="AK83"/>
      <c r="AL83"/>
      <c r="AM83"/>
      <c r="AN83"/>
      <c r="AO83"/>
    </row>
    <row r="84" spans="1:41" s="6" customFormat="1" x14ac:dyDescent="0.25">
      <c r="A84"/>
      <c r="B84"/>
      <c r="C84"/>
      <c r="D84"/>
      <c r="E84"/>
      <c r="F84"/>
      <c r="H84" s="18"/>
      <c r="I84" s="18">
        <f>Tabla3915233141919294959697989919293949[[#This Row],[COMISIONES]]*0.21</f>
        <v>0</v>
      </c>
      <c r="J84" s="18"/>
      <c r="K84" s="18"/>
      <c r="L84" s="18"/>
      <c r="N84" s="18"/>
      <c r="O84" s="11">
        <f>Tabla3510182636414244454647484414243444[[#This Row],[COMISIONES]]*0.21</f>
        <v>0</v>
      </c>
      <c r="P84" s="18"/>
      <c r="Q84" s="18"/>
      <c r="R84" s="18"/>
      <c r="T84"/>
      <c r="U84" s="19">
        <f>Tabla6122028334210203050607080901020304050[[#This Row],[COMISIONES]]*0.21</f>
        <v>0</v>
      </c>
      <c r="V84"/>
      <c r="W84"/>
      <c r="X84"/>
      <c r="Z84" s="3"/>
      <c r="AA84" s="21">
        <f>Tabla356813212939717274757677787717273747[[#This Row],[COMISIONES]]*0.21</f>
        <v>0</v>
      </c>
      <c r="AB84" s="21"/>
      <c r="AC84" s="1"/>
      <c r="AD84"/>
      <c r="AF84"/>
      <c r="AG84"/>
      <c r="AH84"/>
      <c r="AI84"/>
      <c r="AJ84"/>
      <c r="AK84"/>
      <c r="AL84"/>
      <c r="AM84"/>
      <c r="AN84"/>
      <c r="AO84"/>
    </row>
    <row r="85" spans="1:41" s="6" customFormat="1" x14ac:dyDescent="0.25">
      <c r="A85"/>
      <c r="B85"/>
      <c r="C85"/>
      <c r="D85"/>
      <c r="E85"/>
      <c r="F85"/>
      <c r="H85" s="18"/>
      <c r="I85" s="18">
        <f>Tabla3915233141919294959697989919293949[[#This Row],[COMISIONES]]*0.21</f>
        <v>0</v>
      </c>
      <c r="J85" s="18"/>
      <c r="K85" s="18"/>
      <c r="L85" s="18"/>
      <c r="N85" s="18"/>
      <c r="O85" s="11">
        <f>Tabla3510182636414244454647484414243444[[#This Row],[COMISIONES]]*0.21</f>
        <v>0</v>
      </c>
      <c r="P85" s="18"/>
      <c r="Q85" s="18"/>
      <c r="R85" s="18"/>
      <c r="T85"/>
      <c r="U85" s="19">
        <f>Tabla6122028334210203050607080901020304050[[#This Row],[COMISIONES]]*0.21</f>
        <v>0</v>
      </c>
      <c r="V85"/>
      <c r="W85"/>
      <c r="X85"/>
      <c r="Z85" s="3"/>
      <c r="AA85" s="21">
        <f>Tabla356813212939717274757677787717273747[[#This Row],[COMISIONES]]*0.21</f>
        <v>0</v>
      </c>
      <c r="AB85" s="1"/>
      <c r="AC85" s="1"/>
      <c r="AD85"/>
      <c r="AF85"/>
      <c r="AG85"/>
      <c r="AH85"/>
      <c r="AI85"/>
      <c r="AJ85"/>
      <c r="AK85"/>
      <c r="AL85"/>
      <c r="AM85"/>
      <c r="AN85"/>
      <c r="AO85"/>
    </row>
    <row r="86" spans="1:41" s="6" customFormat="1" x14ac:dyDescent="0.25">
      <c r="A86"/>
      <c r="B86"/>
      <c r="C86"/>
      <c r="D86"/>
      <c r="E86"/>
      <c r="F86"/>
      <c r="H86" s="18"/>
      <c r="I86" s="18">
        <f>Tabla3915233141919294959697989919293949[[#This Row],[COMISIONES]]*0.21</f>
        <v>0</v>
      </c>
      <c r="J86" s="18"/>
      <c r="K86" s="18"/>
      <c r="L86" s="18"/>
      <c r="N86" s="18"/>
      <c r="O86" s="11">
        <f>Tabla3510182636414244454647484414243444[[#This Row],[COMISIONES]]*0.21</f>
        <v>0</v>
      </c>
      <c r="P86" s="18"/>
      <c r="Q86" s="18"/>
      <c r="R86" s="18"/>
      <c r="T86"/>
      <c r="U86" s="19">
        <f>Tabla6122028334210203050607080901020304050[[#This Row],[COMISIONES]]*0.21</f>
        <v>0</v>
      </c>
      <c r="V86"/>
      <c r="W86"/>
      <c r="X86"/>
      <c r="Z86" s="3"/>
      <c r="AA86" s="21">
        <f>Tabla356813212939717274757677787717273747[[#This Row],[COMISIONES]]*0.21</f>
        <v>0</v>
      </c>
      <c r="AB86" s="21"/>
      <c r="AC86" s="1"/>
      <c r="AD86"/>
      <c r="AF86"/>
      <c r="AG86"/>
      <c r="AH86"/>
      <c r="AI86"/>
      <c r="AJ86"/>
      <c r="AK86"/>
      <c r="AL86"/>
      <c r="AM86"/>
      <c r="AN86"/>
      <c r="AO86"/>
    </row>
    <row r="87" spans="1:41" s="6" customFormat="1" x14ac:dyDescent="0.25">
      <c r="A87"/>
      <c r="B87"/>
      <c r="C87"/>
      <c r="D87"/>
      <c r="E87"/>
      <c r="F87"/>
      <c r="H87" s="18"/>
      <c r="I87" s="18">
        <f>Tabla3915233141919294959697989919293949[[#This Row],[COMISIONES]]*0.21</f>
        <v>0</v>
      </c>
      <c r="J87" s="18"/>
      <c r="K87" s="18"/>
      <c r="L87" s="18"/>
      <c r="N87" s="18"/>
      <c r="O87" s="11">
        <f>Tabla3510182636414244454647484414243444[[#This Row],[COMISIONES]]*0.21</f>
        <v>0</v>
      </c>
      <c r="P87" s="18"/>
      <c r="Q87" s="18"/>
      <c r="R87" s="18"/>
      <c r="T87"/>
      <c r="U87" s="19">
        <f>Tabla6122028334210203050607080901020304050[[#This Row],[COMISIONES]]*0.21</f>
        <v>0</v>
      </c>
      <c r="V87"/>
      <c r="W87"/>
      <c r="X87"/>
      <c r="Z87" s="3"/>
      <c r="AA87" s="21">
        <f>Tabla356813212939717274757677787717273747[[#This Row],[COMISIONES]]*0.21</f>
        <v>0</v>
      </c>
      <c r="AB87" s="1"/>
      <c r="AC87" s="1"/>
      <c r="AD87" s="21"/>
      <c r="AF87"/>
      <c r="AG87"/>
      <c r="AH87"/>
      <c r="AI87"/>
      <c r="AJ87"/>
      <c r="AK87"/>
      <c r="AL87"/>
      <c r="AM87"/>
      <c r="AN87"/>
      <c r="AO87"/>
    </row>
    <row r="88" spans="1:41" s="6" customFormat="1" x14ac:dyDescent="0.25">
      <c r="A88"/>
      <c r="B88"/>
      <c r="C88"/>
      <c r="D88"/>
      <c r="E88"/>
      <c r="F88"/>
      <c r="H88" s="18"/>
      <c r="I88" s="18">
        <f>Tabla3915233141919294959697989919293949[[#This Row],[COMISIONES]]*0.21</f>
        <v>0</v>
      </c>
      <c r="J88" s="18"/>
      <c r="K88" s="18"/>
      <c r="L88" s="18"/>
      <c r="N88" s="18"/>
      <c r="O88" s="11">
        <f>Tabla3510182636414244454647484414243444[[#This Row],[COMISIONES]]*0.21</f>
        <v>0</v>
      </c>
      <c r="P88" s="18"/>
      <c r="Q88" s="18"/>
      <c r="R88" s="18"/>
      <c r="T88"/>
      <c r="U88" s="19">
        <f>Tabla6122028334210203050607080901020304050[[#This Row],[COMISIONES]]*0.21</f>
        <v>0</v>
      </c>
      <c r="V88"/>
      <c r="W88"/>
      <c r="X88"/>
      <c r="Z88" s="3"/>
      <c r="AA88" s="21">
        <f>Tabla356813212939717274757677787717273747[[#This Row],[COMISIONES]]*0.21</f>
        <v>0</v>
      </c>
      <c r="AB88" s="21"/>
      <c r="AC88" s="21"/>
      <c r="AD88"/>
      <c r="AF88"/>
      <c r="AG88"/>
      <c r="AH88"/>
      <c r="AI88"/>
      <c r="AJ88"/>
      <c r="AK88"/>
      <c r="AL88"/>
      <c r="AM88"/>
      <c r="AN88"/>
      <c r="AO88"/>
    </row>
    <row r="89" spans="1:41" s="6" customFormat="1" x14ac:dyDescent="0.25">
      <c r="A89"/>
      <c r="B89"/>
      <c r="C89"/>
      <c r="D89"/>
      <c r="E89"/>
      <c r="F89"/>
      <c r="H89" s="18"/>
      <c r="I89" s="18">
        <f>Tabla3915233141919294959697989919293949[[#This Row],[COMISIONES]]*0.21</f>
        <v>0</v>
      </c>
      <c r="J89" s="18"/>
      <c r="K89" s="18"/>
      <c r="L89" s="18"/>
      <c r="N89" s="18"/>
      <c r="O89" s="11">
        <f>Tabla3510182636414244454647484414243444[[#This Row],[COMISIONES]]*0.21</f>
        <v>0</v>
      </c>
      <c r="P89" s="18"/>
      <c r="Q89" s="18"/>
      <c r="R89" s="18"/>
      <c r="T89"/>
      <c r="U89" s="19">
        <f>Tabla6122028334210203050607080901020304050[[#This Row],[COMISIONES]]*0.21</f>
        <v>0</v>
      </c>
      <c r="V89"/>
      <c r="W89"/>
      <c r="X89"/>
      <c r="Z89" s="3"/>
      <c r="AA89" s="21">
        <f>Tabla356813212939717274757677787717273747[[#This Row],[COMISIONES]]*0.21</f>
        <v>0</v>
      </c>
      <c r="AB89" s="19"/>
      <c r="AC89"/>
      <c r="AD89"/>
      <c r="AF89"/>
      <c r="AG89"/>
      <c r="AH89"/>
      <c r="AI89"/>
      <c r="AJ89"/>
      <c r="AK89"/>
      <c r="AL89"/>
      <c r="AM89"/>
      <c r="AN89"/>
      <c r="AO89"/>
    </row>
    <row r="90" spans="1:41" s="6" customFormat="1" x14ac:dyDescent="0.25">
      <c r="A90"/>
      <c r="B90"/>
      <c r="C90"/>
      <c r="D90"/>
      <c r="E90"/>
      <c r="F90"/>
      <c r="H90" s="18"/>
      <c r="I90" s="18">
        <f>Tabla3915233141919294959697989919293949[[#This Row],[COMISIONES]]*0.21</f>
        <v>0</v>
      </c>
      <c r="J90" s="18"/>
      <c r="K90" s="18"/>
      <c r="L90" s="18"/>
      <c r="N90" s="18"/>
      <c r="O90" s="11">
        <f>Tabla3510182636414244454647484414243444[[#This Row],[COMISIONES]]*0.21</f>
        <v>0</v>
      </c>
      <c r="P90" s="18"/>
      <c r="Q90" s="18"/>
      <c r="R90" s="18"/>
      <c r="T90"/>
      <c r="U90" s="19">
        <f>Tabla6122028334210203050607080901020304050[[#This Row],[COMISIONES]]*0.21</f>
        <v>0</v>
      </c>
      <c r="V90"/>
      <c r="W90"/>
      <c r="X90"/>
      <c r="Z90" s="3"/>
      <c r="AA90" s="21">
        <f>Tabla356813212939717274757677787717273747[[#This Row],[COMISIONES]]*0.21</f>
        <v>0</v>
      </c>
      <c r="AB90" s="21"/>
      <c r="AC90" s="21"/>
      <c r="AD90"/>
      <c r="AF90"/>
      <c r="AG90"/>
      <c r="AH90"/>
      <c r="AI90"/>
      <c r="AJ90"/>
      <c r="AK90"/>
      <c r="AL90"/>
      <c r="AM90"/>
      <c r="AN90"/>
      <c r="AO90"/>
    </row>
    <row r="91" spans="1:41" s="6" customFormat="1" x14ac:dyDescent="0.25">
      <c r="A91"/>
      <c r="B91"/>
      <c r="C91"/>
      <c r="D91"/>
      <c r="E91"/>
      <c r="F91"/>
      <c r="H91" s="18"/>
      <c r="I91" s="18">
        <f>Tabla3915233141919294959697989919293949[[#This Row],[COMISIONES]]*0.21</f>
        <v>0</v>
      </c>
      <c r="J91" s="18"/>
      <c r="K91" s="18"/>
      <c r="L91" s="18"/>
      <c r="N91" s="18"/>
      <c r="O91" s="11">
        <f>Tabla3510182636414244454647484414243444[[#This Row],[COMISIONES]]*0.21</f>
        <v>0</v>
      </c>
      <c r="P91" s="18"/>
      <c r="Q91" s="18"/>
      <c r="R91" s="18"/>
      <c r="T91"/>
      <c r="U91" s="19">
        <f>Tabla6122028334210203050607080901020304050[[#This Row],[COMISIONES]]*0.21</f>
        <v>0</v>
      </c>
      <c r="V91"/>
      <c r="W91"/>
      <c r="X91"/>
      <c r="Z91" s="3"/>
      <c r="AA91" s="21"/>
      <c r="AB91" s="21">
        <f>Tabla356813212939717274757677787717273747[[#This Row],[COMISIONES]]*0.105</f>
        <v>0</v>
      </c>
      <c r="AC91" s="1"/>
      <c r="AD91"/>
      <c r="AF91"/>
      <c r="AG91"/>
      <c r="AH91"/>
      <c r="AI91"/>
      <c r="AJ91"/>
      <c r="AK91"/>
      <c r="AL91"/>
      <c r="AM91"/>
      <c r="AN91"/>
      <c r="AO91"/>
    </row>
    <row r="92" spans="1:41" s="6" customFormat="1" x14ac:dyDescent="0.25">
      <c r="A92"/>
      <c r="B92"/>
      <c r="C92"/>
      <c r="D92"/>
      <c r="E92"/>
      <c r="F92"/>
      <c r="H92" s="18"/>
      <c r="I92" s="18">
        <f>Tabla3915233141919294959697989919293949[[#This Row],[COMISIONES]]*0.21</f>
        <v>0</v>
      </c>
      <c r="J92" s="18"/>
      <c r="K92" s="18"/>
      <c r="L92" s="18"/>
      <c r="N92" s="18"/>
      <c r="O92" s="11">
        <f>Tabla3510182636414244454647484414243444[[#This Row],[COMISIONES]]*0.21</f>
        <v>0</v>
      </c>
      <c r="P92" s="18"/>
      <c r="Q92" s="18"/>
      <c r="R92" s="18"/>
      <c r="T92"/>
      <c r="U92" s="19">
        <f>Tabla6122028334210203050607080901020304050[[#This Row],[COMISIONES]]*0.21</f>
        <v>0</v>
      </c>
      <c r="V92"/>
      <c r="W92"/>
      <c r="X92"/>
      <c r="Z92" s="3"/>
      <c r="AA92" s="21">
        <f>Tabla356813212939717274757677787717273747[[#This Row],[COMISIONES]]*0.21</f>
        <v>0</v>
      </c>
      <c r="AB92" s="1"/>
      <c r="AC92" s="21"/>
      <c r="AD92" s="21"/>
      <c r="AF92"/>
      <c r="AG92"/>
      <c r="AH92"/>
      <c r="AI92"/>
      <c r="AJ92"/>
      <c r="AK92"/>
      <c r="AL92"/>
      <c r="AM92"/>
      <c r="AN92"/>
      <c r="AO92"/>
    </row>
    <row r="93" spans="1:41" s="6" customFormat="1" x14ac:dyDescent="0.25">
      <c r="A93"/>
      <c r="B93"/>
      <c r="C93"/>
      <c r="D93"/>
      <c r="E93"/>
      <c r="F93"/>
      <c r="H93" s="21"/>
      <c r="I93" s="21">
        <f>Tabla3915233141919294959697989919293949[[#This Row],[COMISIONES]]*0.21</f>
        <v>0</v>
      </c>
      <c r="J93" s="21"/>
      <c r="K93" s="21"/>
      <c r="L93" s="21"/>
      <c r="N93" s="18"/>
      <c r="O93" s="11">
        <f>Tabla3510182636414244454647484414243444[[#This Row],[COMISIONES]]*0.21</f>
        <v>0</v>
      </c>
      <c r="P93" s="18"/>
      <c r="Q93" s="18"/>
      <c r="R93" s="18"/>
      <c r="T93"/>
      <c r="U93" s="19">
        <f>Tabla6122028334210203050607080901020304050[[#This Row],[COMISIONES]]*0.21</f>
        <v>0</v>
      </c>
      <c r="V93"/>
      <c r="W93"/>
      <c r="X93"/>
      <c r="Z93" s="3"/>
      <c r="AA93" s="21">
        <f>Tabla356813212939717274757677787717273747[[#This Row],[COMISIONES]]*0.21</f>
        <v>0</v>
      </c>
      <c r="AB93" s="21"/>
      <c r="AC93" s="21"/>
      <c r="AD93" s="21"/>
      <c r="AF93"/>
      <c r="AG93"/>
      <c r="AH93"/>
      <c r="AI93"/>
      <c r="AJ93"/>
      <c r="AK93"/>
      <c r="AL93"/>
      <c r="AM93"/>
      <c r="AN93"/>
      <c r="AO93"/>
    </row>
    <row r="94" spans="1:41" s="6" customFormat="1" x14ac:dyDescent="0.25">
      <c r="A94"/>
      <c r="B94"/>
      <c r="C94"/>
      <c r="D94"/>
      <c r="E94"/>
      <c r="F94"/>
      <c r="H94" s="21"/>
      <c r="I94" s="21">
        <f>Tabla3915233141919294959697989919293949[[#This Row],[COMISIONES]]*0.21</f>
        <v>0</v>
      </c>
      <c r="J94" s="21"/>
      <c r="K94" s="21"/>
      <c r="L94" s="21"/>
      <c r="N94" s="18"/>
      <c r="O94" s="11">
        <f>Tabla3510182636414244454647484414243444[[#This Row],[COMISIONES]]*0.21</f>
        <v>0</v>
      </c>
      <c r="P94" s="18"/>
      <c r="Q94" s="18"/>
      <c r="R94" s="18"/>
      <c r="T94"/>
      <c r="U94" s="19">
        <f>Tabla6122028334210203050607080901020304050[[#This Row],[COMISIONES]]*0.21</f>
        <v>0</v>
      </c>
      <c r="V94"/>
      <c r="W94"/>
      <c r="X94"/>
      <c r="Z94" s="3"/>
      <c r="AA94" s="21">
        <f>Tabla356813212939717274757677787717273747[[#This Row],[COMISIONES]]*0.21</f>
        <v>0</v>
      </c>
      <c r="AB94" s="21"/>
      <c r="AC94" s="21"/>
      <c r="AD94" s="21"/>
      <c r="AF94"/>
      <c r="AG94"/>
      <c r="AH94"/>
      <c r="AI94"/>
      <c r="AJ94"/>
      <c r="AK94"/>
      <c r="AL94"/>
      <c r="AM94"/>
      <c r="AN94"/>
      <c r="AO94"/>
    </row>
    <row r="95" spans="1:41" s="6" customFormat="1" x14ac:dyDescent="0.25">
      <c r="A95"/>
      <c r="B95"/>
      <c r="C95"/>
      <c r="D95"/>
      <c r="E95"/>
      <c r="F95"/>
      <c r="H95" s="21"/>
      <c r="I95" s="21">
        <f>Tabla3915233141919294959697989919293949[[#This Row],[COMISIONES]]*0.21</f>
        <v>0</v>
      </c>
      <c r="J95" s="21"/>
      <c r="K95" s="21"/>
      <c r="L95" s="21"/>
      <c r="N95" s="18"/>
      <c r="O95" s="11">
        <f>Tabla3510182636414244454647484414243444[[#This Row],[COMISIONES]]*0.21</f>
        <v>0</v>
      </c>
      <c r="P95" s="18"/>
      <c r="Q95" s="18"/>
      <c r="R95" s="18"/>
      <c r="T95"/>
      <c r="U95" s="19">
        <f>Tabla6122028334210203050607080901020304050[[#This Row],[COMISIONES]]*0.21</f>
        <v>0</v>
      </c>
      <c r="V95"/>
      <c r="W95"/>
      <c r="X95"/>
      <c r="Z95" s="3"/>
      <c r="AA95" s="21"/>
      <c r="AB95" s="21"/>
      <c r="AC95" s="21"/>
      <c r="AD95" s="21"/>
      <c r="AF95"/>
      <c r="AG95"/>
      <c r="AH95"/>
      <c r="AI95"/>
      <c r="AJ95"/>
      <c r="AK95"/>
      <c r="AL95"/>
      <c r="AM95"/>
      <c r="AN95"/>
      <c r="AO95"/>
    </row>
    <row r="96" spans="1:41" s="6" customFormat="1" x14ac:dyDescent="0.25">
      <c r="A96"/>
      <c r="B96"/>
      <c r="C96"/>
      <c r="D96"/>
      <c r="E96"/>
      <c r="F96"/>
      <c r="H96" s="21"/>
      <c r="I96" s="21">
        <f>Tabla3915233141919294959697989919293949[[#This Row],[COMISIONES]]*0.21</f>
        <v>0</v>
      </c>
      <c r="J96" s="21"/>
      <c r="K96" s="21"/>
      <c r="L96" s="21"/>
      <c r="N96" s="18"/>
      <c r="O96" s="11">
        <f>Tabla3510182636414244454647484414243444[[#This Row],[COMISIONES]]*0.21</f>
        <v>0</v>
      </c>
      <c r="P96" s="18"/>
      <c r="Q96" s="18"/>
      <c r="R96" s="18"/>
      <c r="T96"/>
      <c r="U96" s="19">
        <f>Tabla6122028334210203050607080901020304050[[#This Row],[COMISIONES]]*0.21</f>
        <v>0</v>
      </c>
      <c r="V96"/>
      <c r="W96"/>
      <c r="X96"/>
      <c r="Z96" s="3"/>
      <c r="AA96" s="21">
        <f>Tabla356813212939717274757677787717273747[[#This Row],[COMISIONES]]*0.21</f>
        <v>0</v>
      </c>
      <c r="AB96" s="1"/>
      <c r="AC96" s="1"/>
      <c r="AD96"/>
      <c r="AF96"/>
      <c r="AG96"/>
      <c r="AH96"/>
      <c r="AI96"/>
      <c r="AJ96"/>
      <c r="AK96"/>
      <c r="AL96"/>
      <c r="AM96"/>
      <c r="AN96"/>
      <c r="AO96"/>
    </row>
    <row r="97" spans="1:41" s="6" customFormat="1" x14ac:dyDescent="0.25">
      <c r="A97"/>
      <c r="B97"/>
      <c r="C97"/>
      <c r="D97"/>
      <c r="E97"/>
      <c r="F97"/>
      <c r="H97" s="21"/>
      <c r="I97" s="21">
        <f>Tabla3915233141919294959697989919293949[[#This Row],[COMISIONES]]*0.21</f>
        <v>0</v>
      </c>
      <c r="J97" s="21"/>
      <c r="K97" s="21"/>
      <c r="L97" s="21"/>
      <c r="N97" s="18"/>
      <c r="O97" s="11">
        <f>Tabla3510182636414244454647484414243444[[#This Row],[COMISIONES]]*0.21</f>
        <v>0</v>
      </c>
      <c r="P97" s="18"/>
      <c r="Q97" s="18"/>
      <c r="R97" s="18"/>
      <c r="T97"/>
      <c r="U97" s="19">
        <f>Tabla6122028334210203050607080901020304050[[#This Row],[COMISIONES]]*0.21</f>
        <v>0</v>
      </c>
      <c r="V97"/>
      <c r="W97"/>
      <c r="X97"/>
      <c r="Z97" s="3"/>
      <c r="AA97" s="21">
        <f>Tabla356813212939717274757677787717273747[[#This Row],[COMISIONES]]*0.21</f>
        <v>0</v>
      </c>
      <c r="AB97" s="1"/>
      <c r="AC97" s="1"/>
      <c r="AD97"/>
      <c r="AF97"/>
      <c r="AG97"/>
      <c r="AH97"/>
      <c r="AI97"/>
      <c r="AJ97"/>
      <c r="AK97"/>
      <c r="AL97"/>
      <c r="AM97"/>
      <c r="AN97"/>
      <c r="AO97"/>
    </row>
    <row r="98" spans="1:41" s="6" customFormat="1" x14ac:dyDescent="0.25">
      <c r="A98"/>
      <c r="B98"/>
      <c r="C98"/>
      <c r="D98"/>
      <c r="E98"/>
      <c r="F98"/>
      <c r="H98" s="21"/>
      <c r="I98" s="21">
        <f>Tabla3915233141919294959697989919293949[[#This Row],[COMISIONES]]*0.21</f>
        <v>0</v>
      </c>
      <c r="J98" s="21"/>
      <c r="K98" s="21"/>
      <c r="L98" s="21"/>
      <c r="N98" s="18"/>
      <c r="O98" s="11">
        <f>Tabla3510182636414244454647484414243444[[#This Row],[COMISIONES]]*0.21</f>
        <v>0</v>
      </c>
      <c r="P98" s="18"/>
      <c r="Q98" s="18"/>
      <c r="R98" s="18"/>
      <c r="T98"/>
      <c r="U98" s="19">
        <f>Tabla6122028334210203050607080901020304050[[#This Row],[COMISIONES]]*0.21</f>
        <v>0</v>
      </c>
      <c r="V98"/>
      <c r="W98"/>
      <c r="X98"/>
      <c r="Z98" s="3"/>
      <c r="AA98" s="21">
        <f>Tabla356813212939717274757677787717273747[[#This Row],[COMISIONES]]*0.21</f>
        <v>0</v>
      </c>
      <c r="AB98" s="21">
        <f>Tabla356813212939717274757677787717273747[[#This Row],[COMISIONES]]*0.105</f>
        <v>0</v>
      </c>
      <c r="AC98" s="21"/>
      <c r="AD98"/>
      <c r="AF98"/>
      <c r="AG98"/>
      <c r="AH98"/>
      <c r="AI98"/>
      <c r="AJ98"/>
      <c r="AK98"/>
      <c r="AL98"/>
      <c r="AM98"/>
      <c r="AN98"/>
      <c r="AO98"/>
    </row>
    <row r="99" spans="1:41" s="6" customFormat="1" x14ac:dyDescent="0.25">
      <c r="A99"/>
      <c r="B99"/>
      <c r="C99"/>
      <c r="D99"/>
      <c r="E99"/>
      <c r="F99"/>
      <c r="H99" s="21"/>
      <c r="I99" s="21">
        <f>Tabla3915233141919294959697989919293949[[#This Row],[COMISIONES]]*0.21</f>
        <v>0</v>
      </c>
      <c r="J99" s="21"/>
      <c r="K99" s="21"/>
      <c r="L99" s="21"/>
      <c r="N99" s="18"/>
      <c r="O99" s="11">
        <f>Tabla3510182636414244454647484414243444[[#This Row],[COMISIONES]]*0.21</f>
        <v>0</v>
      </c>
      <c r="P99" s="18"/>
      <c r="Q99" s="18"/>
      <c r="R99" s="18"/>
      <c r="T99"/>
      <c r="U99" s="19">
        <f>Tabla6122028334210203050607080901020304050[[#This Row],[COMISIONES]]*0.21</f>
        <v>0</v>
      </c>
      <c r="V99"/>
      <c r="W99"/>
      <c r="X99"/>
      <c r="Z99" s="3"/>
      <c r="AA99" s="21">
        <f>Tabla356813212939717274757677787717273747[[#This Row],[COMISIONES]]*0.21</f>
        <v>0</v>
      </c>
      <c r="AB99" s="21">
        <f>Tabla356813212939717274757677787717273747[[#This Row],[COMISIONES]]*0.105</f>
        <v>0</v>
      </c>
      <c r="AC99" s="21"/>
      <c r="AD99"/>
      <c r="AF99"/>
      <c r="AG99"/>
      <c r="AH99"/>
      <c r="AI99"/>
      <c r="AJ99"/>
      <c r="AK99"/>
      <c r="AL99"/>
      <c r="AM99"/>
      <c r="AN99"/>
      <c r="AO99"/>
    </row>
    <row r="100" spans="1:41" s="6" customFormat="1" x14ac:dyDescent="0.25">
      <c r="A100"/>
      <c r="B100"/>
      <c r="C100"/>
      <c r="D100"/>
      <c r="E100"/>
      <c r="F100"/>
      <c r="H100" s="21"/>
      <c r="I100" s="21">
        <f>Tabla3915233141919294959697989919293949[[#This Row],[COMISIONES]]*0.21</f>
        <v>0</v>
      </c>
      <c r="J100" s="21"/>
      <c r="K100" s="21"/>
      <c r="L100" s="21"/>
      <c r="N100" s="18"/>
      <c r="O100" s="11">
        <f>Tabla3510182636414244454647484414243444[[#This Row],[COMISIONES]]*0.21</f>
        <v>0</v>
      </c>
      <c r="P100" s="18"/>
      <c r="Q100" s="18"/>
      <c r="R100" s="18"/>
      <c r="T100"/>
      <c r="U100" s="19">
        <f>Tabla6122028334210203050607080901020304050[[#This Row],[COMISIONES]]*0.21</f>
        <v>0</v>
      </c>
      <c r="V100"/>
      <c r="W100"/>
      <c r="X100"/>
      <c r="Z100" s="3"/>
      <c r="AA100" s="21">
        <f>Tabla356813212939717274757677787717273747[[#This Row],[COMISIONES]]*0.21</f>
        <v>0</v>
      </c>
      <c r="AB100" s="21">
        <f>Tabla356813212939717274757677787717273747[[#This Row],[COMISIONES]]*0.105</f>
        <v>0</v>
      </c>
      <c r="AC100" s="21"/>
      <c r="AD100"/>
      <c r="AF100"/>
      <c r="AG100"/>
      <c r="AH100"/>
      <c r="AI100"/>
      <c r="AJ100"/>
      <c r="AK100"/>
      <c r="AL100"/>
      <c r="AM100"/>
      <c r="AN100"/>
      <c r="AO100"/>
    </row>
    <row r="101" spans="1:41" s="6" customFormat="1" x14ac:dyDescent="0.25">
      <c r="A101"/>
      <c r="B101"/>
      <c r="C101"/>
      <c r="D101"/>
      <c r="E101"/>
      <c r="F101"/>
      <c r="H101" s="21"/>
      <c r="I101" s="21">
        <f>Tabla3915233141919294959697989919293949[[#This Row],[COMISIONES]]*0.21</f>
        <v>0</v>
      </c>
      <c r="J101" s="21"/>
      <c r="K101" s="21"/>
      <c r="L101" s="21"/>
      <c r="N101" s="18"/>
      <c r="O101" s="11">
        <f>Tabla3510182636414244454647484414243444[[#This Row],[COMISIONES]]*0.21</f>
        <v>0</v>
      </c>
      <c r="P101" s="18"/>
      <c r="Q101" s="18"/>
      <c r="R101" s="18"/>
      <c r="T101"/>
      <c r="U101" s="19">
        <f>Tabla6122028334210203050607080901020304050[[#This Row],[COMISIONES]]*0.21</f>
        <v>0</v>
      </c>
      <c r="V101"/>
      <c r="W101"/>
      <c r="X101"/>
      <c r="Z101" s="3"/>
      <c r="AA101" s="21">
        <f>Tabla356813212939717274757677787717273747[[#This Row],[COMISIONES]]*0.21</f>
        <v>0</v>
      </c>
      <c r="AB101" s="21">
        <f>Tabla356813212939717274757677787717273747[[#This Row],[COMISIONES]]*0.105</f>
        <v>0</v>
      </c>
      <c r="AC101" s="21"/>
      <c r="AD101" s="21"/>
      <c r="AF101"/>
      <c r="AG101"/>
      <c r="AH101"/>
      <c r="AI101"/>
      <c r="AJ101"/>
      <c r="AK101"/>
      <c r="AL101"/>
      <c r="AM101"/>
      <c r="AN101"/>
      <c r="AO101"/>
    </row>
    <row r="102" spans="1:41" s="6" customFormat="1" x14ac:dyDescent="0.25">
      <c r="A102"/>
      <c r="B102"/>
      <c r="C102"/>
      <c r="D102"/>
      <c r="E102"/>
      <c r="F102"/>
      <c r="H102" s="20">
        <f>SUBTOTAL(109,Tabla3915233141919294959697989919293949[COMISIONES])</f>
        <v>0</v>
      </c>
      <c r="I102" s="20">
        <f>SUBTOTAL(109,Tabla3915233141919294959697989919293949[IVA 21])</f>
        <v>0</v>
      </c>
      <c r="J102" s="20">
        <f>SUBTOTAL(109,Tabla3915233141919294959697989919293949[IVA 10,5])</f>
        <v>0</v>
      </c>
      <c r="K102" s="20">
        <f>SUBTOTAL(109,Tabla3915233141919294959697989919293949[Ret IIBB Caba])</f>
        <v>0</v>
      </c>
      <c r="L102" s="20">
        <f>SUBTOTAL(109,Tabla3915233141919294959697989919293949[PERC IVA])</f>
        <v>0</v>
      </c>
      <c r="N102" s="18"/>
      <c r="O102" s="11">
        <f>Tabla3510182636414244454647484414243444[[#This Row],[COMISIONES]]*0.21</f>
        <v>0</v>
      </c>
      <c r="P102" s="18"/>
      <c r="Q102" s="18"/>
      <c r="R102" s="18"/>
      <c r="T102"/>
      <c r="U102" s="19">
        <f>Tabla6122028334210203050607080901020304050[[#This Row],[COMISIONES]]*0.21</f>
        <v>0</v>
      </c>
      <c r="V102"/>
      <c r="W102"/>
      <c r="X102"/>
      <c r="Z102" s="3"/>
      <c r="AA102" s="21">
        <f>Tabla356813212939717274757677787717273747[[#This Row],[COMISIONES]]*0.21</f>
        <v>0</v>
      </c>
      <c r="AB102" s="21">
        <f>Tabla356813212939717274757677787717273747[[#This Row],[COMISIONES]]*0.105</f>
        <v>0</v>
      </c>
      <c r="AC102" s="11"/>
      <c r="AD102" s="21"/>
      <c r="AF102"/>
      <c r="AG102"/>
      <c r="AH102"/>
      <c r="AI102"/>
      <c r="AJ102"/>
      <c r="AK102"/>
      <c r="AL102"/>
      <c r="AM102"/>
      <c r="AN102"/>
      <c r="AO102"/>
    </row>
    <row r="103" spans="1:41" s="6" customFormat="1" x14ac:dyDescent="0.25">
      <c r="A103"/>
      <c r="B103"/>
      <c r="C103"/>
      <c r="D103"/>
      <c r="E103"/>
      <c r="F103"/>
      <c r="H103"/>
      <c r="I103"/>
      <c r="J103"/>
      <c r="K103"/>
      <c r="L103"/>
      <c r="N103" s="18"/>
      <c r="O103" s="11">
        <f>Tabla3510182636414244454647484414243444[[#This Row],[COMISIONES]]*0.21</f>
        <v>0</v>
      </c>
      <c r="P103" s="18"/>
      <c r="Q103" s="18"/>
      <c r="R103" s="18"/>
      <c r="T103"/>
      <c r="U103" s="19">
        <f>Tabla6122028334210203050607080901020304050[[#This Row],[COMISIONES]]*0.21</f>
        <v>0</v>
      </c>
      <c r="V103"/>
      <c r="W103"/>
      <c r="X103"/>
      <c r="Z103" s="3"/>
      <c r="AA103" s="21">
        <f>Tabla356813212939717274757677787717273747[[#This Row],[COMISIONES]]*0.21</f>
        <v>0</v>
      </c>
      <c r="AB103" s="21">
        <f>Tabla356813212939717274757677787717273747[[#This Row],[COMISIONES]]*0.105</f>
        <v>0</v>
      </c>
      <c r="AC103" s="21"/>
      <c r="AD103" s="21"/>
      <c r="AF103"/>
      <c r="AG103"/>
      <c r="AH103"/>
      <c r="AI103"/>
      <c r="AJ103"/>
      <c r="AK103"/>
      <c r="AL103"/>
      <c r="AM103"/>
      <c r="AN103"/>
      <c r="AO103"/>
    </row>
    <row r="104" spans="1:41" s="6" customFormat="1" x14ac:dyDescent="0.25">
      <c r="A104"/>
      <c r="B104"/>
      <c r="C104"/>
      <c r="D104"/>
      <c r="E104"/>
      <c r="F104"/>
      <c r="H104"/>
      <c r="I104"/>
      <c r="J104"/>
      <c r="K104"/>
      <c r="L104"/>
      <c r="N104" s="18"/>
      <c r="O104" s="11">
        <f>Tabla3510182636414244454647484414243444[[#This Row],[COMISIONES]]*0.21</f>
        <v>0</v>
      </c>
      <c r="P104" s="18"/>
      <c r="Q104" s="18"/>
      <c r="R104" s="18"/>
      <c r="T104"/>
      <c r="U104" s="19">
        <f>Tabla6122028334210203050607080901020304050[[#This Row],[COMISIONES]]*0.21</f>
        <v>0</v>
      </c>
      <c r="V104"/>
      <c r="W104"/>
      <c r="X104"/>
      <c r="Z104" s="3"/>
      <c r="AA104" s="21">
        <f>Tabla356813212939717274757677787717273747[[#This Row],[COMISIONES]]*0.21</f>
        <v>0</v>
      </c>
      <c r="AB104" s="21">
        <f>Tabla356813212939717274757677787717273747[[#This Row],[COMISIONES]]*0.105</f>
        <v>0</v>
      </c>
      <c r="AC104" s="1"/>
      <c r="AD104" s="21"/>
      <c r="AF104"/>
      <c r="AG104"/>
      <c r="AH104"/>
      <c r="AI104"/>
      <c r="AJ104"/>
      <c r="AK104"/>
      <c r="AL104"/>
      <c r="AM104"/>
      <c r="AN104"/>
      <c r="AO104"/>
    </row>
    <row r="105" spans="1:41" s="6" customFormat="1" x14ac:dyDescent="0.25">
      <c r="A105"/>
      <c r="B105"/>
      <c r="C105"/>
      <c r="D105"/>
      <c r="E105"/>
      <c r="F105"/>
      <c r="H105"/>
      <c r="I105"/>
      <c r="J105"/>
      <c r="K105"/>
      <c r="L105"/>
      <c r="N105" s="18"/>
      <c r="O105" s="11">
        <f>Tabla3510182636414244454647484414243444[[#This Row],[COMISIONES]]*0.21</f>
        <v>0</v>
      </c>
      <c r="P105" s="18"/>
      <c r="Q105" s="18"/>
      <c r="R105" s="18"/>
      <c r="T105"/>
      <c r="U105" s="19">
        <f>Tabla6122028334210203050607080901020304050[[#This Row],[COMISIONES]]*0.21</f>
        <v>0</v>
      </c>
      <c r="V105"/>
      <c r="W105"/>
      <c r="X105"/>
      <c r="Z105" s="3"/>
      <c r="AA105" s="21">
        <f>Tabla356813212939717274757677787717273747[[#This Row],[COMISIONES]]*0.21</f>
        <v>0</v>
      </c>
      <c r="AB105" s="21">
        <f>Tabla356813212939717274757677787717273747[[#This Row],[COMISIONES]]*0.105</f>
        <v>0</v>
      </c>
      <c r="AC105" s="1"/>
      <c r="AD105"/>
      <c r="AF105"/>
      <c r="AG105"/>
      <c r="AH105"/>
      <c r="AI105"/>
      <c r="AJ105"/>
      <c r="AK105"/>
      <c r="AL105"/>
      <c r="AM105"/>
      <c r="AN105"/>
      <c r="AO105"/>
    </row>
    <row r="106" spans="1:41" s="6" customFormat="1" x14ac:dyDescent="0.25">
      <c r="A106"/>
      <c r="B106"/>
      <c r="C106"/>
      <c r="D106"/>
      <c r="E106"/>
      <c r="F106"/>
      <c r="H106"/>
      <c r="I106"/>
      <c r="J106"/>
      <c r="K106"/>
      <c r="L106"/>
      <c r="N106" s="18"/>
      <c r="O106" s="11">
        <f>Tabla3510182636414244454647484414243444[[#This Row],[COMISIONES]]*0.21</f>
        <v>0</v>
      </c>
      <c r="P106" s="18"/>
      <c r="Q106" s="18"/>
      <c r="R106" s="18"/>
      <c r="T106"/>
      <c r="U106" s="19">
        <f>Tabla6122028334210203050607080901020304050[[#This Row],[COMISIONES]]*0.21</f>
        <v>0</v>
      </c>
      <c r="V106"/>
      <c r="W106"/>
      <c r="X106"/>
      <c r="Z106" s="3"/>
      <c r="AA106" s="21">
        <f>Tabla356813212939717274757677787717273747[[#This Row],[COMISIONES]]*0.21</f>
        <v>0</v>
      </c>
      <c r="AB106" s="21">
        <f>Tabla356813212939717274757677787717273747[[#This Row],[COMISIONES]]*0.105</f>
        <v>0</v>
      </c>
      <c r="AC106" s="1"/>
      <c r="AD106" s="21"/>
      <c r="AF106"/>
      <c r="AG106"/>
      <c r="AH106"/>
      <c r="AI106"/>
      <c r="AJ106"/>
      <c r="AK106"/>
      <c r="AL106"/>
      <c r="AM106"/>
      <c r="AN106"/>
      <c r="AO106"/>
    </row>
    <row r="107" spans="1:41" s="6" customFormat="1" x14ac:dyDescent="0.25">
      <c r="A107"/>
      <c r="B107"/>
      <c r="C107"/>
      <c r="D107"/>
      <c r="E107"/>
      <c r="F107"/>
      <c r="H107"/>
      <c r="I107"/>
      <c r="J107"/>
      <c r="K107"/>
      <c r="L107"/>
      <c r="N107" s="18"/>
      <c r="O107" s="11">
        <f>Tabla3510182636414244454647484414243444[[#This Row],[COMISIONES]]*0.21</f>
        <v>0</v>
      </c>
      <c r="P107" s="18"/>
      <c r="Q107" s="18"/>
      <c r="R107" s="18"/>
      <c r="T107"/>
      <c r="U107" s="19">
        <f>Tabla6122028334210203050607080901020304050[[#This Row],[COMISIONES]]*0.21</f>
        <v>0</v>
      </c>
      <c r="V107"/>
      <c r="W107"/>
      <c r="X107"/>
      <c r="Z107" s="3"/>
      <c r="AA107" s="21">
        <f>Tabla356813212939717274757677787717273747[[#This Row],[COMISIONES]]*0.21</f>
        <v>0</v>
      </c>
      <c r="AB107" s="21">
        <f>Tabla356813212939717274757677787717273747[[#This Row],[COMISIONES]]*0.105</f>
        <v>0</v>
      </c>
      <c r="AC107" s="1"/>
      <c r="AD107"/>
      <c r="AF107"/>
      <c r="AG107"/>
      <c r="AH107"/>
      <c r="AI107"/>
      <c r="AJ107"/>
      <c r="AK107"/>
      <c r="AL107"/>
      <c r="AM107"/>
      <c r="AN107"/>
      <c r="AO107"/>
    </row>
    <row r="108" spans="1:41" s="6" customFormat="1" x14ac:dyDescent="0.25">
      <c r="A108"/>
      <c r="B108"/>
      <c r="C108"/>
      <c r="D108"/>
      <c r="E108"/>
      <c r="F108"/>
      <c r="H108"/>
      <c r="I108"/>
      <c r="J108"/>
      <c r="K108"/>
      <c r="L108"/>
      <c r="N108" s="18"/>
      <c r="O108" s="11">
        <f>Tabla3510182636414244454647484414243444[[#This Row],[COMISIONES]]*0.21</f>
        <v>0</v>
      </c>
      <c r="P108" s="18"/>
      <c r="Q108" s="18"/>
      <c r="R108" s="18"/>
      <c r="T108"/>
      <c r="U108" s="19">
        <f>Tabla6122028334210203050607080901020304050[[#This Row],[COMISIONES]]*0.21</f>
        <v>0</v>
      </c>
      <c r="V108"/>
      <c r="W108"/>
      <c r="X108"/>
      <c r="Z108" s="3"/>
      <c r="AA108" s="21">
        <f>Tabla356813212939717274757677787717273747[[#This Row],[COMISIONES]]*0.21</f>
        <v>0</v>
      </c>
      <c r="AB108" s="21">
        <f>Tabla356813212939717274757677787717273747[[#This Row],[COMISIONES]]*0.105</f>
        <v>0</v>
      </c>
      <c r="AC108" s="1"/>
      <c r="AD108"/>
      <c r="AF108"/>
      <c r="AG108"/>
      <c r="AH108"/>
      <c r="AI108"/>
      <c r="AJ108"/>
      <c r="AK108"/>
      <c r="AL108"/>
      <c r="AM108"/>
      <c r="AN108"/>
      <c r="AO108"/>
    </row>
    <row r="109" spans="1:41" s="6" customFormat="1" x14ac:dyDescent="0.25">
      <c r="A109"/>
      <c r="B109"/>
      <c r="C109"/>
      <c r="D109"/>
      <c r="E109"/>
      <c r="F109"/>
      <c r="H109"/>
      <c r="I109"/>
      <c r="J109"/>
      <c r="K109"/>
      <c r="L109"/>
      <c r="N109" s="18"/>
      <c r="O109" s="11">
        <f>Tabla3510182636414244454647484414243444[[#This Row],[COMISIONES]]*0.21</f>
        <v>0</v>
      </c>
      <c r="P109" s="18"/>
      <c r="Q109" s="18"/>
      <c r="R109" s="18"/>
      <c r="T109"/>
      <c r="U109" s="19">
        <f>Tabla6122028334210203050607080901020304050[[#This Row],[COMISIONES]]*0.21</f>
        <v>0</v>
      </c>
      <c r="V109"/>
      <c r="W109"/>
      <c r="X109"/>
      <c r="Z109" s="3"/>
      <c r="AA109" s="21">
        <f>Tabla356813212939717274757677787717273747[[#This Row],[COMISIONES]]*0.21</f>
        <v>0</v>
      </c>
      <c r="AB109" s="21">
        <f>Tabla356813212939717274757677787717273747[[#This Row],[COMISIONES]]*0.105</f>
        <v>0</v>
      </c>
      <c r="AC109" s="1"/>
      <c r="AD109"/>
      <c r="AF109"/>
      <c r="AG109"/>
      <c r="AH109"/>
      <c r="AI109"/>
      <c r="AJ109"/>
      <c r="AK109"/>
      <c r="AL109"/>
      <c r="AM109"/>
      <c r="AN109"/>
      <c r="AO109"/>
    </row>
    <row r="110" spans="1:41" s="6" customFormat="1" x14ac:dyDescent="0.25">
      <c r="A110"/>
      <c r="B110"/>
      <c r="C110"/>
      <c r="D110"/>
      <c r="E110"/>
      <c r="F110"/>
      <c r="H110"/>
      <c r="I110"/>
      <c r="J110"/>
      <c r="K110"/>
      <c r="L110"/>
      <c r="N110" s="18"/>
      <c r="O110" s="11">
        <f>Tabla3510182636414244454647484414243444[[#This Row],[COMISIONES]]*0.21</f>
        <v>0</v>
      </c>
      <c r="P110" s="18"/>
      <c r="Q110" s="18"/>
      <c r="R110" s="18"/>
      <c r="T110"/>
      <c r="U110" s="19">
        <f>Tabla6122028334210203050607080901020304050[[#This Row],[COMISIONES]]*0.21</f>
        <v>0</v>
      </c>
      <c r="V110"/>
      <c r="W110"/>
      <c r="X110"/>
      <c r="Z110" s="3"/>
      <c r="AA110" s="21">
        <f>Tabla356813212939717274757677787717273747[[#This Row],[COMISIONES]]*0.21</f>
        <v>0</v>
      </c>
      <c r="AB110" s="21">
        <f>Tabla356813212939717274757677787717273747[[#This Row],[COMISIONES]]*0.105</f>
        <v>0</v>
      </c>
      <c r="AC110" s="1"/>
      <c r="AD110" s="21"/>
      <c r="AF110"/>
      <c r="AG110"/>
      <c r="AH110"/>
      <c r="AI110"/>
      <c r="AJ110"/>
      <c r="AK110"/>
      <c r="AL110"/>
      <c r="AM110"/>
      <c r="AN110"/>
      <c r="AO110"/>
    </row>
    <row r="111" spans="1:41" s="6" customFormat="1" x14ac:dyDescent="0.25">
      <c r="A111"/>
      <c r="B111"/>
      <c r="C111"/>
      <c r="D111"/>
      <c r="E111"/>
      <c r="F111"/>
      <c r="H111"/>
      <c r="I111"/>
      <c r="J111"/>
      <c r="K111"/>
      <c r="L111"/>
      <c r="N111" s="18"/>
      <c r="O111" s="11">
        <f>Tabla3510182636414244454647484414243444[[#This Row],[COMISIONES]]*0.21</f>
        <v>0</v>
      </c>
      <c r="P111" s="18"/>
      <c r="Q111" s="18"/>
      <c r="R111" s="18"/>
      <c r="T111"/>
      <c r="U111" s="19">
        <f>Tabla6122028334210203050607080901020304050[[#This Row],[COMISIONES]]*0.21</f>
        <v>0</v>
      </c>
      <c r="V111"/>
      <c r="W111"/>
      <c r="X111"/>
      <c r="Z111" s="3"/>
      <c r="AA111" s="21">
        <f>Tabla356813212939717274757677787717273747[[#This Row],[COMISIONES]]*0.21</f>
        <v>0</v>
      </c>
      <c r="AB111" s="21">
        <f>Tabla356813212939717274757677787717273747[[#This Row],[COMISIONES]]*0.105</f>
        <v>0</v>
      </c>
      <c r="AC111" s="1"/>
      <c r="AD111" s="21"/>
      <c r="AF111"/>
      <c r="AG111"/>
      <c r="AH111"/>
      <c r="AI111"/>
      <c r="AJ111"/>
      <c r="AK111"/>
      <c r="AL111"/>
      <c r="AM111"/>
      <c r="AN111"/>
      <c r="AO111"/>
    </row>
    <row r="112" spans="1:41" s="6" customFormat="1" x14ac:dyDescent="0.25">
      <c r="A112"/>
      <c r="B112"/>
      <c r="C112"/>
      <c r="D112"/>
      <c r="E112"/>
      <c r="F112"/>
      <c r="H112"/>
      <c r="I112"/>
      <c r="J112"/>
      <c r="K112"/>
      <c r="L112"/>
      <c r="N112" s="18"/>
      <c r="O112" s="11">
        <f>Tabla3510182636414244454647484414243444[[#This Row],[COMISIONES]]*0.21</f>
        <v>0</v>
      </c>
      <c r="P112" s="18"/>
      <c r="Q112" s="18"/>
      <c r="R112" s="18"/>
      <c r="T112"/>
      <c r="U112" s="19">
        <f>Tabla6122028334210203050607080901020304050[[#This Row],[COMISIONES]]*0.21</f>
        <v>0</v>
      </c>
      <c r="V112"/>
      <c r="W112"/>
      <c r="X112"/>
      <c r="Z112" s="3"/>
      <c r="AA112" s="21">
        <f>Tabla356813212939717274757677787717273747[[#This Row],[COMISIONES]]*0.21</f>
        <v>0</v>
      </c>
      <c r="AB112" s="21">
        <f>Tabla356813212939717274757677787717273747[[#This Row],[COMISIONES]]*0.105</f>
        <v>0</v>
      </c>
      <c r="AC112" s="21"/>
      <c r="AD112" s="21"/>
      <c r="AF112"/>
      <c r="AG112"/>
      <c r="AH112"/>
      <c r="AI112"/>
      <c r="AJ112"/>
      <c r="AK112"/>
      <c r="AL112"/>
      <c r="AM112"/>
      <c r="AN112"/>
      <c r="AO112"/>
    </row>
    <row r="113" spans="1:41" s="6" customFormat="1" x14ac:dyDescent="0.25">
      <c r="A113"/>
      <c r="B113"/>
      <c r="C113"/>
      <c r="D113"/>
      <c r="E113"/>
      <c r="F113"/>
      <c r="H113"/>
      <c r="I113"/>
      <c r="J113"/>
      <c r="K113"/>
      <c r="L113"/>
      <c r="N113" s="18"/>
      <c r="O113" s="11">
        <f>Tabla3510182636414244454647484414243444[[#This Row],[COMISIONES]]*0.21</f>
        <v>0</v>
      </c>
      <c r="P113" s="18"/>
      <c r="Q113" s="18"/>
      <c r="R113" s="18"/>
      <c r="T113"/>
      <c r="U113" s="19">
        <f>Tabla6122028334210203050607080901020304050[[#This Row],[COMISIONES]]*0.21</f>
        <v>0</v>
      </c>
      <c r="V113"/>
      <c r="W113"/>
      <c r="X113"/>
      <c r="Z113" s="3"/>
      <c r="AA113" s="21">
        <f>Tabla356813212939717274757677787717273747[[#This Row],[COMISIONES]]*0.21</f>
        <v>0</v>
      </c>
      <c r="AB113" s="21">
        <f>Tabla356813212939717274757677787717273747[[#This Row],[COMISIONES]]*0.105</f>
        <v>0</v>
      </c>
      <c r="AC113" s="21"/>
      <c r="AD113" s="21"/>
      <c r="AF113"/>
      <c r="AG113"/>
      <c r="AH113"/>
      <c r="AI113"/>
      <c r="AJ113"/>
      <c r="AK113"/>
      <c r="AL113"/>
      <c r="AM113"/>
      <c r="AN113"/>
      <c r="AO113"/>
    </row>
    <row r="114" spans="1:41" s="6" customFormat="1" x14ac:dyDescent="0.25">
      <c r="A114"/>
      <c r="B114"/>
      <c r="C114"/>
      <c r="D114"/>
      <c r="E114"/>
      <c r="F114"/>
      <c r="H114"/>
      <c r="I114"/>
      <c r="J114"/>
      <c r="K114"/>
      <c r="L114"/>
      <c r="N114" s="18"/>
      <c r="O114" s="11">
        <f>Tabla3510182636414244454647484414243444[[#This Row],[COMISIONES]]*0.21</f>
        <v>0</v>
      </c>
      <c r="P114" s="18"/>
      <c r="Q114" s="18"/>
      <c r="R114" s="18"/>
      <c r="T114"/>
      <c r="U114" s="19">
        <f>Tabla6122028334210203050607080901020304050[[#This Row],[COMISIONES]]*0.21</f>
        <v>0</v>
      </c>
      <c r="V114"/>
      <c r="W114"/>
      <c r="X114"/>
      <c r="Z114" s="3"/>
      <c r="AA114" s="21">
        <f>Tabla356813212939717274757677787717273747[[#This Row],[COMISIONES]]*0.21</f>
        <v>0</v>
      </c>
      <c r="AB114" s="21">
        <f>Tabla356813212939717274757677787717273747[[#This Row],[COMISIONES]]*0.105</f>
        <v>0</v>
      </c>
      <c r="AC114" s="1"/>
      <c r="AD114" s="21"/>
      <c r="AF114"/>
      <c r="AG114"/>
      <c r="AH114"/>
      <c r="AI114"/>
      <c r="AJ114"/>
      <c r="AK114"/>
      <c r="AL114"/>
      <c r="AM114"/>
      <c r="AN114"/>
      <c r="AO114"/>
    </row>
    <row r="115" spans="1:41" s="6" customFormat="1" x14ac:dyDescent="0.25">
      <c r="A115"/>
      <c r="B115"/>
      <c r="C115"/>
      <c r="D115"/>
      <c r="E115"/>
      <c r="F115"/>
      <c r="H115"/>
      <c r="I115"/>
      <c r="J115"/>
      <c r="K115"/>
      <c r="L115"/>
      <c r="N115" s="18"/>
      <c r="O115" s="11">
        <f>Tabla3510182636414244454647484414243444[[#This Row],[COMISIONES]]*0.21</f>
        <v>0</v>
      </c>
      <c r="P115" s="18"/>
      <c r="Q115" s="18"/>
      <c r="R115" s="18"/>
      <c r="T115"/>
      <c r="U115" s="19">
        <f>Tabla6122028334210203050607080901020304050[[#This Row],[COMISIONES]]*0.21</f>
        <v>0</v>
      </c>
      <c r="V115"/>
      <c r="W115"/>
      <c r="X115"/>
      <c r="Z115" s="21"/>
      <c r="AA115" s="21">
        <f>Tabla356813212939717274757677787717273747[[#This Row],[COMISIONES]]*0.21</f>
        <v>0</v>
      </c>
      <c r="AB115" s="21">
        <f>Tabla356813212939717274757677787717273747[[#This Row],[COMISIONES]]*0.105</f>
        <v>0</v>
      </c>
      <c r="AC115" s="1"/>
      <c r="AD115" s="21"/>
      <c r="AF115"/>
      <c r="AG115"/>
      <c r="AH115"/>
      <c r="AI115"/>
      <c r="AJ115"/>
      <c r="AK115"/>
      <c r="AL115"/>
      <c r="AM115"/>
      <c r="AN115"/>
      <c r="AO115"/>
    </row>
    <row r="116" spans="1:41" s="6" customFormat="1" x14ac:dyDescent="0.25">
      <c r="A116"/>
      <c r="B116"/>
      <c r="C116"/>
      <c r="D116"/>
      <c r="E116"/>
      <c r="F116"/>
      <c r="H116"/>
      <c r="I116"/>
      <c r="J116"/>
      <c r="K116"/>
      <c r="L116"/>
      <c r="N116" s="18"/>
      <c r="O116" s="11">
        <f>Tabla3510182636414244454647484414243444[[#This Row],[COMISIONES]]*0.21</f>
        <v>0</v>
      </c>
      <c r="P116" s="18"/>
      <c r="Q116" s="18"/>
      <c r="R116" s="18"/>
      <c r="T116"/>
      <c r="U116" s="19">
        <f>Tabla6122028334210203050607080901020304050[[#This Row],[COMISIONES]]*0.21</f>
        <v>0</v>
      </c>
      <c r="V116"/>
      <c r="W116"/>
      <c r="X116"/>
      <c r="Z116" s="3"/>
      <c r="AA116" s="21">
        <f>Tabla356813212939717274757677787717273747[[#This Row],[COMISIONES]]*0.21</f>
        <v>0</v>
      </c>
      <c r="AB116" s="21">
        <f>Tabla356813212939717274757677787717273747[[#This Row],[COMISIONES]]*0.105</f>
        <v>0</v>
      </c>
      <c r="AC116" s="1"/>
      <c r="AD116" s="21"/>
      <c r="AF116"/>
      <c r="AG116"/>
      <c r="AH116"/>
      <c r="AI116"/>
      <c r="AJ116"/>
      <c r="AK116"/>
      <c r="AL116"/>
      <c r="AM116"/>
      <c r="AN116"/>
      <c r="AO116"/>
    </row>
    <row r="117" spans="1:41" s="6" customFormat="1" x14ac:dyDescent="0.25">
      <c r="A117"/>
      <c r="B117"/>
      <c r="C117"/>
      <c r="D117"/>
      <c r="E117"/>
      <c r="F117"/>
      <c r="H117"/>
      <c r="I117"/>
      <c r="J117"/>
      <c r="K117"/>
      <c r="L117"/>
      <c r="N117" s="18"/>
      <c r="O117" s="11">
        <f>Tabla3510182636414244454647484414243444[[#This Row],[COMISIONES]]*0.21</f>
        <v>0</v>
      </c>
      <c r="P117" s="18"/>
      <c r="Q117" s="18"/>
      <c r="R117" s="18"/>
      <c r="T117"/>
      <c r="U117" s="19">
        <f>Tabla6122028334210203050607080901020304050[[#This Row],[COMISIONES]]*0.21</f>
        <v>0</v>
      </c>
      <c r="V117"/>
      <c r="W117"/>
      <c r="X117"/>
      <c r="Z117" s="3"/>
      <c r="AA117" s="21">
        <f>Tabla356813212939717274757677787717273747[[#This Row],[COMISIONES]]*0.21</f>
        <v>0</v>
      </c>
      <c r="AB117" s="21">
        <f>Tabla356813212939717274757677787717273747[[#This Row],[COMISIONES]]*0.105</f>
        <v>0</v>
      </c>
      <c r="AC117" s="1"/>
      <c r="AD117"/>
      <c r="AF117"/>
      <c r="AG117"/>
      <c r="AH117"/>
      <c r="AI117"/>
      <c r="AJ117"/>
      <c r="AK117"/>
      <c r="AL117"/>
      <c r="AM117"/>
      <c r="AN117"/>
      <c r="AO117"/>
    </row>
    <row r="118" spans="1:41" s="6" customFormat="1" x14ac:dyDescent="0.25">
      <c r="A118"/>
      <c r="B118"/>
      <c r="C118"/>
      <c r="D118"/>
      <c r="E118"/>
      <c r="F118"/>
      <c r="H118"/>
      <c r="I118"/>
      <c r="J118"/>
      <c r="K118"/>
      <c r="L118"/>
      <c r="N118" s="18"/>
      <c r="O118" s="11">
        <f>Tabla3510182636414244454647484414243444[[#This Row],[COMISIONES]]*0.21</f>
        <v>0</v>
      </c>
      <c r="P118" s="18"/>
      <c r="Q118" s="18"/>
      <c r="R118" s="18"/>
      <c r="T118"/>
      <c r="U118" s="19">
        <f>Tabla6122028334210203050607080901020304050[[#This Row],[COMISIONES]]*0.21</f>
        <v>0</v>
      </c>
      <c r="V118"/>
      <c r="W118"/>
      <c r="X118"/>
      <c r="Z118" s="3"/>
      <c r="AA118" s="21">
        <f>Tabla356813212939717274757677787717273747[[#This Row],[COMISIONES]]*0.21</f>
        <v>0</v>
      </c>
      <c r="AB118" s="21">
        <f>Tabla356813212939717274757677787717273747[[#This Row],[COMISIONES]]*0.105</f>
        <v>0</v>
      </c>
      <c r="AC118" s="1"/>
      <c r="AD118"/>
      <c r="AF118"/>
      <c r="AG118"/>
      <c r="AH118"/>
      <c r="AI118"/>
      <c r="AJ118"/>
      <c r="AK118"/>
      <c r="AL118"/>
      <c r="AM118"/>
      <c r="AN118"/>
      <c r="AO118"/>
    </row>
    <row r="119" spans="1:41" s="6" customFormat="1" x14ac:dyDescent="0.25">
      <c r="A119"/>
      <c r="B119"/>
      <c r="C119"/>
      <c r="D119"/>
      <c r="E119"/>
      <c r="F119"/>
      <c r="H119"/>
      <c r="I119"/>
      <c r="J119"/>
      <c r="K119"/>
      <c r="L119"/>
      <c r="N119" s="18"/>
      <c r="O119" s="11">
        <f>Tabla3510182636414244454647484414243444[[#This Row],[COMISIONES]]*0.21</f>
        <v>0</v>
      </c>
      <c r="P119" s="18"/>
      <c r="Q119" s="18"/>
      <c r="R119" s="18"/>
      <c r="T119"/>
      <c r="U119" s="19">
        <f>Tabla6122028334210203050607080901020304050[[#This Row],[COMISIONES]]*0.21</f>
        <v>0</v>
      </c>
      <c r="V119"/>
      <c r="W119"/>
      <c r="X119"/>
      <c r="Z119" s="3"/>
      <c r="AA119" s="21">
        <f>Tabla356813212939717274757677787717273747[[#This Row],[COMISIONES]]*0.21</f>
        <v>0</v>
      </c>
      <c r="AB119" s="21">
        <f>Tabla356813212939717274757677787717273747[[#This Row],[COMISIONES]]*0.105</f>
        <v>0</v>
      </c>
      <c r="AC119" s="21"/>
      <c r="AD119" s="21"/>
      <c r="AF119"/>
      <c r="AG119"/>
      <c r="AH119"/>
      <c r="AI119"/>
      <c r="AJ119"/>
      <c r="AK119"/>
      <c r="AL119"/>
      <c r="AM119"/>
      <c r="AN119"/>
      <c r="AO119"/>
    </row>
    <row r="120" spans="1:41" s="6" customFormat="1" x14ac:dyDescent="0.25">
      <c r="A120"/>
      <c r="B120"/>
      <c r="C120"/>
      <c r="D120"/>
      <c r="E120"/>
      <c r="F120"/>
      <c r="H120"/>
      <c r="I120"/>
      <c r="J120"/>
      <c r="K120"/>
      <c r="L120"/>
      <c r="N120" s="18"/>
      <c r="O120" s="11">
        <f>Tabla3510182636414244454647484414243444[[#This Row],[COMISIONES]]*0.21</f>
        <v>0</v>
      </c>
      <c r="P120" s="18"/>
      <c r="Q120" s="18"/>
      <c r="R120" s="18"/>
      <c r="T120"/>
      <c r="U120" s="19">
        <f>Tabla6122028334210203050607080901020304050[[#This Row],[COMISIONES]]*0.21</f>
        <v>0</v>
      </c>
      <c r="V120"/>
      <c r="W120"/>
      <c r="X120"/>
      <c r="Z120" s="3"/>
      <c r="AA120" s="21">
        <f>Tabla356813212939717274757677787717273747[[#This Row],[COMISIONES]]*0.21</f>
        <v>0</v>
      </c>
      <c r="AB120" s="21">
        <f>Tabla356813212939717274757677787717273747[[#This Row],[COMISIONES]]*0.105</f>
        <v>0</v>
      </c>
      <c r="AC120" s="21"/>
      <c r="AD120" s="21"/>
      <c r="AF120"/>
      <c r="AG120"/>
      <c r="AH120"/>
      <c r="AI120"/>
      <c r="AJ120"/>
      <c r="AK120"/>
      <c r="AL120"/>
      <c r="AM120"/>
      <c r="AN120"/>
      <c r="AO120"/>
    </row>
    <row r="121" spans="1:41" s="6" customFormat="1" x14ac:dyDescent="0.25">
      <c r="A121"/>
      <c r="B121"/>
      <c r="C121"/>
      <c r="D121"/>
      <c r="E121"/>
      <c r="F121"/>
      <c r="H121"/>
      <c r="I121"/>
      <c r="J121"/>
      <c r="K121"/>
      <c r="L121"/>
      <c r="N121" s="18"/>
      <c r="O121" s="11">
        <f>Tabla3510182636414244454647484414243444[[#This Row],[COMISIONES]]*0.21</f>
        <v>0</v>
      </c>
      <c r="P121" s="18"/>
      <c r="Q121" s="18"/>
      <c r="R121" s="18"/>
      <c r="T121"/>
      <c r="U121" s="19">
        <f>Tabla6122028334210203050607080901020304050[[#This Row],[COMISIONES]]*0.21</f>
        <v>0</v>
      </c>
      <c r="V121"/>
      <c r="W121"/>
      <c r="X121"/>
      <c r="Z121" s="3"/>
      <c r="AA121" s="21">
        <f>Tabla356813212939717274757677787717273747[[#This Row],[COMISIONES]]*0.21</f>
        <v>0</v>
      </c>
      <c r="AB121" s="21">
        <f>Tabla356813212939717274757677787717273747[[#This Row],[COMISIONES]]*0.105</f>
        <v>0</v>
      </c>
      <c r="AC121" s="21"/>
      <c r="AD121" s="21"/>
      <c r="AF121"/>
      <c r="AG121"/>
      <c r="AH121"/>
      <c r="AI121"/>
      <c r="AJ121"/>
      <c r="AK121"/>
      <c r="AL121"/>
      <c r="AM121"/>
      <c r="AN121"/>
      <c r="AO121"/>
    </row>
    <row r="122" spans="1:41" s="6" customFormat="1" x14ac:dyDescent="0.25">
      <c r="A122"/>
      <c r="B122"/>
      <c r="C122"/>
      <c r="D122"/>
      <c r="E122"/>
      <c r="F122"/>
      <c r="H122"/>
      <c r="I122"/>
      <c r="J122"/>
      <c r="K122"/>
      <c r="L122"/>
      <c r="N122" s="18"/>
      <c r="O122" s="11">
        <f>Tabla3510182636414244454647484414243444[[#This Row],[COMISIONES]]*0.21</f>
        <v>0</v>
      </c>
      <c r="P122" s="18"/>
      <c r="Q122" s="18"/>
      <c r="R122" s="18"/>
      <c r="T122"/>
      <c r="U122" s="19">
        <f>Tabla6122028334210203050607080901020304050[[#This Row],[COMISIONES]]*0.21</f>
        <v>0</v>
      </c>
      <c r="V122"/>
      <c r="W122"/>
      <c r="X122"/>
      <c r="Z122" s="3"/>
      <c r="AA122" s="21">
        <f>Tabla356813212939717274757677787717273747[[#This Row],[COMISIONES]]*0.21</f>
        <v>0</v>
      </c>
      <c r="AB122" s="21">
        <f>Tabla356813212939717274757677787717273747[[#This Row],[COMISIONES]]*0.105</f>
        <v>0</v>
      </c>
      <c r="AC122" s="21"/>
      <c r="AD122" s="21"/>
      <c r="AF122"/>
      <c r="AG122"/>
      <c r="AH122"/>
      <c r="AI122"/>
      <c r="AJ122"/>
      <c r="AK122"/>
      <c r="AL122"/>
      <c r="AM122"/>
      <c r="AN122"/>
      <c r="AO122"/>
    </row>
    <row r="123" spans="1:41" s="6" customFormat="1" x14ac:dyDescent="0.25">
      <c r="A123"/>
      <c r="B123"/>
      <c r="C123"/>
      <c r="D123"/>
      <c r="E123"/>
      <c r="F123"/>
      <c r="H123"/>
      <c r="I123"/>
      <c r="J123"/>
      <c r="K123"/>
      <c r="L123"/>
      <c r="N123" s="18"/>
      <c r="O123" s="18"/>
      <c r="P123" s="18"/>
      <c r="Q123" s="18"/>
      <c r="R123" s="18"/>
      <c r="T123" s="4">
        <f>SUBTOTAL(109,Tabla6122028334210203050607080901020304050[COMISIONES])</f>
        <v>0</v>
      </c>
      <c r="U123" s="4">
        <f>SUBTOTAL(109,Tabla6122028334210203050607080901020304050[IVA 21])</f>
        <v>0</v>
      </c>
      <c r="V123" s="4">
        <f>SUBTOTAL(109,Tabla6122028334210203050607080901020304050[IVA 10,5])</f>
        <v>0</v>
      </c>
      <c r="W123" s="4">
        <f>SUBTOTAL(109,Tabla6122028334210203050607080901020304050[Ret IIBB Caba])</f>
        <v>0</v>
      </c>
      <c r="X123" s="4">
        <f>SUBTOTAL(109,Tabla6122028334210203050607080901020304050[PERC IVA])</f>
        <v>0</v>
      </c>
      <c r="Z123" s="3"/>
      <c r="AA123" s="21">
        <f>Tabla356813212939717274757677787717273747[[#This Row],[COMISIONES]]*0.21</f>
        <v>0</v>
      </c>
      <c r="AB123" s="21">
        <f>Tabla356813212939717274757677787717273747[[#This Row],[COMISIONES]]*0.105</f>
        <v>0</v>
      </c>
      <c r="AC123" s="21"/>
      <c r="AD123" s="21"/>
      <c r="AF123"/>
      <c r="AG123"/>
      <c r="AH123"/>
      <c r="AI123"/>
      <c r="AJ123"/>
      <c r="AK123"/>
      <c r="AL123"/>
      <c r="AM123"/>
      <c r="AN123"/>
      <c r="AO123"/>
    </row>
    <row r="124" spans="1:41" s="6" customFormat="1" x14ac:dyDescent="0.25">
      <c r="A124"/>
      <c r="B124"/>
      <c r="C124"/>
      <c r="D124"/>
      <c r="E124"/>
      <c r="F124"/>
      <c r="H124"/>
      <c r="I124"/>
      <c r="J124"/>
      <c r="K124"/>
      <c r="L124"/>
      <c r="N124" s="18"/>
      <c r="O124" s="18"/>
      <c r="P124" s="18"/>
      <c r="Q124" s="18"/>
      <c r="R124" s="18"/>
      <c r="T124"/>
      <c r="U124"/>
      <c r="V124"/>
      <c r="W124"/>
      <c r="X124"/>
      <c r="Z124" s="3"/>
      <c r="AA124" s="21">
        <f>Tabla356813212939717274757677787717273747[[#This Row],[COMISIONES]]*0.21</f>
        <v>0</v>
      </c>
      <c r="AB124" s="21">
        <f>Tabla356813212939717274757677787717273747[[#This Row],[COMISIONES]]*0.105</f>
        <v>0</v>
      </c>
      <c r="AC124" s="21"/>
      <c r="AD124" s="21"/>
      <c r="AF124"/>
      <c r="AG124"/>
      <c r="AH124"/>
      <c r="AI124"/>
      <c r="AJ124"/>
      <c r="AK124"/>
      <c r="AL124"/>
      <c r="AM124"/>
      <c r="AN124"/>
      <c r="AO124"/>
    </row>
    <row r="125" spans="1:41" s="6" customFormat="1" x14ac:dyDescent="0.25">
      <c r="A125"/>
      <c r="B125"/>
      <c r="C125"/>
      <c r="D125"/>
      <c r="E125"/>
      <c r="F125"/>
      <c r="H125"/>
      <c r="I125"/>
      <c r="J125"/>
      <c r="K125"/>
      <c r="L125"/>
      <c r="N125" s="18"/>
      <c r="O125" s="18"/>
      <c r="P125" s="18"/>
      <c r="Q125" s="18"/>
      <c r="R125" s="18"/>
      <c r="T125"/>
      <c r="U125"/>
      <c r="V125"/>
      <c r="W125"/>
      <c r="X125"/>
      <c r="Z125" s="3"/>
      <c r="AA125" s="21">
        <f>Tabla356813212939717274757677787717273747[[#This Row],[COMISIONES]]*0.21</f>
        <v>0</v>
      </c>
      <c r="AB125" s="21">
        <f>Tabla356813212939717274757677787717273747[[#This Row],[COMISIONES]]*0.105</f>
        <v>0</v>
      </c>
      <c r="AC125" s="21"/>
      <c r="AD125" s="21"/>
      <c r="AF125"/>
      <c r="AG125"/>
      <c r="AH125"/>
      <c r="AI125"/>
      <c r="AJ125"/>
      <c r="AK125"/>
      <c r="AL125"/>
      <c r="AM125"/>
      <c r="AN125"/>
      <c r="AO125"/>
    </row>
    <row r="126" spans="1:41" s="6" customFormat="1" x14ac:dyDescent="0.25">
      <c r="A126"/>
      <c r="B126"/>
      <c r="C126"/>
      <c r="D126"/>
      <c r="E126"/>
      <c r="F126"/>
      <c r="H126"/>
      <c r="I126"/>
      <c r="J126"/>
      <c r="K126"/>
      <c r="L126"/>
      <c r="N126" s="18"/>
      <c r="O126" s="18"/>
      <c r="P126" s="18"/>
      <c r="Q126" s="18"/>
      <c r="R126" s="18"/>
      <c r="T126"/>
      <c r="U126"/>
      <c r="V126"/>
      <c r="W126"/>
      <c r="X126"/>
      <c r="Z126" s="3"/>
      <c r="AA126" s="21">
        <f>Tabla356813212939717274757677787717273747[[#This Row],[COMISIONES]]*0.21</f>
        <v>0</v>
      </c>
      <c r="AB126" s="21">
        <f>Tabla356813212939717274757677787717273747[[#This Row],[COMISIONES]]*0.105</f>
        <v>0</v>
      </c>
      <c r="AC126" s="21"/>
      <c r="AD126" s="21"/>
      <c r="AF126"/>
      <c r="AG126"/>
      <c r="AH126"/>
      <c r="AI126"/>
      <c r="AJ126"/>
      <c r="AK126"/>
      <c r="AL126"/>
      <c r="AM126"/>
      <c r="AN126"/>
      <c r="AO126"/>
    </row>
    <row r="127" spans="1:41" s="6" customFormat="1" x14ac:dyDescent="0.25">
      <c r="A127"/>
      <c r="B127"/>
      <c r="C127"/>
      <c r="D127"/>
      <c r="E127"/>
      <c r="F127"/>
      <c r="H127"/>
      <c r="I127"/>
      <c r="J127"/>
      <c r="K127"/>
      <c r="L127"/>
      <c r="N127" s="18"/>
      <c r="O127" s="18"/>
      <c r="P127" s="18"/>
      <c r="Q127" s="18"/>
      <c r="R127" s="18"/>
      <c r="T127"/>
      <c r="U127"/>
      <c r="V127"/>
      <c r="W127"/>
      <c r="X127"/>
      <c r="Z127" s="3"/>
      <c r="AA127" s="21">
        <f>Tabla356813212939717274757677787717273747[[#This Row],[COMISIONES]]*0.21</f>
        <v>0</v>
      </c>
      <c r="AB127" s="21">
        <f>Tabla356813212939717274757677787717273747[[#This Row],[COMISIONES]]*0.105</f>
        <v>0</v>
      </c>
      <c r="AC127" s="21"/>
      <c r="AD127" s="21"/>
      <c r="AF127"/>
      <c r="AG127"/>
      <c r="AH127"/>
      <c r="AI127"/>
      <c r="AJ127"/>
      <c r="AK127"/>
      <c r="AL127"/>
      <c r="AM127"/>
      <c r="AN127"/>
      <c r="AO127"/>
    </row>
    <row r="128" spans="1:41" s="6" customFormat="1" x14ac:dyDescent="0.25">
      <c r="A128"/>
      <c r="B128"/>
      <c r="C128"/>
      <c r="D128"/>
      <c r="E128"/>
      <c r="F128"/>
      <c r="H128"/>
      <c r="I128"/>
      <c r="J128"/>
      <c r="K128"/>
      <c r="L128"/>
      <c r="N128" s="18"/>
      <c r="O128" s="18"/>
      <c r="P128" s="18"/>
      <c r="Q128" s="18"/>
      <c r="R128" s="18"/>
      <c r="T128"/>
      <c r="U128"/>
      <c r="V128"/>
      <c r="W128"/>
      <c r="X128"/>
      <c r="Z128" s="3"/>
      <c r="AA128" s="21">
        <f>Tabla356813212939717274757677787717273747[[#This Row],[COMISIONES]]*0.21</f>
        <v>0</v>
      </c>
      <c r="AB128" s="21">
        <f>Tabla356813212939717274757677787717273747[[#This Row],[COMISIONES]]*0.105</f>
        <v>0</v>
      </c>
      <c r="AC128" s="21"/>
      <c r="AD128" s="21"/>
      <c r="AF128"/>
      <c r="AG128"/>
      <c r="AH128"/>
      <c r="AI128"/>
      <c r="AJ128"/>
      <c r="AK128"/>
      <c r="AL128"/>
      <c r="AM128"/>
      <c r="AN128"/>
      <c r="AO128"/>
    </row>
    <row r="129" spans="1:41" s="6" customFormat="1" x14ac:dyDescent="0.25">
      <c r="A129"/>
      <c r="B129"/>
      <c r="C129"/>
      <c r="D129"/>
      <c r="E129"/>
      <c r="F129"/>
      <c r="H129"/>
      <c r="I129"/>
      <c r="J129"/>
      <c r="K129"/>
      <c r="L129"/>
      <c r="N129" s="18"/>
      <c r="O129" s="18"/>
      <c r="P129" s="18"/>
      <c r="Q129" s="18"/>
      <c r="R129" s="18"/>
      <c r="T129"/>
      <c r="U129"/>
      <c r="V129"/>
      <c r="W129"/>
      <c r="X129"/>
      <c r="Z129" s="21"/>
      <c r="AA129" s="21">
        <f>Tabla356813212939717274757677787717273747[[#This Row],[COMISIONES]]*0.21</f>
        <v>0</v>
      </c>
      <c r="AB129" s="21">
        <f>Tabla356813212939717274757677787717273747[[#This Row],[COMISIONES]]*0.105</f>
        <v>0</v>
      </c>
      <c r="AC129" s="21"/>
      <c r="AD129" s="21"/>
      <c r="AF129"/>
      <c r="AG129"/>
      <c r="AH129"/>
      <c r="AI129"/>
      <c r="AJ129"/>
      <c r="AK129"/>
      <c r="AL129"/>
      <c r="AM129"/>
      <c r="AN129"/>
      <c r="AO129"/>
    </row>
    <row r="130" spans="1:41" s="6" customFormat="1" x14ac:dyDescent="0.25">
      <c r="A130"/>
      <c r="B130"/>
      <c r="C130"/>
      <c r="D130"/>
      <c r="E130"/>
      <c r="F130"/>
      <c r="H130"/>
      <c r="I130"/>
      <c r="J130"/>
      <c r="K130"/>
      <c r="L130"/>
      <c r="N130" s="18"/>
      <c r="O130" s="18"/>
      <c r="P130" s="18"/>
      <c r="Q130" s="18"/>
      <c r="R130" s="18"/>
      <c r="T130"/>
      <c r="U130"/>
      <c r="V130"/>
      <c r="W130"/>
      <c r="X130"/>
      <c r="Z130" s="21"/>
      <c r="AA130" s="21">
        <f>Tabla356813212939717274757677787717273747[[#This Row],[COMISIONES]]*0.21</f>
        <v>0</v>
      </c>
      <c r="AB130" s="21">
        <f>Tabla356813212939717274757677787717273747[[#This Row],[COMISIONES]]*0.105</f>
        <v>0</v>
      </c>
      <c r="AC130" s="21"/>
      <c r="AD130" s="21"/>
      <c r="AF130"/>
      <c r="AG130"/>
      <c r="AH130"/>
      <c r="AI130"/>
      <c r="AJ130"/>
      <c r="AK130"/>
      <c r="AL130"/>
      <c r="AM130"/>
      <c r="AN130"/>
      <c r="AO130"/>
    </row>
    <row r="131" spans="1:41" s="6" customFormat="1" x14ac:dyDescent="0.25">
      <c r="A131"/>
      <c r="B131"/>
      <c r="C131"/>
      <c r="D131"/>
      <c r="E131"/>
      <c r="F131"/>
      <c r="H131"/>
      <c r="I131"/>
      <c r="J131"/>
      <c r="K131"/>
      <c r="L131"/>
      <c r="N131" s="18"/>
      <c r="O131" s="18"/>
      <c r="P131" s="18"/>
      <c r="Q131" s="18"/>
      <c r="R131" s="18"/>
      <c r="T131"/>
      <c r="U131"/>
      <c r="V131"/>
      <c r="W131"/>
      <c r="X131"/>
      <c r="Z131" s="21"/>
      <c r="AA131" s="21">
        <f>Tabla356813212939717274757677787717273747[[#This Row],[COMISIONES]]*0.21</f>
        <v>0</v>
      </c>
      <c r="AB131" s="21">
        <f>Tabla356813212939717274757677787717273747[[#This Row],[COMISIONES]]*0.105</f>
        <v>0</v>
      </c>
      <c r="AC131" s="21"/>
      <c r="AD131" s="21"/>
      <c r="AF131"/>
      <c r="AG131"/>
      <c r="AH131"/>
      <c r="AI131"/>
      <c r="AJ131"/>
      <c r="AK131"/>
      <c r="AL131"/>
      <c r="AM131"/>
      <c r="AN131"/>
      <c r="AO131"/>
    </row>
    <row r="132" spans="1:41" s="6" customFormat="1" x14ac:dyDescent="0.25">
      <c r="A132"/>
      <c r="B132"/>
      <c r="C132"/>
      <c r="D132"/>
      <c r="E132"/>
      <c r="F132"/>
      <c r="H132"/>
      <c r="I132"/>
      <c r="J132"/>
      <c r="K132"/>
      <c r="L132"/>
      <c r="N132" s="18"/>
      <c r="O132" s="18"/>
      <c r="P132" s="18"/>
      <c r="Q132" s="18"/>
      <c r="R132" s="18"/>
      <c r="T132"/>
      <c r="U132"/>
      <c r="V132"/>
      <c r="W132"/>
      <c r="X132"/>
      <c r="Z132" s="21"/>
      <c r="AA132" s="21">
        <f>Tabla356813212939717274757677787717273747[[#This Row],[COMISIONES]]*0.21</f>
        <v>0</v>
      </c>
      <c r="AB132" s="21">
        <f>Tabla356813212939717274757677787717273747[[#This Row],[COMISIONES]]*0.105</f>
        <v>0</v>
      </c>
      <c r="AC132" s="21"/>
      <c r="AD132" s="21"/>
      <c r="AF132"/>
      <c r="AG132"/>
      <c r="AH132"/>
      <c r="AI132"/>
      <c r="AJ132"/>
      <c r="AK132"/>
      <c r="AL132"/>
      <c r="AM132"/>
      <c r="AN132"/>
      <c r="AO132"/>
    </row>
    <row r="133" spans="1:41" s="6" customFormat="1" x14ac:dyDescent="0.25">
      <c r="A133"/>
      <c r="B133"/>
      <c r="C133"/>
      <c r="D133"/>
      <c r="E133"/>
      <c r="F133"/>
      <c r="H133"/>
      <c r="I133"/>
      <c r="J133"/>
      <c r="K133"/>
      <c r="L133"/>
      <c r="N133" s="18"/>
      <c r="O133" s="18"/>
      <c r="P133" s="18"/>
      <c r="Q133" s="18"/>
      <c r="R133" s="18"/>
      <c r="T133"/>
      <c r="U133"/>
      <c r="V133"/>
      <c r="W133"/>
      <c r="X133"/>
      <c r="Z133" s="21"/>
      <c r="AA133" s="21">
        <f>Tabla356813212939717274757677787717273747[[#This Row],[COMISIONES]]*0.21</f>
        <v>0</v>
      </c>
      <c r="AB133" s="21">
        <f>Tabla356813212939717274757677787717273747[[#This Row],[COMISIONES]]*0.105</f>
        <v>0</v>
      </c>
      <c r="AC133" s="21"/>
      <c r="AD133" s="21"/>
      <c r="AF133"/>
      <c r="AG133"/>
      <c r="AH133"/>
      <c r="AI133"/>
      <c r="AJ133"/>
      <c r="AK133"/>
      <c r="AL133"/>
      <c r="AM133"/>
      <c r="AN133"/>
      <c r="AO133"/>
    </row>
    <row r="134" spans="1:41" s="6" customFormat="1" x14ac:dyDescent="0.25">
      <c r="A134"/>
      <c r="B134"/>
      <c r="C134"/>
      <c r="D134"/>
      <c r="E134"/>
      <c r="F134"/>
      <c r="H134"/>
      <c r="I134"/>
      <c r="J134"/>
      <c r="K134"/>
      <c r="L134"/>
      <c r="N134" s="18"/>
      <c r="O134" s="18">
        <f>Tabla3510182636414244454647484414243444[[#This Row],[COMISIONES]]*0.21</f>
        <v>0</v>
      </c>
      <c r="P134" s="18"/>
      <c r="Q134" s="18"/>
      <c r="R134" s="18"/>
      <c r="T134"/>
      <c r="U134"/>
      <c r="V134"/>
      <c r="W134"/>
      <c r="X134"/>
      <c r="Z134" s="21"/>
      <c r="AA134" s="21">
        <f>Tabla356813212939717274757677787717273747[[#This Row],[COMISIONES]]*0.21</f>
        <v>0</v>
      </c>
      <c r="AB134" s="21">
        <f>Tabla356813212939717274757677787717273747[[#This Row],[COMISIONES]]*0.105</f>
        <v>0</v>
      </c>
      <c r="AC134" s="21"/>
      <c r="AD134" s="21"/>
      <c r="AF134"/>
      <c r="AG134"/>
      <c r="AH134"/>
      <c r="AI134"/>
      <c r="AJ134"/>
      <c r="AK134"/>
      <c r="AL134"/>
      <c r="AM134"/>
      <c r="AN134"/>
      <c r="AO134"/>
    </row>
    <row r="135" spans="1:41" s="6" customFormat="1" x14ac:dyDescent="0.25">
      <c r="A135"/>
      <c r="B135"/>
      <c r="C135"/>
      <c r="D135"/>
      <c r="E135"/>
      <c r="F135"/>
      <c r="H135"/>
      <c r="I135"/>
      <c r="J135"/>
      <c r="K135"/>
      <c r="L135"/>
      <c r="N135" s="4">
        <f>SUBTOTAL(109,Tabla3510182636414244454647484414243444[COMISIONES])</f>
        <v>6611.57</v>
      </c>
      <c r="O135" s="4">
        <f>SUBTOTAL(109,Tabla3510182636414244454647484414243444[IVA 21])</f>
        <v>1388.4296999999999</v>
      </c>
      <c r="P135" s="4">
        <f>SUBTOTAL(109,Tabla3510182636414244454647484414243444[IVA 10,5])</f>
        <v>0</v>
      </c>
      <c r="Q135" s="4">
        <f>SUBTOTAL(109,Tabla3510182636414244454647484414243444[Ret IIBB Caba])</f>
        <v>52.18</v>
      </c>
      <c r="R135" s="4">
        <f>SUBTOTAL(109,Tabla3510182636414244454647484414243444[PERC IVA])</f>
        <v>198.35</v>
      </c>
      <c r="T135"/>
      <c r="U135"/>
      <c r="V135"/>
      <c r="W135"/>
      <c r="X135"/>
      <c r="Z135" s="21"/>
      <c r="AA135" s="21">
        <f>Tabla356813212939717274757677787717273747[[#This Row],[COMISIONES]]*0.21</f>
        <v>0</v>
      </c>
      <c r="AB135" s="21">
        <f>Tabla356813212939717274757677787717273747[[#This Row],[COMISIONES]]*0.105</f>
        <v>0</v>
      </c>
      <c r="AC135" s="21"/>
      <c r="AD135" s="21"/>
      <c r="AF135"/>
      <c r="AG135"/>
      <c r="AH135"/>
      <c r="AI135"/>
      <c r="AJ135"/>
      <c r="AK135"/>
      <c r="AL135"/>
      <c r="AM135"/>
      <c r="AN135"/>
      <c r="AO135"/>
    </row>
    <row r="136" spans="1:41" s="6" customFormat="1" x14ac:dyDescent="0.25">
      <c r="A136"/>
      <c r="B136"/>
      <c r="C136"/>
      <c r="D136"/>
      <c r="E136"/>
      <c r="F136"/>
      <c r="H136"/>
      <c r="I136"/>
      <c r="J136"/>
      <c r="K136"/>
      <c r="L136"/>
      <c r="N136"/>
      <c r="O136"/>
      <c r="P136"/>
      <c r="Q136"/>
      <c r="R136"/>
      <c r="T136"/>
      <c r="U136"/>
      <c r="V136"/>
      <c r="W136"/>
      <c r="X136"/>
      <c r="Z136" s="21"/>
      <c r="AA136" s="21">
        <f>Tabla356813212939717274757677787717273747[[#This Row],[COMISIONES]]*0.21</f>
        <v>0</v>
      </c>
      <c r="AB136" s="21">
        <f>Tabla356813212939717274757677787717273747[[#This Row],[COMISIONES]]*0.105</f>
        <v>0</v>
      </c>
      <c r="AC136" s="21"/>
      <c r="AD136" s="21"/>
      <c r="AF136"/>
      <c r="AG136"/>
      <c r="AH136"/>
      <c r="AI136"/>
      <c r="AJ136"/>
      <c r="AK136"/>
      <c r="AL136"/>
      <c r="AM136"/>
      <c r="AN136"/>
      <c r="AO136"/>
    </row>
    <row r="137" spans="1:41" s="6" customFormat="1" x14ac:dyDescent="0.25">
      <c r="A137"/>
      <c r="B137"/>
      <c r="C137"/>
      <c r="D137"/>
      <c r="E137"/>
      <c r="F137"/>
      <c r="H137"/>
      <c r="I137"/>
      <c r="J137"/>
      <c r="K137"/>
      <c r="L137"/>
      <c r="N137"/>
      <c r="O137"/>
      <c r="P137"/>
      <c r="Q137"/>
      <c r="R137"/>
      <c r="T137"/>
      <c r="U137"/>
      <c r="V137"/>
      <c r="W137"/>
      <c r="X137"/>
      <c r="Z137" s="21"/>
      <c r="AA137" s="21">
        <f>Tabla356813212939717274757677787717273747[[#This Row],[COMISIONES]]*0.21</f>
        <v>0</v>
      </c>
      <c r="AB137" s="21">
        <f>Tabla356813212939717274757677787717273747[[#This Row],[COMISIONES]]*0.105</f>
        <v>0</v>
      </c>
      <c r="AC137" s="21"/>
      <c r="AD137" s="21"/>
      <c r="AF137"/>
      <c r="AG137"/>
      <c r="AH137"/>
      <c r="AI137"/>
      <c r="AJ137"/>
      <c r="AK137"/>
      <c r="AL137"/>
      <c r="AM137"/>
      <c r="AN137"/>
      <c r="AO137"/>
    </row>
    <row r="138" spans="1:41" s="6" customFormat="1" x14ac:dyDescent="0.25">
      <c r="A138"/>
      <c r="B138"/>
      <c r="C138"/>
      <c r="D138"/>
      <c r="E138"/>
      <c r="F138"/>
      <c r="H138"/>
      <c r="I138"/>
      <c r="J138"/>
      <c r="K138"/>
      <c r="L138"/>
      <c r="N138"/>
      <c r="O138"/>
      <c r="P138"/>
      <c r="Q138"/>
      <c r="R138"/>
      <c r="T138"/>
      <c r="U138"/>
      <c r="V138"/>
      <c r="W138"/>
      <c r="X138"/>
      <c r="Z138" s="21"/>
      <c r="AA138" s="21">
        <f>Tabla356813212939717274757677787717273747[[#This Row],[COMISIONES]]*0.21</f>
        <v>0</v>
      </c>
      <c r="AB138" s="21">
        <f>Tabla356813212939717274757677787717273747[[#This Row],[COMISIONES]]*0.105</f>
        <v>0</v>
      </c>
      <c r="AC138" s="21"/>
      <c r="AD138" s="21"/>
      <c r="AF138"/>
      <c r="AG138"/>
      <c r="AH138"/>
      <c r="AI138"/>
      <c r="AJ138"/>
      <c r="AK138"/>
      <c r="AL138"/>
      <c r="AM138"/>
      <c r="AN138"/>
      <c r="AO138"/>
    </row>
    <row r="139" spans="1:41" s="6" customFormat="1" x14ac:dyDescent="0.25">
      <c r="A139"/>
      <c r="B139"/>
      <c r="C139"/>
      <c r="D139"/>
      <c r="E139"/>
      <c r="F139"/>
      <c r="H139"/>
      <c r="I139"/>
      <c r="J139"/>
      <c r="K139"/>
      <c r="L139"/>
      <c r="N139"/>
      <c r="O139"/>
      <c r="P139"/>
      <c r="Q139"/>
      <c r="R139"/>
      <c r="T139"/>
      <c r="U139"/>
      <c r="V139"/>
      <c r="W139"/>
      <c r="X139"/>
      <c r="Z139" s="21"/>
      <c r="AA139" s="21">
        <f>Tabla356813212939717274757677787717273747[[#This Row],[COMISIONES]]*0.21</f>
        <v>0</v>
      </c>
      <c r="AB139" s="21">
        <f>Tabla356813212939717274757677787717273747[[#This Row],[COMISIONES]]*0.105</f>
        <v>0</v>
      </c>
      <c r="AC139" s="21"/>
      <c r="AD139" s="21"/>
      <c r="AF139"/>
      <c r="AG139"/>
      <c r="AH139"/>
      <c r="AI139"/>
      <c r="AJ139"/>
      <c r="AK139"/>
      <c r="AL139"/>
      <c r="AM139"/>
      <c r="AN139"/>
      <c r="AO139"/>
    </row>
    <row r="140" spans="1:41" s="6" customFormat="1" x14ac:dyDescent="0.25">
      <c r="A140"/>
      <c r="B140"/>
      <c r="C140"/>
      <c r="D140"/>
      <c r="E140"/>
      <c r="F140"/>
      <c r="H140"/>
      <c r="I140"/>
      <c r="J140"/>
      <c r="K140"/>
      <c r="L140"/>
      <c r="N140"/>
      <c r="O140"/>
      <c r="P140"/>
      <c r="Q140"/>
      <c r="R140"/>
      <c r="T140"/>
      <c r="U140"/>
      <c r="V140"/>
      <c r="W140"/>
      <c r="X140"/>
      <c r="Z140" s="21"/>
      <c r="AA140" s="21">
        <f>Tabla356813212939717274757677787717273747[[#This Row],[COMISIONES]]*0.21</f>
        <v>0</v>
      </c>
      <c r="AB140" s="21">
        <f>Tabla356813212939717274757677787717273747[[#This Row],[COMISIONES]]*0.105</f>
        <v>0</v>
      </c>
      <c r="AC140" s="21"/>
      <c r="AD140" s="21"/>
      <c r="AF140"/>
      <c r="AG140"/>
      <c r="AH140"/>
      <c r="AI140"/>
      <c r="AJ140"/>
      <c r="AK140"/>
      <c r="AL140"/>
      <c r="AM140"/>
      <c r="AN140"/>
      <c r="AO140"/>
    </row>
    <row r="141" spans="1:41" s="6" customFormat="1" x14ac:dyDescent="0.25">
      <c r="A141"/>
      <c r="B141"/>
      <c r="C141"/>
      <c r="D141"/>
      <c r="E141"/>
      <c r="F141"/>
      <c r="H141"/>
      <c r="I141"/>
      <c r="J141"/>
      <c r="K141"/>
      <c r="L141"/>
      <c r="N141"/>
      <c r="O141"/>
      <c r="P141"/>
      <c r="Q141"/>
      <c r="R141"/>
      <c r="T141"/>
      <c r="U141"/>
      <c r="V141"/>
      <c r="W141"/>
      <c r="X141"/>
      <c r="Z141" s="21"/>
      <c r="AA141" s="21">
        <f>Tabla356813212939717274757677787717273747[[#This Row],[COMISIONES]]*0.21</f>
        <v>0</v>
      </c>
      <c r="AB141" s="21">
        <f>Tabla356813212939717274757677787717273747[[#This Row],[COMISIONES]]*0.105</f>
        <v>0</v>
      </c>
      <c r="AC141" s="21"/>
      <c r="AD141" s="21"/>
      <c r="AF141"/>
      <c r="AG141"/>
      <c r="AH141"/>
      <c r="AI141"/>
      <c r="AJ141"/>
      <c r="AK141"/>
      <c r="AL141"/>
      <c r="AM141"/>
      <c r="AN141"/>
      <c r="AO141"/>
    </row>
    <row r="142" spans="1:41" s="6" customFormat="1" x14ac:dyDescent="0.25">
      <c r="A142"/>
      <c r="B142"/>
      <c r="C142"/>
      <c r="D142"/>
      <c r="E142"/>
      <c r="F142"/>
      <c r="H142"/>
      <c r="I142"/>
      <c r="J142"/>
      <c r="K142"/>
      <c r="L142"/>
      <c r="N142"/>
      <c r="O142"/>
      <c r="P142"/>
      <c r="Q142"/>
      <c r="R142"/>
      <c r="T142"/>
      <c r="U142"/>
      <c r="V142"/>
      <c r="W142"/>
      <c r="X142"/>
      <c r="Z142" s="21"/>
      <c r="AA142" s="21">
        <f>Tabla356813212939717274757677787717273747[[#This Row],[COMISIONES]]*0.21</f>
        <v>0</v>
      </c>
      <c r="AB142" s="21">
        <f>Tabla356813212939717274757677787717273747[[#This Row],[COMISIONES]]*0.105</f>
        <v>0</v>
      </c>
      <c r="AC142" s="21"/>
      <c r="AD142" s="21"/>
      <c r="AF142"/>
      <c r="AG142"/>
      <c r="AH142"/>
      <c r="AI142"/>
      <c r="AJ142"/>
      <c r="AK142"/>
      <c r="AL142"/>
      <c r="AM142"/>
      <c r="AN142"/>
      <c r="AO142"/>
    </row>
    <row r="143" spans="1:41" s="6" customFormat="1" x14ac:dyDescent="0.25">
      <c r="A143"/>
      <c r="B143"/>
      <c r="C143"/>
      <c r="D143"/>
      <c r="E143"/>
      <c r="F143"/>
      <c r="H143"/>
      <c r="I143"/>
      <c r="J143"/>
      <c r="K143"/>
      <c r="L143"/>
      <c r="N143"/>
      <c r="O143"/>
      <c r="P143"/>
      <c r="Q143"/>
      <c r="R143"/>
      <c r="T143"/>
      <c r="U143"/>
      <c r="V143"/>
      <c r="W143"/>
      <c r="X143"/>
      <c r="Z143" s="21"/>
      <c r="AA143" s="21">
        <f>Tabla356813212939717274757677787717273747[[#This Row],[COMISIONES]]*0.21</f>
        <v>0</v>
      </c>
      <c r="AB143" s="21">
        <f>Tabla356813212939717274757677787717273747[[#This Row],[COMISIONES]]*0.105</f>
        <v>0</v>
      </c>
      <c r="AC143" s="21"/>
      <c r="AD143" s="21"/>
      <c r="AF143"/>
      <c r="AG143"/>
      <c r="AH143"/>
      <c r="AI143"/>
      <c r="AJ143"/>
      <c r="AK143"/>
      <c r="AL143"/>
      <c r="AM143"/>
      <c r="AN143"/>
      <c r="AO143"/>
    </row>
    <row r="144" spans="1:41" s="6" customFormat="1" x14ac:dyDescent="0.25">
      <c r="A144"/>
      <c r="B144"/>
      <c r="C144"/>
      <c r="D144"/>
      <c r="E144"/>
      <c r="F144"/>
      <c r="H144"/>
      <c r="I144"/>
      <c r="J144"/>
      <c r="K144"/>
      <c r="L144"/>
      <c r="N144"/>
      <c r="O144"/>
      <c r="P144"/>
      <c r="Q144"/>
      <c r="R144"/>
      <c r="T144"/>
      <c r="U144"/>
      <c r="V144"/>
      <c r="W144"/>
      <c r="X144"/>
      <c r="Z144" s="21"/>
      <c r="AA144" s="21">
        <f>Tabla356813212939717274757677787717273747[[#This Row],[COMISIONES]]*0.21</f>
        <v>0</v>
      </c>
      <c r="AB144" s="21">
        <f>Tabla356813212939717274757677787717273747[[#This Row],[COMISIONES]]*0.105</f>
        <v>0</v>
      </c>
      <c r="AC144" s="21"/>
      <c r="AD144" s="21"/>
      <c r="AF144"/>
      <c r="AG144"/>
      <c r="AH144"/>
      <c r="AI144"/>
      <c r="AJ144"/>
      <c r="AK144"/>
      <c r="AL144"/>
      <c r="AM144"/>
      <c r="AN144"/>
      <c r="AO144"/>
    </row>
    <row r="145" spans="1:41" s="6" customFormat="1" x14ac:dyDescent="0.25">
      <c r="A145"/>
      <c r="B145"/>
      <c r="C145"/>
      <c r="D145"/>
      <c r="E145"/>
      <c r="F145"/>
      <c r="H145"/>
      <c r="I145"/>
      <c r="J145"/>
      <c r="K145"/>
      <c r="L145"/>
      <c r="N145"/>
      <c r="O145"/>
      <c r="P145"/>
      <c r="Q145"/>
      <c r="R145"/>
      <c r="T145"/>
      <c r="U145"/>
      <c r="V145"/>
      <c r="W145"/>
      <c r="X145"/>
      <c r="Z145" s="21"/>
      <c r="AA145" s="21">
        <f>Tabla356813212939717274757677787717273747[[#This Row],[COMISIONES]]*0.21</f>
        <v>0</v>
      </c>
      <c r="AB145" s="21">
        <f>Tabla356813212939717274757677787717273747[[#This Row],[COMISIONES]]*0.105</f>
        <v>0</v>
      </c>
      <c r="AC145" s="21"/>
      <c r="AD145" s="21"/>
      <c r="AF145"/>
      <c r="AG145"/>
      <c r="AH145"/>
      <c r="AI145"/>
      <c r="AJ145"/>
      <c r="AK145"/>
      <c r="AL145"/>
      <c r="AM145"/>
      <c r="AN145"/>
      <c r="AO145"/>
    </row>
    <row r="146" spans="1:41" s="6" customFormat="1" x14ac:dyDescent="0.25">
      <c r="A146"/>
      <c r="B146"/>
      <c r="C146"/>
      <c r="D146"/>
      <c r="E146"/>
      <c r="F146"/>
      <c r="H146"/>
      <c r="I146"/>
      <c r="J146"/>
      <c r="K146"/>
      <c r="L146"/>
      <c r="N146"/>
      <c r="O146"/>
      <c r="P146"/>
      <c r="Q146"/>
      <c r="R146"/>
      <c r="T146"/>
      <c r="U146"/>
      <c r="V146"/>
      <c r="W146"/>
      <c r="X146"/>
      <c r="Z146" s="21"/>
      <c r="AA146" s="21">
        <f>Tabla356813212939717274757677787717273747[[#This Row],[COMISIONES]]*0.21</f>
        <v>0</v>
      </c>
      <c r="AB146" s="21">
        <f>Tabla356813212939717274757677787717273747[[#This Row],[COMISIONES]]*0.105</f>
        <v>0</v>
      </c>
      <c r="AC146" s="21"/>
      <c r="AD146" s="21"/>
      <c r="AF146"/>
      <c r="AG146"/>
      <c r="AH146"/>
      <c r="AI146"/>
      <c r="AJ146"/>
      <c r="AK146"/>
      <c r="AL146"/>
      <c r="AM146"/>
      <c r="AN146"/>
      <c r="AO146"/>
    </row>
    <row r="147" spans="1:41" s="6" customFormat="1" x14ac:dyDescent="0.25">
      <c r="A147"/>
      <c r="B147"/>
      <c r="C147"/>
      <c r="D147"/>
      <c r="E147"/>
      <c r="F147"/>
      <c r="H147"/>
      <c r="I147"/>
      <c r="J147"/>
      <c r="K147"/>
      <c r="L147"/>
      <c r="N147"/>
      <c r="O147"/>
      <c r="P147"/>
      <c r="Q147"/>
      <c r="R147"/>
      <c r="T147"/>
      <c r="U147"/>
      <c r="V147"/>
      <c r="W147"/>
      <c r="X147"/>
      <c r="Z147" s="21"/>
      <c r="AA147" s="21">
        <f>Tabla356813212939717274757677787717273747[[#This Row],[COMISIONES]]*0.21</f>
        <v>0</v>
      </c>
      <c r="AB147" s="21">
        <f>Tabla356813212939717274757677787717273747[[#This Row],[COMISIONES]]*0.105</f>
        <v>0</v>
      </c>
      <c r="AC147" s="21"/>
      <c r="AD147" s="21"/>
      <c r="AF147"/>
      <c r="AG147"/>
      <c r="AH147"/>
      <c r="AI147"/>
      <c r="AJ147"/>
      <c r="AK147"/>
      <c r="AL147"/>
      <c r="AM147"/>
      <c r="AN147"/>
      <c r="AO147"/>
    </row>
    <row r="148" spans="1:41" s="6" customFormat="1" x14ac:dyDescent="0.25">
      <c r="A148"/>
      <c r="B148"/>
      <c r="C148"/>
      <c r="D148"/>
      <c r="E148"/>
      <c r="F148"/>
      <c r="H148"/>
      <c r="I148"/>
      <c r="J148"/>
      <c r="K148"/>
      <c r="L148"/>
      <c r="N148"/>
      <c r="O148"/>
      <c r="P148"/>
      <c r="Q148"/>
      <c r="R148"/>
      <c r="T148"/>
      <c r="U148"/>
      <c r="V148"/>
      <c r="W148"/>
      <c r="X148"/>
      <c r="Z148" s="21"/>
      <c r="AA148" s="21">
        <f>Tabla356813212939717274757677787717273747[[#This Row],[COMISIONES]]*0.21</f>
        <v>0</v>
      </c>
      <c r="AB148" s="21">
        <f>Tabla356813212939717274757677787717273747[[#This Row],[COMISIONES]]*0.105</f>
        <v>0</v>
      </c>
      <c r="AC148" s="21"/>
      <c r="AD148" s="21"/>
      <c r="AF148"/>
      <c r="AG148"/>
      <c r="AH148"/>
      <c r="AI148"/>
      <c r="AJ148"/>
      <c r="AK148"/>
      <c r="AL148"/>
      <c r="AM148"/>
      <c r="AN148"/>
      <c r="AO148"/>
    </row>
    <row r="149" spans="1:41" s="6" customFormat="1" x14ac:dyDescent="0.25">
      <c r="A149"/>
      <c r="B149"/>
      <c r="C149"/>
      <c r="D149"/>
      <c r="E149"/>
      <c r="F149"/>
      <c r="H149"/>
      <c r="I149"/>
      <c r="J149"/>
      <c r="K149"/>
      <c r="L149"/>
      <c r="N149"/>
      <c r="O149"/>
      <c r="P149"/>
      <c r="Q149"/>
      <c r="R149"/>
      <c r="T149"/>
      <c r="U149"/>
      <c r="V149"/>
      <c r="W149"/>
      <c r="X149"/>
      <c r="Z149" s="21"/>
      <c r="AA149" s="21">
        <f>Tabla356813212939717274757677787717273747[[#This Row],[COMISIONES]]*0.21</f>
        <v>0</v>
      </c>
      <c r="AB149" s="21">
        <f>Tabla356813212939717274757677787717273747[[#This Row],[COMISIONES]]*0.105</f>
        <v>0</v>
      </c>
      <c r="AC149" s="21"/>
      <c r="AD149" s="21"/>
      <c r="AF149"/>
      <c r="AG149"/>
      <c r="AH149"/>
      <c r="AI149"/>
      <c r="AJ149"/>
      <c r="AK149"/>
      <c r="AL149"/>
      <c r="AM149"/>
      <c r="AN149"/>
      <c r="AO149"/>
    </row>
    <row r="150" spans="1:41" s="6" customFormat="1" x14ac:dyDescent="0.25">
      <c r="A150"/>
      <c r="B150"/>
      <c r="C150"/>
      <c r="D150"/>
      <c r="E150"/>
      <c r="F150"/>
      <c r="H150"/>
      <c r="I150"/>
      <c r="J150"/>
      <c r="K150"/>
      <c r="L150"/>
      <c r="N150"/>
      <c r="O150"/>
      <c r="P150"/>
      <c r="Q150"/>
      <c r="R150"/>
      <c r="T150"/>
      <c r="U150"/>
      <c r="V150"/>
      <c r="W150"/>
      <c r="X150"/>
      <c r="Z150" s="21"/>
      <c r="AA150" s="21">
        <f>Tabla356813212939717274757677787717273747[[#This Row],[COMISIONES]]*0.21</f>
        <v>0</v>
      </c>
      <c r="AB150" s="21">
        <f>Tabla356813212939717274757677787717273747[[#This Row],[COMISIONES]]*0.105</f>
        <v>0</v>
      </c>
      <c r="AC150" s="21"/>
      <c r="AD150" s="21"/>
      <c r="AF150"/>
      <c r="AG150"/>
      <c r="AH150"/>
      <c r="AI150"/>
      <c r="AJ150"/>
      <c r="AK150"/>
      <c r="AL150"/>
      <c r="AM150"/>
      <c r="AN150"/>
      <c r="AO150"/>
    </row>
    <row r="151" spans="1:41" s="6" customFormat="1" x14ac:dyDescent="0.25">
      <c r="A151"/>
      <c r="B151"/>
      <c r="C151"/>
      <c r="D151"/>
      <c r="E151"/>
      <c r="F151"/>
      <c r="H151"/>
      <c r="I151"/>
      <c r="J151"/>
      <c r="K151"/>
      <c r="L151"/>
      <c r="N151"/>
      <c r="O151"/>
      <c r="P151"/>
      <c r="Q151"/>
      <c r="R151"/>
      <c r="T151"/>
      <c r="U151"/>
      <c r="V151"/>
      <c r="W151"/>
      <c r="X151"/>
      <c r="Z151" s="21"/>
      <c r="AA151" s="21">
        <f>Tabla356813212939717274757677787717273747[[#This Row],[COMISIONES]]*0.21</f>
        <v>0</v>
      </c>
      <c r="AB151" s="21">
        <f>Tabla356813212939717274757677787717273747[[#This Row],[COMISIONES]]*0.105</f>
        <v>0</v>
      </c>
      <c r="AC151" s="21"/>
      <c r="AD151" s="21"/>
      <c r="AF151"/>
      <c r="AG151"/>
      <c r="AH151"/>
      <c r="AI151"/>
      <c r="AJ151"/>
      <c r="AK151"/>
      <c r="AL151"/>
      <c r="AM151"/>
      <c r="AN151"/>
      <c r="AO151"/>
    </row>
    <row r="152" spans="1:41" s="6" customFormat="1" x14ac:dyDescent="0.25">
      <c r="A152"/>
      <c r="B152"/>
      <c r="C152"/>
      <c r="D152"/>
      <c r="E152"/>
      <c r="F152"/>
      <c r="H152"/>
      <c r="I152"/>
      <c r="J152"/>
      <c r="K152"/>
      <c r="L152"/>
      <c r="N152"/>
      <c r="O152"/>
      <c r="P152"/>
      <c r="Q152"/>
      <c r="R152"/>
      <c r="T152"/>
      <c r="U152"/>
      <c r="V152"/>
      <c r="W152"/>
      <c r="X152"/>
      <c r="Z152" s="21"/>
      <c r="AA152" s="21">
        <f>Tabla356813212939717274757677787717273747[[#This Row],[COMISIONES]]*0.21</f>
        <v>0</v>
      </c>
      <c r="AB152" s="21">
        <f>Tabla356813212939717274757677787717273747[[#This Row],[COMISIONES]]*0.105</f>
        <v>0</v>
      </c>
      <c r="AC152" s="21"/>
      <c r="AD152" s="21"/>
      <c r="AF152"/>
      <c r="AG152"/>
      <c r="AH152"/>
      <c r="AI152"/>
      <c r="AJ152"/>
      <c r="AK152"/>
      <c r="AL152"/>
      <c r="AM152"/>
      <c r="AN152"/>
      <c r="AO152"/>
    </row>
    <row r="153" spans="1:41" s="6" customFormat="1" x14ac:dyDescent="0.25">
      <c r="A153"/>
      <c r="B153"/>
      <c r="C153"/>
      <c r="D153"/>
      <c r="E153"/>
      <c r="F153"/>
      <c r="H153"/>
      <c r="I153"/>
      <c r="J153"/>
      <c r="K153"/>
      <c r="L153"/>
      <c r="N153"/>
      <c r="O153"/>
      <c r="P153"/>
      <c r="Q153"/>
      <c r="R153"/>
      <c r="T153"/>
      <c r="U153"/>
      <c r="V153"/>
      <c r="W153"/>
      <c r="X153"/>
      <c r="Z153" s="21"/>
      <c r="AA153" s="21">
        <f>Tabla356813212939717274757677787717273747[[#This Row],[COMISIONES]]*0.21</f>
        <v>0</v>
      </c>
      <c r="AB153" s="21">
        <f>Tabla356813212939717274757677787717273747[[#This Row],[COMISIONES]]*0.105</f>
        <v>0</v>
      </c>
      <c r="AC153" s="21"/>
      <c r="AD153" s="21"/>
      <c r="AF153"/>
      <c r="AG153"/>
      <c r="AH153"/>
      <c r="AI153"/>
      <c r="AJ153"/>
      <c r="AK153"/>
      <c r="AL153"/>
      <c r="AM153"/>
      <c r="AN153"/>
      <c r="AO153"/>
    </row>
    <row r="154" spans="1:41" s="6" customFormat="1" x14ac:dyDescent="0.25">
      <c r="A154"/>
      <c r="B154"/>
      <c r="C154"/>
      <c r="D154"/>
      <c r="E154"/>
      <c r="F154"/>
      <c r="H154"/>
      <c r="I154"/>
      <c r="J154"/>
      <c r="K154"/>
      <c r="L154"/>
      <c r="N154"/>
      <c r="O154"/>
      <c r="P154"/>
      <c r="Q154"/>
      <c r="R154"/>
      <c r="T154"/>
      <c r="U154"/>
      <c r="V154"/>
      <c r="W154"/>
      <c r="X154"/>
      <c r="Z154" s="21"/>
      <c r="AA154" s="21">
        <f>Tabla356813212939717274757677787717273747[[#This Row],[COMISIONES]]*0.21</f>
        <v>0</v>
      </c>
      <c r="AB154" s="21">
        <f>Tabla356813212939717274757677787717273747[[#This Row],[COMISIONES]]*0.105</f>
        <v>0</v>
      </c>
      <c r="AC154" s="21"/>
      <c r="AD154" s="21"/>
      <c r="AF154"/>
      <c r="AG154"/>
      <c r="AH154"/>
      <c r="AI154"/>
      <c r="AJ154"/>
      <c r="AK154"/>
      <c r="AL154"/>
      <c r="AM154"/>
      <c r="AN154"/>
      <c r="AO154"/>
    </row>
    <row r="155" spans="1:41" s="6" customFormat="1" x14ac:dyDescent="0.25">
      <c r="A155"/>
      <c r="B155"/>
      <c r="C155"/>
      <c r="D155"/>
      <c r="E155"/>
      <c r="F155"/>
      <c r="H155"/>
      <c r="I155"/>
      <c r="J155"/>
      <c r="K155"/>
      <c r="L155"/>
      <c r="N155"/>
      <c r="O155"/>
      <c r="P155"/>
      <c r="Q155"/>
      <c r="R155"/>
      <c r="T155"/>
      <c r="U155"/>
      <c r="V155"/>
      <c r="W155"/>
      <c r="X155"/>
      <c r="Z155" s="21"/>
      <c r="AA155" s="21">
        <f>Tabla356813212939717274757677787717273747[[#This Row],[COMISIONES]]*0.21</f>
        <v>0</v>
      </c>
      <c r="AB155" s="21">
        <f>Tabla356813212939717274757677787717273747[[#This Row],[COMISIONES]]*0.105</f>
        <v>0</v>
      </c>
      <c r="AC155" s="21"/>
      <c r="AD155" s="21"/>
      <c r="AF155"/>
      <c r="AG155"/>
      <c r="AH155"/>
      <c r="AI155"/>
      <c r="AJ155"/>
      <c r="AK155"/>
      <c r="AL155"/>
      <c r="AM155"/>
      <c r="AN155"/>
      <c r="AO155"/>
    </row>
    <row r="156" spans="1:41" s="6" customFormat="1" x14ac:dyDescent="0.25">
      <c r="A156"/>
      <c r="B156"/>
      <c r="C156"/>
      <c r="D156"/>
      <c r="E156"/>
      <c r="F156"/>
      <c r="H156"/>
      <c r="I156"/>
      <c r="J156"/>
      <c r="K156"/>
      <c r="L156"/>
      <c r="N156"/>
      <c r="O156"/>
      <c r="P156"/>
      <c r="Q156"/>
      <c r="R156"/>
      <c r="T156"/>
      <c r="U156"/>
      <c r="V156"/>
      <c r="W156"/>
      <c r="X156"/>
      <c r="Z156" s="21"/>
      <c r="AA156" s="21">
        <f>Tabla356813212939717274757677787717273747[[#This Row],[COMISIONES]]*0.21</f>
        <v>0</v>
      </c>
      <c r="AB156" s="21">
        <f>Tabla356813212939717274757677787717273747[[#This Row],[COMISIONES]]*0.105</f>
        <v>0</v>
      </c>
      <c r="AC156" s="21"/>
      <c r="AD156" s="21"/>
      <c r="AF156"/>
      <c r="AG156"/>
      <c r="AH156"/>
      <c r="AI156"/>
      <c r="AJ156"/>
      <c r="AK156"/>
      <c r="AL156"/>
      <c r="AM156"/>
      <c r="AN156"/>
      <c r="AO156"/>
    </row>
    <row r="157" spans="1:41" s="6" customFormat="1" x14ac:dyDescent="0.25">
      <c r="A157"/>
      <c r="B157"/>
      <c r="C157"/>
      <c r="D157"/>
      <c r="E157"/>
      <c r="F157"/>
      <c r="H157"/>
      <c r="I157"/>
      <c r="J157"/>
      <c r="K157"/>
      <c r="L157"/>
      <c r="N157"/>
      <c r="O157"/>
      <c r="P157"/>
      <c r="Q157"/>
      <c r="R157"/>
      <c r="T157"/>
      <c r="U157"/>
      <c r="V157"/>
      <c r="W157"/>
      <c r="X157"/>
      <c r="Z157" s="21"/>
      <c r="AA157" s="21">
        <f>Tabla356813212939717274757677787717273747[[#This Row],[COMISIONES]]*0.21</f>
        <v>0</v>
      </c>
      <c r="AB157" s="21">
        <f>Tabla356813212939717274757677787717273747[[#This Row],[COMISIONES]]*0.105</f>
        <v>0</v>
      </c>
      <c r="AC157" s="21"/>
      <c r="AD157" s="21"/>
      <c r="AF157"/>
      <c r="AG157"/>
      <c r="AH157"/>
      <c r="AI157"/>
      <c r="AJ157"/>
      <c r="AK157"/>
      <c r="AL157"/>
      <c r="AM157"/>
      <c r="AN157"/>
      <c r="AO157"/>
    </row>
    <row r="158" spans="1:41" s="6" customFormat="1" x14ac:dyDescent="0.25">
      <c r="A158"/>
      <c r="B158"/>
      <c r="C158"/>
      <c r="D158"/>
      <c r="E158"/>
      <c r="F158"/>
      <c r="H158"/>
      <c r="I158"/>
      <c r="J158"/>
      <c r="K158"/>
      <c r="L158"/>
      <c r="N158"/>
      <c r="O158"/>
      <c r="P158"/>
      <c r="Q158"/>
      <c r="R158"/>
      <c r="T158"/>
      <c r="U158"/>
      <c r="V158"/>
      <c r="W158"/>
      <c r="X158"/>
      <c r="Z158" s="21"/>
      <c r="AA158" s="21">
        <f>Tabla356813212939717274757677787717273747[[#This Row],[COMISIONES]]*0.21</f>
        <v>0</v>
      </c>
      <c r="AB158" s="21">
        <f>Tabla356813212939717274757677787717273747[[#This Row],[COMISIONES]]*0.105</f>
        <v>0</v>
      </c>
      <c r="AC158" s="21"/>
      <c r="AD158" s="21"/>
      <c r="AF158"/>
      <c r="AG158"/>
      <c r="AH158"/>
      <c r="AI158"/>
      <c r="AJ158"/>
      <c r="AK158"/>
      <c r="AL158"/>
      <c r="AM158"/>
      <c r="AN158"/>
      <c r="AO158"/>
    </row>
    <row r="159" spans="1:41" s="6" customFormat="1" x14ac:dyDescent="0.25">
      <c r="A159"/>
      <c r="B159"/>
      <c r="C159"/>
      <c r="D159"/>
      <c r="E159"/>
      <c r="F159"/>
      <c r="H159"/>
      <c r="I159"/>
      <c r="J159"/>
      <c r="K159"/>
      <c r="L159"/>
      <c r="N159"/>
      <c r="O159"/>
      <c r="P159"/>
      <c r="Q159"/>
      <c r="R159"/>
      <c r="T159"/>
      <c r="U159"/>
      <c r="V159"/>
      <c r="W159"/>
      <c r="X159"/>
      <c r="Z159" s="21"/>
      <c r="AA159" s="21">
        <f>Tabla356813212939717274757677787717273747[[#This Row],[COMISIONES]]*0.21</f>
        <v>0</v>
      </c>
      <c r="AB159" s="21">
        <f>Tabla356813212939717274757677787717273747[[#This Row],[COMISIONES]]*0.105</f>
        <v>0</v>
      </c>
      <c r="AC159" s="21"/>
      <c r="AD159" s="21"/>
      <c r="AF159"/>
      <c r="AG159"/>
      <c r="AH159"/>
      <c r="AI159"/>
      <c r="AJ159"/>
      <c r="AK159"/>
      <c r="AL159"/>
      <c r="AM159"/>
      <c r="AN159"/>
      <c r="AO159"/>
    </row>
    <row r="160" spans="1:41" s="6" customFormat="1" x14ac:dyDescent="0.25">
      <c r="A160"/>
      <c r="B160"/>
      <c r="C160"/>
      <c r="D160"/>
      <c r="E160"/>
      <c r="F160"/>
      <c r="H160"/>
      <c r="I160"/>
      <c r="J160"/>
      <c r="K160"/>
      <c r="L160"/>
      <c r="N160"/>
      <c r="O160"/>
      <c r="P160"/>
      <c r="Q160"/>
      <c r="R160"/>
      <c r="T160"/>
      <c r="U160"/>
      <c r="V160"/>
      <c r="W160"/>
      <c r="X160"/>
      <c r="Z160" s="21"/>
      <c r="AA160" s="21">
        <f>Tabla356813212939717274757677787717273747[[#This Row],[COMISIONES]]*0.21</f>
        <v>0</v>
      </c>
      <c r="AB160" s="21">
        <f>Tabla356813212939717274757677787717273747[[#This Row],[COMISIONES]]*0.105</f>
        <v>0</v>
      </c>
      <c r="AC160" s="21"/>
      <c r="AD160" s="21"/>
      <c r="AF160"/>
      <c r="AG160"/>
      <c r="AH160"/>
      <c r="AI160"/>
      <c r="AJ160"/>
      <c r="AK160"/>
      <c r="AL160"/>
      <c r="AM160"/>
      <c r="AN160"/>
      <c r="AO160"/>
    </row>
    <row r="161" spans="1:41" s="6" customFormat="1" x14ac:dyDescent="0.25">
      <c r="A161"/>
      <c r="B161"/>
      <c r="C161"/>
      <c r="D161"/>
      <c r="E161"/>
      <c r="F161"/>
      <c r="H161"/>
      <c r="I161"/>
      <c r="J161"/>
      <c r="K161"/>
      <c r="L161"/>
      <c r="N161"/>
      <c r="O161"/>
      <c r="P161"/>
      <c r="Q161"/>
      <c r="R161"/>
      <c r="T161"/>
      <c r="U161"/>
      <c r="V161"/>
      <c r="W161"/>
      <c r="X161"/>
      <c r="Z161" s="21"/>
      <c r="AA161" s="21">
        <f>Tabla356813212939717274757677787717273747[[#This Row],[COMISIONES]]*0.21</f>
        <v>0</v>
      </c>
      <c r="AB161" s="21">
        <f>Tabla356813212939717274757677787717273747[[#This Row],[COMISIONES]]*0.105</f>
        <v>0</v>
      </c>
      <c r="AC161" s="21"/>
      <c r="AD161" s="21"/>
      <c r="AF161"/>
      <c r="AG161"/>
      <c r="AH161"/>
      <c r="AI161"/>
      <c r="AJ161"/>
      <c r="AK161"/>
      <c r="AL161"/>
      <c r="AM161"/>
      <c r="AN161"/>
      <c r="AO161"/>
    </row>
    <row r="162" spans="1:41" s="6" customFormat="1" x14ac:dyDescent="0.25">
      <c r="A162"/>
      <c r="B162"/>
      <c r="C162"/>
      <c r="D162"/>
      <c r="E162"/>
      <c r="F162"/>
      <c r="H162"/>
      <c r="I162"/>
      <c r="J162"/>
      <c r="K162"/>
      <c r="L162"/>
      <c r="N162"/>
      <c r="O162"/>
      <c r="P162"/>
      <c r="Q162"/>
      <c r="R162"/>
      <c r="T162"/>
      <c r="U162"/>
      <c r="V162"/>
      <c r="W162"/>
      <c r="X162"/>
      <c r="Z162" s="21"/>
      <c r="AA162" s="21">
        <f>Tabla356813212939717274757677787717273747[[#This Row],[COMISIONES]]*0.21</f>
        <v>0</v>
      </c>
      <c r="AB162" s="21">
        <f>Tabla356813212939717274757677787717273747[[#This Row],[COMISIONES]]*0.105</f>
        <v>0</v>
      </c>
      <c r="AC162" s="21"/>
      <c r="AD162" s="21"/>
      <c r="AF162"/>
      <c r="AG162"/>
      <c r="AH162"/>
      <c r="AI162"/>
      <c r="AJ162"/>
      <c r="AK162"/>
      <c r="AL162"/>
      <c r="AM162"/>
      <c r="AN162"/>
      <c r="AO162"/>
    </row>
    <row r="163" spans="1:41" s="6" customFormat="1" x14ac:dyDescent="0.25">
      <c r="A163"/>
      <c r="B163"/>
      <c r="C163"/>
      <c r="D163"/>
      <c r="E163"/>
      <c r="F163"/>
      <c r="H163"/>
      <c r="I163"/>
      <c r="J163"/>
      <c r="K163"/>
      <c r="L163"/>
      <c r="N163"/>
      <c r="O163"/>
      <c r="P163"/>
      <c r="Q163"/>
      <c r="R163"/>
      <c r="T163"/>
      <c r="U163"/>
      <c r="V163"/>
      <c r="W163"/>
      <c r="X163"/>
      <c r="Z163" s="21"/>
      <c r="AA163" s="21">
        <f>Tabla356813212939717274757677787717273747[[#This Row],[COMISIONES]]*0.21</f>
        <v>0</v>
      </c>
      <c r="AB163" s="21">
        <f>Tabla356813212939717274757677787717273747[[#This Row],[COMISIONES]]*0.105</f>
        <v>0</v>
      </c>
      <c r="AC163" s="21"/>
      <c r="AD163" s="21"/>
      <c r="AF163"/>
      <c r="AG163"/>
      <c r="AH163"/>
      <c r="AI163"/>
      <c r="AJ163"/>
      <c r="AK163"/>
      <c r="AL163"/>
      <c r="AM163"/>
      <c r="AN163"/>
      <c r="AO163"/>
    </row>
    <row r="164" spans="1:41" s="6" customFormat="1" x14ac:dyDescent="0.25">
      <c r="A164"/>
      <c r="B164"/>
      <c r="C164"/>
      <c r="D164"/>
      <c r="E164"/>
      <c r="F164"/>
      <c r="H164"/>
      <c r="I164"/>
      <c r="J164"/>
      <c r="K164"/>
      <c r="L164"/>
      <c r="N164"/>
      <c r="O164"/>
      <c r="P164"/>
      <c r="Q164"/>
      <c r="R164"/>
      <c r="T164"/>
      <c r="U164"/>
      <c r="V164"/>
      <c r="W164"/>
      <c r="X164"/>
      <c r="Z164" s="21"/>
      <c r="AA164" s="21">
        <f>Tabla356813212939717274757677787717273747[[#This Row],[COMISIONES]]*0.21</f>
        <v>0</v>
      </c>
      <c r="AB164" s="21">
        <f>Tabla356813212939717274757677787717273747[[#This Row],[COMISIONES]]*0.105</f>
        <v>0</v>
      </c>
      <c r="AC164" s="21"/>
      <c r="AD164" s="21"/>
      <c r="AF164"/>
      <c r="AG164"/>
      <c r="AH164"/>
      <c r="AI164"/>
      <c r="AJ164"/>
      <c r="AK164"/>
      <c r="AL164"/>
      <c r="AM164"/>
      <c r="AN164"/>
      <c r="AO164"/>
    </row>
    <row r="165" spans="1:41" s="6" customFormat="1" x14ac:dyDescent="0.25">
      <c r="A165"/>
      <c r="B165"/>
      <c r="C165"/>
      <c r="D165"/>
      <c r="E165"/>
      <c r="F165"/>
      <c r="H165"/>
      <c r="I165"/>
      <c r="J165"/>
      <c r="K165"/>
      <c r="L165"/>
      <c r="N165"/>
      <c r="O165"/>
      <c r="P165"/>
      <c r="Q165"/>
      <c r="R165"/>
      <c r="T165"/>
      <c r="U165"/>
      <c r="V165"/>
      <c r="W165"/>
      <c r="X165"/>
      <c r="Z165" s="21"/>
      <c r="AA165" s="21">
        <f>Tabla356813212939717274757677787717273747[[#This Row],[COMISIONES]]*0.21</f>
        <v>0</v>
      </c>
      <c r="AB165" s="21">
        <f>Tabla356813212939717274757677787717273747[[#This Row],[COMISIONES]]*0.105</f>
        <v>0</v>
      </c>
      <c r="AC165" s="21"/>
      <c r="AD165" s="21"/>
      <c r="AF165"/>
      <c r="AG165"/>
      <c r="AH165"/>
      <c r="AI165"/>
      <c r="AJ165"/>
      <c r="AK165"/>
      <c r="AL165"/>
      <c r="AM165"/>
      <c r="AN165"/>
      <c r="AO165"/>
    </row>
    <row r="166" spans="1:41" s="6" customFormat="1" x14ac:dyDescent="0.25">
      <c r="A166"/>
      <c r="B166"/>
      <c r="C166"/>
      <c r="D166"/>
      <c r="E166"/>
      <c r="F166"/>
      <c r="H166"/>
      <c r="I166"/>
      <c r="J166"/>
      <c r="K166"/>
      <c r="L166"/>
      <c r="N166"/>
      <c r="O166"/>
      <c r="P166"/>
      <c r="Q166"/>
      <c r="R166"/>
      <c r="T166"/>
      <c r="U166"/>
      <c r="V166"/>
      <c r="W166"/>
      <c r="X166"/>
      <c r="Z166" s="21"/>
      <c r="AA166" s="21">
        <f>Tabla356813212939717274757677787717273747[[#This Row],[COMISIONES]]*0.21</f>
        <v>0</v>
      </c>
      <c r="AB166" s="21">
        <f>Tabla356813212939717274757677787717273747[[#This Row],[COMISIONES]]*0.105</f>
        <v>0</v>
      </c>
      <c r="AC166" s="21"/>
      <c r="AD166" s="21"/>
      <c r="AF166"/>
      <c r="AG166"/>
      <c r="AH166"/>
      <c r="AI166"/>
      <c r="AJ166"/>
      <c r="AK166"/>
      <c r="AL166"/>
      <c r="AM166"/>
      <c r="AN166"/>
      <c r="AO166"/>
    </row>
    <row r="167" spans="1:41" s="6" customFormat="1" x14ac:dyDescent="0.25">
      <c r="A167"/>
      <c r="B167"/>
      <c r="C167"/>
      <c r="D167"/>
      <c r="E167"/>
      <c r="F167"/>
      <c r="H167"/>
      <c r="I167"/>
      <c r="J167"/>
      <c r="K167"/>
      <c r="L167"/>
      <c r="N167"/>
      <c r="O167"/>
      <c r="P167"/>
      <c r="Q167"/>
      <c r="R167"/>
      <c r="T167"/>
      <c r="U167"/>
      <c r="V167"/>
      <c r="W167"/>
      <c r="X167"/>
      <c r="Z167" s="21"/>
      <c r="AA167" s="21">
        <f>Tabla356813212939717274757677787717273747[[#This Row],[COMISIONES]]*0.21</f>
        <v>0</v>
      </c>
      <c r="AB167" s="21">
        <f>Tabla356813212939717274757677787717273747[[#This Row],[COMISIONES]]*0.105</f>
        <v>0</v>
      </c>
      <c r="AC167" s="21"/>
      <c r="AD167" s="21"/>
      <c r="AF167"/>
      <c r="AG167"/>
      <c r="AH167"/>
      <c r="AI167"/>
      <c r="AJ167"/>
      <c r="AK167"/>
      <c r="AL167"/>
      <c r="AM167"/>
      <c r="AN167"/>
      <c r="AO167"/>
    </row>
    <row r="168" spans="1:41" s="6" customFormat="1" x14ac:dyDescent="0.25">
      <c r="A168"/>
      <c r="B168"/>
      <c r="C168"/>
      <c r="D168"/>
      <c r="E168"/>
      <c r="F168"/>
      <c r="H168"/>
      <c r="I168"/>
      <c r="J168"/>
      <c r="K168"/>
      <c r="L168"/>
      <c r="N168"/>
      <c r="O168"/>
      <c r="P168"/>
      <c r="Q168"/>
      <c r="R168"/>
      <c r="T168"/>
      <c r="U168"/>
      <c r="V168"/>
      <c r="W168"/>
      <c r="X168"/>
      <c r="Z168" s="21"/>
      <c r="AA168" s="21">
        <f>Tabla356813212939717274757677787717273747[[#This Row],[COMISIONES]]*0.21</f>
        <v>0</v>
      </c>
      <c r="AB168" s="21">
        <f>Tabla356813212939717274757677787717273747[[#This Row],[COMISIONES]]*0.105</f>
        <v>0</v>
      </c>
      <c r="AC168" s="21"/>
      <c r="AD168" s="21"/>
      <c r="AF168"/>
      <c r="AG168"/>
      <c r="AH168"/>
      <c r="AI168"/>
      <c r="AJ168"/>
      <c r="AK168"/>
      <c r="AL168"/>
      <c r="AM168"/>
      <c r="AN168"/>
      <c r="AO168"/>
    </row>
    <row r="169" spans="1:41" s="6" customFormat="1" x14ac:dyDescent="0.25">
      <c r="A169"/>
      <c r="B169"/>
      <c r="C169"/>
      <c r="D169"/>
      <c r="E169"/>
      <c r="F169"/>
      <c r="H169"/>
      <c r="I169"/>
      <c r="J169"/>
      <c r="K169"/>
      <c r="L169"/>
      <c r="N169"/>
      <c r="O169"/>
      <c r="P169"/>
      <c r="Q169"/>
      <c r="R169"/>
      <c r="T169"/>
      <c r="U169"/>
      <c r="V169"/>
      <c r="W169"/>
      <c r="X169"/>
      <c r="Z169" s="4">
        <f>SUBTOTAL(109,Tabla356813212939717274757677787717273747[COMISIONES])</f>
        <v>0</v>
      </c>
      <c r="AA169" s="4">
        <f>SUBTOTAL(109,Tabla356813212939717274757677787717273747[IVA 21])</f>
        <v>0</v>
      </c>
      <c r="AB169" s="4">
        <f>SUBTOTAL(109,Tabla356813212939717274757677787717273747[IVA 10,5])</f>
        <v>0</v>
      </c>
      <c r="AC169" s="4">
        <f>SUBTOTAL(109,Tabla356813212939717274757677787717273747[Ret IIBB Caba])</f>
        <v>0</v>
      </c>
      <c r="AD169" s="4">
        <f>SUBTOTAL(109,Tabla356813212939717274757677787717273747[PERC IVA])</f>
        <v>0</v>
      </c>
      <c r="AF169"/>
      <c r="AG169"/>
      <c r="AH169"/>
      <c r="AI169"/>
      <c r="AJ169"/>
      <c r="AK169"/>
      <c r="AL169"/>
      <c r="AM169"/>
      <c r="AN169"/>
      <c r="AO169"/>
    </row>
  </sheetData>
  <mergeCells count="13">
    <mergeCell ref="G2:H2"/>
    <mergeCell ref="J2:K2"/>
    <mergeCell ref="G12:H12"/>
    <mergeCell ref="T64:X64"/>
    <mergeCell ref="T14:X14"/>
    <mergeCell ref="AF14:AJ14"/>
    <mergeCell ref="N14:R14"/>
    <mergeCell ref="H54:L54"/>
    <mergeCell ref="AK14:AO14"/>
    <mergeCell ref="T32:X32"/>
    <mergeCell ref="Z14:AD14"/>
    <mergeCell ref="B14:F14"/>
    <mergeCell ref="H14:L14"/>
  </mergeCells>
  <pageMargins left="0.7" right="0.7" top="0.75" bottom="0.75" header="0.3" footer="0.3"/>
  <pageSetup paperSize="9" orientation="portrait" horizontalDpi="300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CFBDD-EBD3-418E-B203-756029E999F7}">
  <dimension ref="A1:AO253"/>
  <sheetViews>
    <sheetView showGridLines="0" topLeftCell="Q1" zoomScale="115" zoomScaleNormal="115" workbookViewId="0">
      <selection activeCell="B6" sqref="B6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4" bestFit="1" customWidth="1"/>
    <col min="4" max="4" width="12.140625" bestFit="1" customWidth="1"/>
    <col min="5" max="5" width="11.5703125" customWidth="1"/>
    <col min="6" max="6" width="13" bestFit="1" customWidth="1"/>
    <col min="7" max="7" width="2.42578125" style="6" customWidth="1"/>
    <col min="8" max="8" width="12.7109375" customWidth="1"/>
    <col min="9" max="9" width="13.5703125" customWidth="1"/>
    <col min="10" max="10" width="12.28515625" bestFit="1" customWidth="1"/>
    <col min="11" max="11" width="12.85546875" customWidth="1"/>
    <col min="13" max="13" width="2.5703125" style="6" customWidth="1"/>
    <col min="14" max="14" width="12.7109375" customWidth="1"/>
    <col min="17" max="17" width="12.85546875" customWidth="1"/>
    <col min="19" max="19" width="2.5703125" style="6" customWidth="1"/>
    <col min="20" max="20" width="12.7109375" customWidth="1"/>
    <col min="23" max="23" width="12.85546875" customWidth="1"/>
    <col min="24" max="24" width="13.5703125" customWidth="1"/>
    <col min="25" max="25" width="2.5703125" style="6" customWidth="1"/>
    <col min="26" max="26" width="15.42578125" bestFit="1" customWidth="1"/>
    <col min="27" max="27" width="13.28515625" customWidth="1"/>
    <col min="29" max="29" width="15.7109375" bestFit="1" customWidth="1"/>
    <col min="31" max="31" width="2.5703125" style="6" customWidth="1"/>
    <col min="32" max="32" width="15.42578125" bestFit="1" customWidth="1"/>
    <col min="33" max="33" width="12.28515625" bestFit="1" customWidth="1"/>
    <col min="35" max="35" width="15.7109375" bestFit="1" customWidth="1"/>
  </cols>
  <sheetData>
    <row r="1" spans="1:41" x14ac:dyDescent="0.25">
      <c r="G1"/>
      <c r="M1"/>
      <c r="S1"/>
      <c r="Y1"/>
      <c r="AE1"/>
    </row>
    <row r="2" spans="1:41" ht="18.75" x14ac:dyDescent="0.25">
      <c r="C2" s="15" t="s">
        <v>2</v>
      </c>
      <c r="D2" s="16" t="s">
        <v>0</v>
      </c>
      <c r="E2" s="16" t="s">
        <v>1</v>
      </c>
      <c r="F2" s="16" t="s">
        <v>3</v>
      </c>
      <c r="G2" s="53" t="s">
        <v>4</v>
      </c>
      <c r="H2" s="54"/>
      <c r="J2" s="55">
        <v>45536</v>
      </c>
      <c r="K2" s="55"/>
      <c r="M2"/>
      <c r="S2"/>
      <c r="Y2"/>
      <c r="AE2"/>
    </row>
    <row r="3" spans="1:41" x14ac:dyDescent="0.25">
      <c r="B3" s="25" t="str">
        <f>+B14</f>
        <v>Extracto Santander</v>
      </c>
      <c r="C3" s="14">
        <v>66210</v>
      </c>
      <c r="D3" s="14">
        <v>13904.1</v>
      </c>
      <c r="E3" s="14"/>
      <c r="F3" s="14">
        <v>3972.6</v>
      </c>
      <c r="G3" s="32"/>
      <c r="H3" s="33">
        <v>1986.3</v>
      </c>
      <c r="J3" s="2"/>
      <c r="K3" s="3"/>
      <c r="M3"/>
      <c r="N3" t="s">
        <v>5</v>
      </c>
      <c r="S3"/>
      <c r="Y3"/>
      <c r="AE3"/>
    </row>
    <row r="4" spans="1:41" x14ac:dyDescent="0.25">
      <c r="B4" s="25" t="str">
        <f>+H14</f>
        <v>CABAL 22/3</v>
      </c>
      <c r="C4" s="14"/>
      <c r="D4" s="14"/>
      <c r="E4" s="14"/>
      <c r="F4" s="14"/>
      <c r="G4" s="32"/>
      <c r="H4" s="33"/>
      <c r="J4" s="2"/>
      <c r="K4" s="3"/>
      <c r="M4"/>
      <c r="S4"/>
      <c r="Y4"/>
      <c r="AE4"/>
    </row>
    <row r="5" spans="1:41" x14ac:dyDescent="0.25">
      <c r="B5" s="25" t="str">
        <f>+N14</f>
        <v>BBVA VISA</v>
      </c>
      <c r="C5" s="14">
        <v>6611.57</v>
      </c>
      <c r="D5" s="14">
        <v>1388.4296999999999</v>
      </c>
      <c r="E5" s="14" t="s">
        <v>18</v>
      </c>
      <c r="F5" s="14">
        <v>85.73</v>
      </c>
      <c r="G5" s="32"/>
      <c r="H5" s="33">
        <v>198.35</v>
      </c>
      <c r="M5"/>
      <c r="S5"/>
      <c r="Y5"/>
      <c r="AE5"/>
    </row>
    <row r="6" spans="1:41" x14ac:dyDescent="0.25">
      <c r="B6" s="25" t="str">
        <f>+T14</f>
        <v>GALICIA EXTRACTO (31/03)</v>
      </c>
      <c r="C6" s="14">
        <v>48096.86</v>
      </c>
      <c r="D6" s="14">
        <v>10080</v>
      </c>
      <c r="E6" s="14">
        <v>10.170299999999999</v>
      </c>
      <c r="F6" s="14">
        <v>29724.830000000009</v>
      </c>
      <c r="G6" s="32"/>
      <c r="H6" s="34">
        <v>1440</v>
      </c>
      <c r="M6"/>
      <c r="S6"/>
      <c r="Y6"/>
      <c r="AE6"/>
    </row>
    <row r="7" spans="1:41" x14ac:dyDescent="0.25">
      <c r="B7" s="25" t="str">
        <f>+Z14</f>
        <v>SANTANDER - GETNET</v>
      </c>
      <c r="C7" s="31"/>
      <c r="D7" s="14"/>
      <c r="E7" s="14"/>
      <c r="F7" s="14"/>
      <c r="G7" s="32"/>
      <c r="H7" s="33"/>
      <c r="M7"/>
      <c r="S7"/>
      <c r="Y7"/>
      <c r="AE7"/>
    </row>
    <row r="8" spans="1:41" x14ac:dyDescent="0.25">
      <c r="B8" s="25" t="s">
        <v>14</v>
      </c>
      <c r="C8" s="14">
        <v>226706.22999999998</v>
      </c>
      <c r="D8" s="14">
        <v>40604.743199999997</v>
      </c>
      <c r="E8" s="14">
        <v>3501.7825499999994</v>
      </c>
      <c r="F8" s="14">
        <v>11243.75</v>
      </c>
      <c r="G8"/>
      <c r="H8" s="35">
        <v>6201.6</v>
      </c>
      <c r="I8" s="36"/>
      <c r="M8"/>
      <c r="S8"/>
      <c r="Y8"/>
      <c r="AE8"/>
    </row>
    <row r="9" spans="1:41" x14ac:dyDescent="0.25">
      <c r="B9" s="28" t="s">
        <v>17</v>
      </c>
      <c r="C9" s="14"/>
      <c r="D9" s="14"/>
      <c r="E9" s="14"/>
      <c r="F9" s="14"/>
      <c r="G9" s="32"/>
      <c r="H9" s="33"/>
      <c r="M9"/>
      <c r="S9"/>
      <c r="Y9"/>
      <c r="AE9"/>
    </row>
    <row r="10" spans="1:41" x14ac:dyDescent="0.25">
      <c r="B10" s="28" t="s">
        <v>15</v>
      </c>
      <c r="C10" s="14"/>
      <c r="D10" s="14"/>
      <c r="E10" s="14"/>
      <c r="F10" s="14"/>
      <c r="G10" s="32"/>
      <c r="H10" s="33"/>
      <c r="J10" s="3">
        <f>E7*100/10.5</f>
        <v>0</v>
      </c>
      <c r="M10"/>
      <c r="S10"/>
      <c r="Y10"/>
      <c r="AE10"/>
    </row>
    <row r="11" spans="1:41" x14ac:dyDescent="0.25">
      <c r="B11" s="28" t="s">
        <v>13</v>
      </c>
      <c r="C11" s="14">
        <v>3966.94</v>
      </c>
      <c r="D11" s="14">
        <v>833.05740000000003</v>
      </c>
      <c r="E11" s="14">
        <v>0</v>
      </c>
      <c r="F11" s="14">
        <v>867.1</v>
      </c>
      <c r="G11" s="32"/>
      <c r="H11" s="33">
        <v>119.01</v>
      </c>
      <c r="M11"/>
      <c r="S11"/>
      <c r="Y11"/>
      <c r="AE11"/>
    </row>
    <row r="12" spans="1:41" x14ac:dyDescent="0.25">
      <c r="A12" s="26"/>
      <c r="B12" s="26"/>
      <c r="C12" s="27">
        <f>SUM(C3:C11)</f>
        <v>351591.6</v>
      </c>
      <c r="D12" s="27">
        <f t="shared" ref="D12:F12" si="0">SUM(D3:D11)</f>
        <v>66810.330300000001</v>
      </c>
      <c r="E12" s="27">
        <f t="shared" si="0"/>
        <v>3511.9528499999997</v>
      </c>
      <c r="F12" s="27">
        <f t="shared" si="0"/>
        <v>45894.010000000009</v>
      </c>
      <c r="G12" s="56">
        <f>SUM(G3:H11)</f>
        <v>9945.26</v>
      </c>
      <c r="H12" s="56"/>
      <c r="M12"/>
      <c r="S12"/>
      <c r="Y12"/>
      <c r="AE12"/>
    </row>
    <row r="13" spans="1:41" x14ac:dyDescent="0.25">
      <c r="A13" s="26"/>
      <c r="B13" s="26"/>
      <c r="G13"/>
      <c r="M13"/>
      <c r="S13"/>
      <c r="Y13"/>
      <c r="AE13"/>
    </row>
    <row r="14" spans="1:41" ht="16.5" customHeight="1" x14ac:dyDescent="0.3">
      <c r="B14" s="52" t="s">
        <v>10</v>
      </c>
      <c r="C14" s="52"/>
      <c r="D14" s="52"/>
      <c r="E14" s="52"/>
      <c r="F14" s="52"/>
      <c r="H14" s="52" t="s">
        <v>8</v>
      </c>
      <c r="I14" s="52"/>
      <c r="J14" s="52"/>
      <c r="K14" s="52"/>
      <c r="L14" s="52"/>
      <c r="N14" s="52" t="s">
        <v>11</v>
      </c>
      <c r="O14" s="52"/>
      <c r="P14" s="52"/>
      <c r="Q14" s="52"/>
      <c r="R14" s="52"/>
      <c r="T14" s="52" t="s">
        <v>6</v>
      </c>
      <c r="U14" s="52"/>
      <c r="V14" s="52"/>
      <c r="W14" s="52"/>
      <c r="X14" s="52"/>
      <c r="Z14" s="52" t="s">
        <v>16</v>
      </c>
      <c r="AA14" s="52"/>
      <c r="AB14" s="52"/>
      <c r="AC14" s="52"/>
      <c r="AD14" s="52"/>
      <c r="AF14" s="52" t="s">
        <v>17</v>
      </c>
      <c r="AG14" s="52"/>
      <c r="AH14" s="52"/>
      <c r="AI14" s="52"/>
      <c r="AJ14" s="52"/>
      <c r="AK14" s="52" t="s">
        <v>13</v>
      </c>
      <c r="AL14" s="52"/>
      <c r="AM14" s="52"/>
      <c r="AN14" s="52"/>
      <c r="AO14" s="52"/>
    </row>
    <row r="15" spans="1:41" s="5" customFormat="1" x14ac:dyDescent="0.25">
      <c r="B15" s="10" t="s">
        <v>2</v>
      </c>
      <c r="C15" s="9" t="s">
        <v>0</v>
      </c>
      <c r="D15" s="9" t="s">
        <v>1</v>
      </c>
      <c r="E15" s="9" t="s">
        <v>3</v>
      </c>
      <c r="F15" s="9" t="s">
        <v>4</v>
      </c>
      <c r="G15" s="7"/>
      <c r="H15" s="12" t="s">
        <v>2</v>
      </c>
      <c r="I15" s="13" t="s">
        <v>0</v>
      </c>
      <c r="J15" s="13" t="s">
        <v>1</v>
      </c>
      <c r="K15" s="13" t="s">
        <v>3</v>
      </c>
      <c r="L15" s="13" t="s">
        <v>4</v>
      </c>
      <c r="M15" s="7"/>
      <c r="N15" s="12" t="s">
        <v>2</v>
      </c>
      <c r="O15" s="13" t="s">
        <v>0</v>
      </c>
      <c r="P15" s="13" t="s">
        <v>1</v>
      </c>
      <c r="Q15" s="13" t="s">
        <v>3</v>
      </c>
      <c r="R15" s="13" t="s">
        <v>4</v>
      </c>
      <c r="S15" s="7"/>
      <c r="T15" s="12" t="s">
        <v>2</v>
      </c>
      <c r="U15" s="13" t="s">
        <v>0</v>
      </c>
      <c r="V15" s="13" t="s">
        <v>1</v>
      </c>
      <c r="W15" s="13" t="s">
        <v>3</v>
      </c>
      <c r="X15" s="13" t="s">
        <v>4</v>
      </c>
      <c r="Y15" s="7"/>
      <c r="Z15" s="12" t="s">
        <v>2</v>
      </c>
      <c r="AA15" s="13" t="s">
        <v>0</v>
      </c>
      <c r="AB15" s="13" t="s">
        <v>1</v>
      </c>
      <c r="AC15" s="13" t="s">
        <v>3</v>
      </c>
      <c r="AD15" s="13" t="s">
        <v>4</v>
      </c>
      <c r="AE15" s="7"/>
      <c r="AF15" s="12" t="s">
        <v>2</v>
      </c>
      <c r="AG15" s="13" t="s">
        <v>0</v>
      </c>
      <c r="AH15" s="13" t="s">
        <v>1</v>
      </c>
      <c r="AI15" s="13" t="s">
        <v>3</v>
      </c>
      <c r="AJ15" s="13" t="s">
        <v>4</v>
      </c>
      <c r="AK15" s="12" t="s">
        <v>2</v>
      </c>
      <c r="AL15" s="13" t="s">
        <v>0</v>
      </c>
      <c r="AM15" s="13" t="s">
        <v>1</v>
      </c>
      <c r="AN15" s="13" t="s">
        <v>3</v>
      </c>
      <c r="AO15" s="13" t="s">
        <v>4</v>
      </c>
    </row>
    <row r="16" spans="1:41" x14ac:dyDescent="0.25">
      <c r="B16" s="2">
        <v>53300</v>
      </c>
      <c r="C16" s="2">
        <f>Tabla1316243221222335262728221222324252[[#This Row],[COMISIONES]]*0.21</f>
        <v>11193</v>
      </c>
      <c r="D16" s="3" t="s">
        <v>18</v>
      </c>
      <c r="E16" s="3">
        <v>3198</v>
      </c>
      <c r="F16" s="1">
        <v>1599</v>
      </c>
      <c r="G16" s="8"/>
      <c r="H16" s="3"/>
      <c r="I16" s="11">
        <f>Tabla3917253531323345363738331323334353[[#This Row],[COMISIONES]]*0.21</f>
        <v>0</v>
      </c>
      <c r="J16" s="11"/>
      <c r="K16" s="11"/>
      <c r="L16" s="3"/>
      <c r="M16" s="8"/>
      <c r="N16" s="3">
        <v>6611.57</v>
      </c>
      <c r="O16" s="11">
        <f>Tabla351018263641424445464748441424344454[[#This Row],[COMISIONES]]*0.21</f>
        <v>1388.4296999999999</v>
      </c>
      <c r="P16" s="11"/>
      <c r="Q16" s="1">
        <v>51.81</v>
      </c>
      <c r="R16">
        <v>198.35</v>
      </c>
      <c r="S16" s="8"/>
      <c r="T16" s="11"/>
      <c r="U16" s="11">
        <f>Tabla3561119273751525455565758551525354555[[#This Row],[COMISIONES]]*0.21</f>
        <v>0</v>
      </c>
      <c r="V16" s="11"/>
      <c r="W16" s="11"/>
      <c r="X16" s="11"/>
      <c r="Y16" s="8"/>
      <c r="Z16" s="3"/>
      <c r="AA16" s="11">
        <f>Tabla35681321293971727475767778771727374757[[#This Row],[COMISIONES]]*0.21</f>
        <v>0</v>
      </c>
      <c r="AB16" s="3"/>
      <c r="AC16" s="1"/>
      <c r="AE16" s="8"/>
      <c r="AF16" s="3"/>
      <c r="AG16" s="11">
        <f>Tabla3568131422304081828485868788881828384858[[#This Row],[COMISIONES]]*0.21</f>
        <v>0</v>
      </c>
      <c r="AH16" s="11"/>
      <c r="AI16" s="1"/>
      <c r="AJ16" s="11"/>
      <c r="AK16" s="11">
        <v>3966.94</v>
      </c>
      <c r="AL16" s="11">
        <f>Tabla35611192734431121315161718191112131415161[[#This Row],[COMISIONES]]*0.21</f>
        <v>833.05740000000003</v>
      </c>
      <c r="AM16" s="11"/>
      <c r="AN16" s="11">
        <v>604.37</v>
      </c>
      <c r="AO16" s="11">
        <v>119.01</v>
      </c>
    </row>
    <row r="17" spans="2:41" x14ac:dyDescent="0.25">
      <c r="B17" s="3">
        <v>12910</v>
      </c>
      <c r="C17" s="2">
        <f>Tabla1316243221222335262728221222324252[[#This Row],[COMISIONES]]*0.21</f>
        <v>2711.1</v>
      </c>
      <c r="D17" s="3" t="s">
        <v>18</v>
      </c>
      <c r="E17" s="3">
        <v>774.6</v>
      </c>
      <c r="F17" s="3">
        <v>387.3</v>
      </c>
      <c r="G17" s="8"/>
      <c r="H17" s="11"/>
      <c r="I17" s="11">
        <f>Tabla3917253531323345363738331323334353[[#This Row],[COMISIONES]]*0.21</f>
        <v>0</v>
      </c>
      <c r="J17" s="11"/>
      <c r="K17" s="11"/>
      <c r="L17" s="11"/>
      <c r="M17" s="8"/>
      <c r="N17" s="11"/>
      <c r="O17" s="11">
        <f>Tabla351018263641424445464748441424344454[[#This Row],[COMISIONES]]*0.21</f>
        <v>0</v>
      </c>
      <c r="P17" s="11"/>
      <c r="Q17" s="1">
        <v>33.92</v>
      </c>
      <c r="S17" s="8"/>
      <c r="T17" s="11"/>
      <c r="U17" s="11"/>
      <c r="V17" s="11">
        <f>Tabla3561119273751525455565758551525354555[[#This Row],[COMISIONES]]*0.105</f>
        <v>0</v>
      </c>
      <c r="W17" s="11"/>
      <c r="X17" s="11"/>
      <c r="Y17" s="8"/>
      <c r="Z17" s="3"/>
      <c r="AA17" s="11">
        <f>Tabla35681321293971727475767778771727374757[[#This Row],[COMISIONES]]*0.21</f>
        <v>0</v>
      </c>
      <c r="AB17" s="3"/>
      <c r="AC17" s="1"/>
      <c r="AE17" s="8"/>
      <c r="AF17" s="11"/>
      <c r="AG17" s="11">
        <f>Tabla3568131422304081828485868788881828384858[[#This Row],[COMISIONES]]*0.21</f>
        <v>0</v>
      </c>
      <c r="AH17" s="11"/>
      <c r="AI17" s="11"/>
      <c r="AJ17" s="11"/>
      <c r="AK17" s="11"/>
      <c r="AL17" s="11" t="s">
        <v>18</v>
      </c>
      <c r="AM17" s="11">
        <f>Tabla35611192734431121315161718191112131415161[[#This Row],[COMISIONES]]*0.105</f>
        <v>0</v>
      </c>
      <c r="AN17" s="11">
        <v>262.73</v>
      </c>
      <c r="AO17" s="11" t="s">
        <v>18</v>
      </c>
    </row>
    <row r="18" spans="2:41" x14ac:dyDescent="0.25">
      <c r="B18" s="3"/>
      <c r="C18" s="2">
        <f>Tabla1316243221222335262728221222324252[[#This Row],[COMISIONES]]*0.21</f>
        <v>0</v>
      </c>
      <c r="D18" s="3" t="s">
        <v>18</v>
      </c>
      <c r="E18" s="3"/>
      <c r="F18" s="3"/>
      <c r="H18" s="11"/>
      <c r="I18" s="11">
        <f>Tabla3917253531323345363738331323334353[[#This Row],[COMISIONES]]*0.21</f>
        <v>0</v>
      </c>
      <c r="J18" s="11"/>
      <c r="K18" s="11"/>
      <c r="L18" s="11"/>
      <c r="N18" s="1"/>
      <c r="O18" s="11">
        <f>Tabla351018263641424445464748441424344454[[#This Row],[COMISIONES]]*0.21</f>
        <v>0</v>
      </c>
      <c r="P18" s="11"/>
      <c r="Q18" s="11"/>
      <c r="R18" s="23"/>
      <c r="T18" s="11"/>
      <c r="U18" s="11">
        <f>Tabla3561119273751525455565758551525354555[[#This Row],[COMISIONES]]*0.21</f>
        <v>0</v>
      </c>
      <c r="V18" s="11"/>
      <c r="W18" s="11"/>
      <c r="X18" s="11"/>
      <c r="Z18" s="3"/>
      <c r="AA18" s="11">
        <f>Tabla35681321293971727475767778771727374757[[#This Row],[COMISIONES]]*0.21</f>
        <v>0</v>
      </c>
      <c r="AB18" s="3"/>
      <c r="AF18" s="11"/>
      <c r="AG18" s="11">
        <f>Tabla3568131422304081828485868788881828384858[[#This Row],[COMISIONES]]*0.21</f>
        <v>0</v>
      </c>
      <c r="AH18" s="11"/>
      <c r="AI18" s="11"/>
      <c r="AJ18" s="11"/>
      <c r="AK18" s="11"/>
      <c r="AL18" s="11">
        <f>Tabla35611192734431121315161718191112131415161[[#This Row],[COMISIONES]]*0.21</f>
        <v>0</v>
      </c>
      <c r="AM18" s="11"/>
      <c r="AN18" s="11"/>
      <c r="AO18" s="11"/>
    </row>
    <row r="19" spans="2:41" x14ac:dyDescent="0.25">
      <c r="B19" s="3"/>
      <c r="C19" s="2">
        <f>Tabla1316243221222335262728221222324252[[#This Row],[COMISIONES]]*0.21</f>
        <v>0</v>
      </c>
      <c r="D19" s="3" t="s">
        <v>18</v>
      </c>
      <c r="E19" s="3"/>
      <c r="F19" s="3"/>
      <c r="G19" s="8"/>
      <c r="H19" s="11"/>
      <c r="I19" s="11">
        <f>Tabla3917253531323345363738331323334353[[#This Row],[COMISIONES]]*0.21</f>
        <v>0</v>
      </c>
      <c r="J19" s="11"/>
      <c r="K19" s="11"/>
      <c r="L19" s="11"/>
      <c r="M19" s="8"/>
      <c r="N19" s="1"/>
      <c r="O19" s="11">
        <f>Tabla351018263641424445464748441424344454[[#This Row],[COMISIONES]]*0.21</f>
        <v>0</v>
      </c>
      <c r="P19" s="11"/>
      <c r="Q19" s="11"/>
      <c r="R19" s="23"/>
      <c r="S19" s="8"/>
      <c r="T19" s="11"/>
      <c r="U19" s="11">
        <f>Tabla3561119273751525455565758551525354555[[#This Row],[COMISIONES]]*0.21</f>
        <v>0</v>
      </c>
      <c r="V19" s="11"/>
      <c r="W19" s="11"/>
      <c r="X19" s="11"/>
      <c r="Y19" s="8"/>
      <c r="Z19" s="3"/>
      <c r="AA19" s="11">
        <f>Tabla35681321293971727475767778771727374757[[#This Row],[COMISIONES]]*0.21</f>
        <v>0</v>
      </c>
      <c r="AB19" s="3"/>
      <c r="AC19" s="1"/>
      <c r="AE19" s="8"/>
      <c r="AF19" s="11"/>
      <c r="AG19" s="11">
        <f>Tabla3568131422304081828485868788881828384858[[#This Row],[COMISIONES]]*0.21</f>
        <v>0</v>
      </c>
      <c r="AH19" s="11"/>
      <c r="AI19" s="11"/>
      <c r="AJ19" s="11"/>
      <c r="AK19" s="11"/>
      <c r="AL19" s="11">
        <f>Tabla35611192734431121315161718191112131415161[[#This Row],[COMISIONES]]*0.21</f>
        <v>0</v>
      </c>
      <c r="AM19" s="11"/>
      <c r="AN19" s="11"/>
      <c r="AO19" s="11"/>
    </row>
    <row r="20" spans="2:41" x14ac:dyDescent="0.25">
      <c r="B20" s="3"/>
      <c r="C20" s="2">
        <f>Tabla1316243221222335262728221222324252[[#This Row],[COMISIONES]]*0.21</f>
        <v>0</v>
      </c>
      <c r="D20" s="3" t="s">
        <v>18</v>
      </c>
      <c r="E20" s="3"/>
      <c r="F20" s="3"/>
      <c r="H20" s="11"/>
      <c r="I20" s="11">
        <f>Tabla3917253531323345363738331323334353[[#This Row],[COMISIONES]]*0.21</f>
        <v>0</v>
      </c>
      <c r="J20" s="11"/>
      <c r="K20" s="11"/>
      <c r="L20" s="11"/>
      <c r="N20" s="1"/>
      <c r="O20" s="11">
        <f>Tabla351018263641424445464748441424344454[[#This Row],[COMISIONES]]*0.21</f>
        <v>0</v>
      </c>
      <c r="P20" s="11"/>
      <c r="Q20" s="11"/>
      <c r="R20" s="23"/>
      <c r="T20" s="11"/>
      <c r="U20" s="11">
        <f>Tabla3561119273751525455565758551525354555[[#This Row],[COMISIONES]]*0.21</f>
        <v>0</v>
      </c>
      <c r="V20" s="11"/>
      <c r="W20" s="11"/>
      <c r="X20" s="11"/>
      <c r="Z20" s="3"/>
      <c r="AA20" s="11">
        <f>Tabla35681321293971727475767778771727374757[[#This Row],[COMISIONES]]*0.21</f>
        <v>0</v>
      </c>
      <c r="AB20" s="11"/>
      <c r="AC20" s="1"/>
      <c r="AF20" s="11"/>
      <c r="AG20" s="11">
        <f>Tabla3568131422304081828485868788881828384858[[#This Row],[COMISIONES]]*0.21</f>
        <v>0</v>
      </c>
      <c r="AH20" s="11"/>
      <c r="AI20" s="11"/>
      <c r="AJ20" s="11"/>
      <c r="AK20" s="11"/>
      <c r="AL20" s="11">
        <f>Tabla35611192734431121315161718191112131415161[[#This Row],[COMISIONES]]*0.21</f>
        <v>0</v>
      </c>
      <c r="AM20" s="11"/>
      <c r="AN20" s="11"/>
      <c r="AO20" s="11"/>
    </row>
    <row r="21" spans="2:41" x14ac:dyDescent="0.25">
      <c r="B21" s="3"/>
      <c r="C21" s="2">
        <f>Tabla1316243221222335262728221222324252[[#This Row],[COMISIONES]]*0.21</f>
        <v>0</v>
      </c>
      <c r="D21" s="3">
        <f>Tabla1316243221222335262728221222324252[[#This Row],[COMISIONES]]*0.105</f>
        <v>0</v>
      </c>
      <c r="E21" s="3"/>
      <c r="F21" s="3"/>
      <c r="H21" s="11"/>
      <c r="I21" s="11">
        <f>Tabla3917253531323345363738331323334353[[#This Row],[COMISIONES]]*0.21</f>
        <v>0</v>
      </c>
      <c r="J21" s="11"/>
      <c r="K21" s="11"/>
      <c r="L21" s="11"/>
      <c r="N21" s="11"/>
      <c r="O21" s="11">
        <f>Tabla351018263641424445464748441424344454[[#This Row],[COMISIONES]]*0.21</f>
        <v>0</v>
      </c>
      <c r="P21" s="11"/>
      <c r="Q21" s="11"/>
      <c r="R21" s="11"/>
      <c r="T21" s="11"/>
      <c r="U21" s="11">
        <f>Tabla3561119273751525455565758551525354555[[#This Row],[COMISIONES]]*0.21</f>
        <v>0</v>
      </c>
      <c r="V21" s="11"/>
      <c r="W21" s="11"/>
      <c r="X21" s="11"/>
      <c r="Z21" s="3"/>
      <c r="AA21" s="11">
        <f>Tabla35681321293971727475767778771727374757[[#This Row],[COMISIONES]]*0.21</f>
        <v>0</v>
      </c>
      <c r="AB21" s="11"/>
      <c r="AC21" s="1"/>
      <c r="AF21" s="11"/>
      <c r="AG21" s="11">
        <f>Tabla3568131422304081828485868788881828384858[[#This Row],[COMISIONES]]*0.21</f>
        <v>0</v>
      </c>
      <c r="AH21" s="11"/>
      <c r="AI21" s="11"/>
      <c r="AJ21" s="11"/>
      <c r="AK21" s="11"/>
      <c r="AL21" s="11">
        <f>Tabla35611192734431121315161718191112131415161[[#This Row],[COMISIONES]]*0.21</f>
        <v>0</v>
      </c>
      <c r="AM21" s="11"/>
      <c r="AN21" s="11"/>
      <c r="AO21" s="11"/>
    </row>
    <row r="22" spans="2:41" x14ac:dyDescent="0.25">
      <c r="B22" s="3"/>
      <c r="C22" s="2">
        <f>Tabla1316243221222335262728221222324252[[#This Row],[COMISIONES]]*0.21</f>
        <v>0</v>
      </c>
      <c r="D22" s="3">
        <f>Tabla1316243221222335262728221222324252[[#This Row],[COMISIONES]]*0.105</f>
        <v>0</v>
      </c>
      <c r="E22" s="3"/>
      <c r="F22" s="3"/>
      <c r="H22" s="11"/>
      <c r="I22" s="11">
        <f>Tabla3917253531323345363738331323334353[[#This Row],[COMISIONES]]*0.21</f>
        <v>0</v>
      </c>
      <c r="J22" s="11"/>
      <c r="K22" s="11"/>
      <c r="L22" s="11"/>
      <c r="N22" s="11"/>
      <c r="O22" s="11">
        <f>Tabla351018263641424445464748441424344454[[#This Row],[COMISIONES]]*0.21</f>
        <v>0</v>
      </c>
      <c r="P22" s="11"/>
      <c r="Q22" s="11"/>
      <c r="R22" s="11"/>
      <c r="T22" s="11"/>
      <c r="U22" s="11">
        <f>Tabla3561119273751525455565758551525354555[[#This Row],[COMISIONES]]*0.21</f>
        <v>0</v>
      </c>
      <c r="V22" s="11"/>
      <c r="W22" s="11"/>
      <c r="X22" s="11"/>
      <c r="Z22" s="3"/>
      <c r="AA22" s="11">
        <f>Tabla35681321293971727475767778771727374757[[#This Row],[COMISIONES]]*0.21</f>
        <v>0</v>
      </c>
      <c r="AB22" s="29"/>
      <c r="AC22" s="1"/>
      <c r="AD22" s="11"/>
      <c r="AF22" s="11"/>
      <c r="AG22" s="11">
        <f>Tabla3568131422304081828485868788881828384858[[#This Row],[COMISIONES]]*0.21</f>
        <v>0</v>
      </c>
      <c r="AH22" s="11"/>
      <c r="AI22" s="11"/>
      <c r="AJ22" s="11"/>
      <c r="AK22" s="11"/>
      <c r="AL22" s="11">
        <f>Tabla35611192734431121315161718191112131415161[[#This Row],[COMISIONES]]*0.21</f>
        <v>0</v>
      </c>
      <c r="AM22" s="11"/>
      <c r="AN22" s="11"/>
      <c r="AO22" s="11"/>
    </row>
    <row r="23" spans="2:41" x14ac:dyDescent="0.25">
      <c r="B23" s="3"/>
      <c r="C23" s="2">
        <f>Tabla1316243221222335262728221222324252[[#This Row],[COMISIONES]]*0.21</f>
        <v>0</v>
      </c>
      <c r="D23" s="3">
        <f>Tabla1316243221222335262728221222324252[[#This Row],[COMISIONES]]*0.105</f>
        <v>0</v>
      </c>
      <c r="E23" s="3"/>
      <c r="F23" s="3"/>
      <c r="H23" s="11"/>
      <c r="I23" s="11">
        <f>Tabla3917253531323345363738331323334353[[#This Row],[COMISIONES]]*0.21</f>
        <v>0</v>
      </c>
      <c r="J23" s="11"/>
      <c r="K23" s="11"/>
      <c r="L23" s="11"/>
      <c r="N23" s="11"/>
      <c r="O23" s="11">
        <f>Tabla351018263641424445464748441424344454[[#This Row],[COMISIONES]]*0.21</f>
        <v>0</v>
      </c>
      <c r="P23" s="11"/>
      <c r="Q23" s="11"/>
      <c r="R23" s="11"/>
      <c r="T23" s="11"/>
      <c r="U23" s="11">
        <f>Tabla3561119273751525455565758551525354555[[#This Row],[COMISIONES]]*0.21</f>
        <v>0</v>
      </c>
      <c r="V23" s="11"/>
      <c r="W23" s="11"/>
      <c r="X23" s="11"/>
      <c r="Z23" s="3"/>
      <c r="AA23" s="11"/>
      <c r="AB23" s="3">
        <f>Tabla35681321293971727475767778771727374757[[#This Row],[COMISIONES]]*0.105</f>
        <v>0</v>
      </c>
      <c r="AC23" s="1"/>
      <c r="AD23" s="11"/>
      <c r="AF23" s="11"/>
      <c r="AG23" s="11">
        <f>Tabla3568131422304081828485868788881828384858[[#This Row],[COMISIONES]]*0.21</f>
        <v>0</v>
      </c>
      <c r="AH23" s="11"/>
      <c r="AI23" s="11"/>
      <c r="AJ23" s="11"/>
      <c r="AK23" s="11"/>
      <c r="AL23" s="11">
        <f>Tabla35611192734431121315161718191112131415161[[#This Row],[COMISIONES]]*0.21</f>
        <v>0</v>
      </c>
      <c r="AM23" s="11"/>
      <c r="AN23" s="11"/>
      <c r="AO23" s="11"/>
    </row>
    <row r="24" spans="2:41" x14ac:dyDescent="0.25">
      <c r="B24" s="3"/>
      <c r="C24" s="2">
        <f>Tabla1316243221222335262728221222324252[[#This Row],[COMISIONES]]*0.21</f>
        <v>0</v>
      </c>
      <c r="D24" s="3">
        <f>Tabla1316243221222335262728221222324252[[#This Row],[COMISIONES]]*0.105</f>
        <v>0</v>
      </c>
      <c r="E24" s="3"/>
      <c r="F24" s="3"/>
      <c r="H24" s="11"/>
      <c r="I24" s="11">
        <f>Tabla3917253531323345363738331323334353[[#This Row],[COMISIONES]]*0.21</f>
        <v>0</v>
      </c>
      <c r="J24" s="11"/>
      <c r="K24" s="11"/>
      <c r="L24" s="11"/>
      <c r="N24" s="11"/>
      <c r="O24" s="11">
        <f>Tabla351018263641424445464748441424344454[[#This Row],[COMISIONES]]*0.21</f>
        <v>0</v>
      </c>
      <c r="P24" s="11"/>
      <c r="Q24" s="11"/>
      <c r="R24" s="11"/>
      <c r="T24" s="11"/>
      <c r="U24" s="11">
        <f>Tabla3561119273751525455565758551525354555[[#This Row],[COMISIONES]]*0.21</f>
        <v>0</v>
      </c>
      <c r="V24" s="11"/>
      <c r="W24" s="11"/>
      <c r="X24" s="11"/>
      <c r="Z24" s="3"/>
      <c r="AA24" s="11">
        <f>Tabla35681321293971727475767778771727374757[[#This Row],[COMISIONES]]*0.21</f>
        <v>0</v>
      </c>
      <c r="AB24" s="11"/>
      <c r="AC24" s="1"/>
      <c r="AD24" s="11"/>
      <c r="AF24" s="11"/>
      <c r="AG24" s="11">
        <f>Tabla3568131422304081828485868788881828384858[[#This Row],[COMISIONES]]*0.21</f>
        <v>0</v>
      </c>
      <c r="AH24" s="11"/>
      <c r="AI24" s="11"/>
      <c r="AJ24" s="11"/>
      <c r="AK24" s="11"/>
      <c r="AL24" s="11">
        <f>Tabla35611192734431121315161718191112131415161[[#This Row],[COMISIONES]]*0.21</f>
        <v>0</v>
      </c>
      <c r="AM24" s="11"/>
      <c r="AN24" s="11"/>
      <c r="AO24" s="11"/>
    </row>
    <row r="25" spans="2:41" x14ac:dyDescent="0.25">
      <c r="B25" s="3"/>
      <c r="C25" s="2">
        <f>Tabla1316243221222335262728221222324252[[#This Row],[COMISIONES]]*0.21</f>
        <v>0</v>
      </c>
      <c r="D25" s="3">
        <f>Tabla1316243221222335262728221222324252[[#This Row],[COMISIONES]]*0.105</f>
        <v>0</v>
      </c>
      <c r="E25" s="3"/>
      <c r="F25" s="3"/>
      <c r="H25" s="11"/>
      <c r="I25" s="11">
        <f>Tabla3917253531323345363738331323334353[[#This Row],[COMISIONES]]*0.21</f>
        <v>0</v>
      </c>
      <c r="J25" s="11"/>
      <c r="K25" s="11"/>
      <c r="L25" s="11"/>
      <c r="N25" s="11"/>
      <c r="O25" s="11">
        <f>Tabla351018263641424445464748441424344454[[#This Row],[COMISIONES]]*0.21</f>
        <v>0</v>
      </c>
      <c r="P25" s="11"/>
      <c r="Q25" s="11"/>
      <c r="R25" s="11"/>
      <c r="T25" s="11"/>
      <c r="U25" s="11">
        <f>Tabla3561119273751525455565758551525354555[[#This Row],[COMISIONES]]*0.21</f>
        <v>0</v>
      </c>
      <c r="V25" s="11"/>
      <c r="W25" s="11"/>
      <c r="X25" s="11"/>
      <c r="Z25" s="3"/>
      <c r="AA25" s="11">
        <f>Tabla35681321293971727475767778771727374757[[#This Row],[COMISIONES]]*0.21</f>
        <v>0</v>
      </c>
      <c r="AB25" s="11"/>
      <c r="AC25" s="1"/>
      <c r="AD25" s="11"/>
      <c r="AF25" s="11"/>
      <c r="AG25" s="11">
        <f>Tabla3568131422304081828485868788881828384858[[#This Row],[COMISIONES]]*0.21</f>
        <v>0</v>
      </c>
      <c r="AH25" s="11"/>
      <c r="AI25" s="11"/>
      <c r="AJ25" s="11"/>
      <c r="AK25" s="11"/>
      <c r="AL25" s="11">
        <f>Tabla35611192734431121315161718191112131415161[[#This Row],[COMISIONES]]*0.21</f>
        <v>0</v>
      </c>
      <c r="AM25" s="11"/>
      <c r="AN25" s="11"/>
      <c r="AO25" s="11"/>
    </row>
    <row r="26" spans="2:41" x14ac:dyDescent="0.25">
      <c r="B26" s="3"/>
      <c r="C26" s="2">
        <f>Tabla1316243221222335262728221222324252[[#This Row],[COMISIONES]]*0.21</f>
        <v>0</v>
      </c>
      <c r="D26" s="3">
        <f>Tabla1316243221222335262728221222324252[[#This Row],[COMISIONES]]*0.105</f>
        <v>0</v>
      </c>
      <c r="E26" s="3"/>
      <c r="F26" s="3"/>
      <c r="H26" s="11"/>
      <c r="I26" s="11">
        <f>Tabla3917253531323345363738331323334353[[#This Row],[COMISIONES]]*0.21</f>
        <v>0</v>
      </c>
      <c r="J26" s="11"/>
      <c r="K26" s="11"/>
      <c r="L26" s="11"/>
      <c r="N26" s="11"/>
      <c r="O26" s="11">
        <f>Tabla351018263641424445464748441424344454[[#This Row],[COMISIONES]]*0.21</f>
        <v>0</v>
      </c>
      <c r="P26" s="11"/>
      <c r="Q26" s="11"/>
      <c r="R26" s="11"/>
      <c r="T26" s="11"/>
      <c r="U26" s="11">
        <f>Tabla3561119273751525455565758551525354555[[#This Row],[COMISIONES]]*0.21</f>
        <v>0</v>
      </c>
      <c r="V26" s="11"/>
      <c r="W26" s="11"/>
      <c r="X26" s="11"/>
      <c r="Z26" s="3"/>
      <c r="AA26" s="11">
        <f>Tabla35681321293971727475767778771727374757[[#This Row],[COMISIONES]]*0.21</f>
        <v>0</v>
      </c>
      <c r="AB26" s="11"/>
      <c r="AC26" s="1"/>
      <c r="AD26" s="11"/>
      <c r="AF26" s="4">
        <f>SUBTOTAL(109,Tabla3568131422304081828485868788881828384858[COMISIONES])</f>
        <v>0</v>
      </c>
      <c r="AG26" s="4">
        <f>SUBTOTAL(109,Tabla3568131422304081828485868788881828384858[IVA 21])</f>
        <v>0</v>
      </c>
      <c r="AH26" s="4">
        <f>SUBTOTAL(109,Tabla3568131422304081828485868788881828384858[IVA 10,5])</f>
        <v>0</v>
      </c>
      <c r="AI26" s="4">
        <f>SUBTOTAL(109,Tabla3568131422304081828485868788881828384858[Ret IIBB Caba])</f>
        <v>0</v>
      </c>
      <c r="AJ26" s="4">
        <f>SUBTOTAL(109,Tabla3568131422304081828485868788881828384858[PERC IVA])</f>
        <v>0</v>
      </c>
      <c r="AK26" s="11"/>
      <c r="AL26" s="11">
        <f>Tabla35611192734431121315161718191112131415161[[#This Row],[COMISIONES]]*0.21</f>
        <v>0</v>
      </c>
      <c r="AM26" s="11"/>
      <c r="AN26" s="11"/>
      <c r="AO26" s="11"/>
    </row>
    <row r="27" spans="2:41" x14ac:dyDescent="0.25">
      <c r="B27" s="3"/>
      <c r="C27" s="2">
        <f>Tabla1316243221222335262728221222324252[[#This Row],[COMISIONES]]*0.21</f>
        <v>0</v>
      </c>
      <c r="D27" s="3">
        <f>Tabla1316243221222335262728221222324252[[#This Row],[COMISIONES]]*0.105</f>
        <v>0</v>
      </c>
      <c r="E27" s="3"/>
      <c r="F27" s="3"/>
      <c r="H27" s="11"/>
      <c r="I27" s="11">
        <f>Tabla3917253531323345363738331323334353[[#This Row],[COMISIONES]]*0.21</f>
        <v>0</v>
      </c>
      <c r="J27" s="11"/>
      <c r="K27" s="11"/>
      <c r="L27" s="11"/>
      <c r="N27" s="11"/>
      <c r="O27" s="11">
        <f>Tabla351018263641424445464748441424344454[[#This Row],[COMISIONES]]*0.21</f>
        <v>0</v>
      </c>
      <c r="P27" s="11"/>
      <c r="Q27" s="11"/>
      <c r="R27" s="11"/>
      <c r="T27" s="11"/>
      <c r="U27" s="11">
        <f>Tabla3561119273751525455565758551525354555[[#This Row],[COMISIONES]]*0.21</f>
        <v>0</v>
      </c>
      <c r="V27" s="11"/>
      <c r="W27" s="11"/>
      <c r="X27" s="11"/>
      <c r="Z27" s="3"/>
      <c r="AA27" s="11" t="s">
        <v>18</v>
      </c>
      <c r="AB27" s="11"/>
      <c r="AC27" s="1"/>
      <c r="AK27" s="11"/>
      <c r="AL27" s="11">
        <f>Tabla35611192734431121315161718191112131415161[[#This Row],[COMISIONES]]*0.21</f>
        <v>0</v>
      </c>
      <c r="AM27" s="11"/>
      <c r="AN27" s="11"/>
      <c r="AO27" s="11"/>
    </row>
    <row r="28" spans="2:41" x14ac:dyDescent="0.25">
      <c r="B28" s="3"/>
      <c r="C28" s="2">
        <f>Tabla1316243221222335262728221222324252[[#This Row],[COMISIONES]]*0.21</f>
        <v>0</v>
      </c>
      <c r="D28" s="3">
        <f>Tabla1316243221222335262728221222324252[[#This Row],[COMISIONES]]*0.105</f>
        <v>0</v>
      </c>
      <c r="E28" s="3"/>
      <c r="F28" s="3"/>
      <c r="H28" s="11"/>
      <c r="I28" s="11">
        <f>Tabla3917253531323345363738331323334353[[#This Row],[COMISIONES]]*0.21</f>
        <v>0</v>
      </c>
      <c r="J28" s="11"/>
      <c r="K28" s="11"/>
      <c r="L28" s="11"/>
      <c r="N28" s="11"/>
      <c r="O28" s="11">
        <f>Tabla351018263641424445464748441424344454[[#This Row],[COMISIONES]]*0.21</f>
        <v>0</v>
      </c>
      <c r="P28" s="11"/>
      <c r="Q28" s="11"/>
      <c r="R28" s="11"/>
      <c r="T28" s="11"/>
      <c r="U28" s="11">
        <f>Tabla3561119273751525455565758551525354555[[#This Row],[COMISIONES]]*0.21</f>
        <v>0</v>
      </c>
      <c r="V28" s="11"/>
      <c r="W28" s="11"/>
      <c r="X28" s="11"/>
      <c r="Z28" s="3"/>
      <c r="AA28" s="11">
        <f>Tabla35681321293971727475767778771727374757[[#This Row],[COMISIONES]]*0.21</f>
        <v>0</v>
      </c>
      <c r="AB28" s="1"/>
      <c r="AC28" s="1"/>
      <c r="AD28" s="11"/>
      <c r="AK28" s="11"/>
      <c r="AL28" s="11">
        <f>Tabla35611192734431121315161718191112131415161[[#This Row],[COMISIONES]]*0.21</f>
        <v>0</v>
      </c>
      <c r="AM28" s="11"/>
      <c r="AN28" s="11"/>
      <c r="AO28" s="11"/>
    </row>
    <row r="29" spans="2:41" x14ac:dyDescent="0.25">
      <c r="B29" s="3"/>
      <c r="C29" s="2">
        <f>Tabla1316243221222335262728221222324252[[#This Row],[COMISIONES]]*0.21</f>
        <v>0</v>
      </c>
      <c r="D29" s="3">
        <f>Tabla1316243221222335262728221222324252[[#This Row],[COMISIONES]]*0.105</f>
        <v>0</v>
      </c>
      <c r="E29" s="3"/>
      <c r="F29" s="3"/>
      <c r="H29" s="11"/>
      <c r="I29" s="11">
        <f>Tabla3917253531323345363738331323334353[[#This Row],[COMISIONES]]*0.21</f>
        <v>0</v>
      </c>
      <c r="J29" s="11"/>
      <c r="K29" s="11"/>
      <c r="L29" s="11"/>
      <c r="N29" s="11"/>
      <c r="O29" s="11">
        <f>Tabla351018263641424445464748441424344454[[#This Row],[COMISIONES]]*0.21</f>
        <v>0</v>
      </c>
      <c r="P29" s="11"/>
      <c r="Q29" s="11"/>
      <c r="R29" s="11"/>
      <c r="T29" s="18"/>
      <c r="U29" s="18">
        <f>Tabla3561119273751525455565758551525354555[[#This Row],[COMISIONES]]*0.21</f>
        <v>0</v>
      </c>
      <c r="V29" s="18"/>
      <c r="W29" s="18"/>
      <c r="X29" s="18"/>
      <c r="Z29" s="3"/>
      <c r="AA29" s="11">
        <f>Tabla35681321293971727475767778771727374757[[#This Row],[COMISIONES]]*0.21</f>
        <v>0</v>
      </c>
      <c r="AB29" s="1"/>
      <c r="AD29" s="11"/>
      <c r="AK29" s="18"/>
      <c r="AL29" s="18">
        <f>Tabla35611192734431121315161718191112131415161[[#This Row],[COMISIONES]]*0.21</f>
        <v>0</v>
      </c>
      <c r="AM29" s="18"/>
      <c r="AN29" s="18"/>
      <c r="AO29" s="18"/>
    </row>
    <row r="30" spans="2:41" x14ac:dyDescent="0.25">
      <c r="B30" s="3"/>
      <c r="C30" s="2">
        <f>Tabla1316243221222335262728221222324252[[#This Row],[COMISIONES]]*0.21</f>
        <v>0</v>
      </c>
      <c r="D30" s="3">
        <f>Tabla1316243221222335262728221222324252[[#This Row],[COMISIONES]]*0.105</f>
        <v>0</v>
      </c>
      <c r="E30" s="3"/>
      <c r="F30" s="3"/>
      <c r="H30" s="11"/>
      <c r="I30" s="11">
        <f>Tabla3917253531323345363738331323334353[[#This Row],[COMISIONES]]*0.21</f>
        <v>0</v>
      </c>
      <c r="J30" s="11"/>
      <c r="K30" s="11"/>
      <c r="L30" s="11"/>
      <c r="N30" s="11"/>
      <c r="O30" s="11">
        <f>Tabla351018263641424445464748441424344454[[#This Row],[COMISIONES]]*0.21</f>
        <v>0</v>
      </c>
      <c r="P30" s="11"/>
      <c r="Q30" s="11"/>
      <c r="R30" s="11"/>
      <c r="T30" s="18"/>
      <c r="U30" s="18">
        <f>Tabla3561119273751525455565758551525354555[[#This Row],[COMISIONES]]*0.21</f>
        <v>0</v>
      </c>
      <c r="V30" s="18"/>
      <c r="W30" s="18"/>
      <c r="X30" s="18"/>
      <c r="Z30" s="3"/>
      <c r="AA30" s="11">
        <f>Tabla35681321293971727475767778771727374757[[#This Row],[COMISIONES]]*0.21</f>
        <v>0</v>
      </c>
      <c r="AB30" s="11"/>
      <c r="AC30" s="11"/>
      <c r="AD30" s="11"/>
      <c r="AK30" s="18"/>
      <c r="AL30" s="18">
        <f>Tabla35611192734431121315161718191112131415161[[#This Row],[COMISIONES]]*0.21</f>
        <v>0</v>
      </c>
      <c r="AM30" s="18"/>
      <c r="AN30" s="18"/>
      <c r="AO30" s="18"/>
    </row>
    <row r="31" spans="2:41" x14ac:dyDescent="0.25">
      <c r="B31" s="3"/>
      <c r="C31" s="2">
        <f>Tabla1316243221222335262728221222324252[[#This Row],[COMISIONES]]*0.21</f>
        <v>0</v>
      </c>
      <c r="D31" s="3">
        <f>Tabla1316243221222335262728221222324252[[#This Row],[COMISIONES]]*0.105</f>
        <v>0</v>
      </c>
      <c r="E31" s="1"/>
      <c r="F31" s="3"/>
      <c r="H31" s="11"/>
      <c r="I31" s="11">
        <f>Tabla3917253531323345363738331323334353[[#This Row],[COMISIONES]]*0.21</f>
        <v>0</v>
      </c>
      <c r="J31" s="11"/>
      <c r="K31" s="11"/>
      <c r="L31" s="11"/>
      <c r="N31" s="11"/>
      <c r="O31" s="11">
        <f>Tabla351018263641424445464748441424344454[[#This Row],[COMISIONES]]*0.21</f>
        <v>0</v>
      </c>
      <c r="P31" s="11"/>
      <c r="Q31" s="11"/>
      <c r="R31" s="11"/>
      <c r="T31" s="4">
        <f>SUBTOTAL(109,Tabla3561119273751525455565758551525354555[COMISIONES])</f>
        <v>0</v>
      </c>
      <c r="U31" s="4">
        <f>SUBTOTAL(109,Tabla3561119273751525455565758551525354555[IVA 21])</f>
        <v>0</v>
      </c>
      <c r="V31" s="4">
        <f>SUBTOTAL(109,Tabla3561119273751525455565758551525354555[IVA 10,5])</f>
        <v>0</v>
      </c>
      <c r="W31" s="4">
        <f>SUBTOTAL(109,Tabla3561119273751525455565758551525354555[Ret IIBB Caba])</f>
        <v>0</v>
      </c>
      <c r="X31" s="4">
        <f>SUBTOTAL(109,Tabla3561119273751525455565758551525354555[PERC IVA])</f>
        <v>0</v>
      </c>
      <c r="Z31" s="3"/>
      <c r="AA31" s="11"/>
      <c r="AB31" s="11">
        <f>Tabla35681321293971727475767778771727374757[[#This Row],[COMISIONES]]*0.105</f>
        <v>0</v>
      </c>
      <c r="AC31" s="1"/>
      <c r="AK31" s="4">
        <f>SUBTOTAL(109,Tabla35611192734431121315161718191112131415161[COMISIONES])</f>
        <v>3966.94</v>
      </c>
      <c r="AL31" s="4">
        <f>SUBTOTAL(109,Tabla35611192734431121315161718191112131415161[IVA 21])</f>
        <v>833.05740000000003</v>
      </c>
      <c r="AM31" s="4">
        <f>SUBTOTAL(109,Tabla35611192734431121315161718191112131415161[IVA 10,5])</f>
        <v>0</v>
      </c>
      <c r="AN31" s="4">
        <f>SUBTOTAL(109,Tabla35611192734431121315161718191112131415161[Ret IIBB Caba])</f>
        <v>867.1</v>
      </c>
      <c r="AO31" s="4">
        <f>SUBTOTAL(109,Tabla35611192734431121315161718191112131415161[PERC IVA])</f>
        <v>119.01</v>
      </c>
    </row>
    <row r="32" spans="2:41" ht="18.75" x14ac:dyDescent="0.3">
      <c r="B32" s="3"/>
      <c r="C32" s="2">
        <f>Tabla1316243221222335262728221222324252[[#This Row],[COMISIONES]]*0.21</f>
        <v>0</v>
      </c>
      <c r="D32" s="3">
        <f>Tabla1316243221222335262728221222324252[[#This Row],[COMISIONES]]*0.105</f>
        <v>0</v>
      </c>
      <c r="E32" s="3"/>
      <c r="F32" s="3"/>
      <c r="H32" s="11"/>
      <c r="I32" s="11">
        <f>Tabla3917253531323345363738331323334353[[#This Row],[COMISIONES]]*0.21</f>
        <v>0</v>
      </c>
      <c r="J32" s="11"/>
      <c r="K32" s="11"/>
      <c r="L32" s="11"/>
      <c r="N32" s="11"/>
      <c r="O32" s="11">
        <f>Tabla351018263641424445464748441424344454[[#This Row],[COMISIONES]]*0.21</f>
        <v>0</v>
      </c>
      <c r="P32" s="11"/>
      <c r="Q32" s="11"/>
      <c r="R32" s="11"/>
      <c r="T32" s="52" t="s">
        <v>9</v>
      </c>
      <c r="U32" s="52"/>
      <c r="V32" s="52"/>
      <c r="W32" s="52"/>
      <c r="X32" s="52"/>
      <c r="Z32" s="3"/>
      <c r="AA32" s="11">
        <f>Tabla35681321293971727475767778771727374757[[#This Row],[COMISIONES]]*0.21</f>
        <v>0</v>
      </c>
      <c r="AB32" s="1"/>
      <c r="AC32" s="11"/>
      <c r="AD32" s="11"/>
    </row>
    <row r="33" spans="2:31" x14ac:dyDescent="0.25">
      <c r="B33" s="3"/>
      <c r="C33" s="2">
        <f>Tabla1316243221222335262728221222324252[[#This Row],[COMISIONES]]*0.21</f>
        <v>0</v>
      </c>
      <c r="D33" s="3">
        <f>Tabla1316243221222335262728221222324252[[#This Row],[COMISIONES]]*0.105</f>
        <v>0</v>
      </c>
      <c r="E33" s="3"/>
      <c r="F33" s="3"/>
      <c r="H33" s="11"/>
      <c r="I33" s="11">
        <f>Tabla3917253531323345363738331323334353[[#This Row],[COMISIONES]]*0.21</f>
        <v>0</v>
      </c>
      <c r="J33" s="11"/>
      <c r="K33" s="11"/>
      <c r="L33" s="11"/>
      <c r="N33" s="11"/>
      <c r="O33" s="11">
        <f>Tabla351018263641424445464748441424344454[[#This Row],[COMISIONES]]*0.21</f>
        <v>0</v>
      </c>
      <c r="P33" s="11"/>
      <c r="Q33" s="11"/>
      <c r="R33" s="11"/>
      <c r="T33" s="12" t="s">
        <v>2</v>
      </c>
      <c r="U33" s="13" t="s">
        <v>0</v>
      </c>
      <c r="V33" s="13" t="s">
        <v>1</v>
      </c>
      <c r="W33" s="13" t="s">
        <v>3</v>
      </c>
      <c r="X33" s="13" t="s">
        <v>4</v>
      </c>
      <c r="Z33" s="3"/>
      <c r="AA33" s="11">
        <f>Tabla35681321293971727475767778771727374757[[#This Row],[COMISIONES]]*0.21</f>
        <v>0</v>
      </c>
      <c r="AB33" s="29"/>
      <c r="AC33" s="11"/>
      <c r="AD33" s="11"/>
    </row>
    <row r="34" spans="2:31" x14ac:dyDescent="0.25">
      <c r="B34" s="3"/>
      <c r="C34" s="2">
        <f>Tabla1316243221222335262728221222324252[[#This Row],[COMISIONES]]*0.21</f>
        <v>0</v>
      </c>
      <c r="D34" s="3">
        <f>Tabla1316243221222335262728221222324252[[#This Row],[COMISIONES]]*0.105</f>
        <v>0</v>
      </c>
      <c r="E34" s="3"/>
      <c r="F34" s="3"/>
      <c r="H34" s="11"/>
      <c r="I34" s="11">
        <f>Tabla3917253531323345363738331323334353[[#This Row],[COMISIONES]]*0.21</f>
        <v>0</v>
      </c>
      <c r="J34" s="11"/>
      <c r="K34" s="11"/>
      <c r="L34" s="11"/>
      <c r="N34" s="11"/>
      <c r="O34" s="11">
        <f>Tabla351018263641424445464748441424344454[[#This Row],[COMISIONES]]*0.21</f>
        <v>0</v>
      </c>
      <c r="P34" s="11"/>
      <c r="Q34" s="11"/>
      <c r="R34" s="11"/>
      <c r="T34" s="11">
        <v>10</v>
      </c>
      <c r="U34" s="11">
        <f>Tabla61220283861626465666768661626364656[[#This Row],[COMISIONES]]*0.21</f>
        <v>2.1</v>
      </c>
      <c r="V34" s="11"/>
      <c r="W34" s="11">
        <v>2001.01</v>
      </c>
      <c r="X34" s="11">
        <v>500.25</v>
      </c>
      <c r="Z34" s="3"/>
      <c r="AA34" s="11">
        <f>Tabla35681321293971727475767778771727374757[[#This Row],[COMISIONES]]*0.21</f>
        <v>0</v>
      </c>
      <c r="AB34" s="11"/>
      <c r="AC34" s="11"/>
      <c r="AD34" s="11"/>
    </row>
    <row r="35" spans="2:31" x14ac:dyDescent="0.25">
      <c r="B35" s="3"/>
      <c r="C35" s="2">
        <f>Tabla1316243221222335262728221222324252[[#This Row],[COMISIONES]]*0.21</f>
        <v>0</v>
      </c>
      <c r="D35" s="3">
        <f>Tabla1316243221222335262728221222324252[[#This Row],[COMISIONES]]*0.105</f>
        <v>0</v>
      </c>
      <c r="E35" s="3"/>
      <c r="F35" s="3"/>
      <c r="H35" s="11"/>
      <c r="I35" s="11">
        <f>Tabla3917253531323345363738331323334353[[#This Row],[COMISIONES]]*0.21</f>
        <v>0</v>
      </c>
      <c r="J35" s="11"/>
      <c r="K35" s="11"/>
      <c r="L35" s="11"/>
      <c r="N35" s="11"/>
      <c r="O35" s="11">
        <f>Tabla351018263641424445464748441424344454[[#This Row],[COMISIONES]]*0.21</f>
        <v>0</v>
      </c>
      <c r="P35" s="11"/>
      <c r="Q35" s="11"/>
      <c r="R35" s="11"/>
      <c r="T35" s="11">
        <v>33350.31</v>
      </c>
      <c r="U35" s="11" t="s">
        <v>18</v>
      </c>
      <c r="V35" s="11">
        <f>Tabla61220283861626465666768661626364656[[#This Row],[COMISIONES]]*0.105</f>
        <v>3501.7825499999994</v>
      </c>
      <c r="W35" s="11"/>
      <c r="X35" s="11"/>
      <c r="Z35" s="3"/>
      <c r="AA35" s="11">
        <f>Tabla35681321293971727475767778771727374757[[#This Row],[COMISIONES]]*0.21</f>
        <v>0</v>
      </c>
      <c r="AB35" s="11"/>
      <c r="AC35" s="11"/>
      <c r="AD35" s="11"/>
    </row>
    <row r="36" spans="2:31" x14ac:dyDescent="0.25">
      <c r="B36" s="3"/>
      <c r="C36" s="2">
        <f>Tabla1316243221222335262728221222324252[[#This Row],[COMISIONES]]*0.21</f>
        <v>0</v>
      </c>
      <c r="D36" s="3">
        <f>Tabla1316243221222335262728221222324252[[#This Row],[COMISIONES]]*0.105</f>
        <v>0</v>
      </c>
      <c r="E36" s="3"/>
      <c r="F36" s="3"/>
      <c r="H36" s="11"/>
      <c r="I36" s="11">
        <f>Tabla3917253531323345363738331323334353[[#This Row],[COMISIONES]]*0.21</f>
        <v>0</v>
      </c>
      <c r="J36" s="11"/>
      <c r="K36" s="11"/>
      <c r="L36" s="11"/>
      <c r="N36" s="11"/>
      <c r="O36" s="11">
        <f>Tabla351018263641424445464748441424344454[[#This Row],[COMISIONES]]*0.21</f>
        <v>0</v>
      </c>
      <c r="P36" s="11"/>
      <c r="Q36" s="11"/>
      <c r="R36" s="11"/>
      <c r="T36" s="11">
        <v>52300</v>
      </c>
      <c r="U36" s="11">
        <f>Tabla61220283861626465666768661626364656[[#This Row],[COMISIONES]]*0.21</f>
        <v>10983</v>
      </c>
      <c r="V36" s="19" t="s">
        <v>18</v>
      </c>
      <c r="W36" s="3">
        <v>3138</v>
      </c>
      <c r="X36" s="3">
        <v>1569</v>
      </c>
      <c r="Z36" s="3"/>
      <c r="AA36" s="11">
        <f>Tabla35681321293971727475767778771727374757[[#This Row],[COMISIONES]]*0.21</f>
        <v>0</v>
      </c>
      <c r="AB36" s="1"/>
      <c r="AC36" s="11"/>
      <c r="AD36" s="11"/>
    </row>
    <row r="37" spans="2:31" x14ac:dyDescent="0.25">
      <c r="B37" s="3"/>
      <c r="C37" s="2">
        <f>Tabla1316243221222335262728221222324252[[#This Row],[COMISIONES]]*0.21</f>
        <v>0</v>
      </c>
      <c r="D37" s="3">
        <f>Tabla1316243221222335262728221222324252[[#This Row],[COMISIONES]]*0.105</f>
        <v>0</v>
      </c>
      <c r="E37" s="3"/>
      <c r="F37" s="3"/>
      <c r="H37" s="11"/>
      <c r="I37" s="11">
        <f>Tabla3917253531323345363738331323334353[[#This Row],[COMISIONES]]*0.21</f>
        <v>0</v>
      </c>
      <c r="J37" s="11"/>
      <c r="K37" s="11"/>
      <c r="L37" s="11"/>
      <c r="N37" s="11"/>
      <c r="O37" s="11">
        <f>Tabla351018263641424445464748441424344454[[#This Row],[COMISIONES]]*0.21</f>
        <v>0</v>
      </c>
      <c r="P37" s="11"/>
      <c r="Q37" s="11"/>
      <c r="R37" s="11"/>
      <c r="T37" s="11">
        <v>57000</v>
      </c>
      <c r="U37" s="19">
        <f>Tabla61220283861626465666768661626364656[[#This Row],[COMISIONES]]*0.21</f>
        <v>11970</v>
      </c>
      <c r="W37">
        <v>3420</v>
      </c>
      <c r="X37">
        <v>1710</v>
      </c>
      <c r="Z37" s="3"/>
      <c r="AA37" s="11">
        <f>Tabla35681321293971727475767778771727374757[[#This Row],[COMISIONES]]*0.21</f>
        <v>0</v>
      </c>
      <c r="AB37" s="11"/>
      <c r="AC37" s="21"/>
      <c r="AD37" s="22"/>
    </row>
    <row r="38" spans="2:31" x14ac:dyDescent="0.25">
      <c r="B38" s="3"/>
      <c r="C38" s="2">
        <f>Tabla1316243221222335262728221222324252[[#This Row],[COMISIONES]]*0.21</f>
        <v>0</v>
      </c>
      <c r="D38" s="3">
        <f>Tabla1316243221222335262728221222324252[[#This Row],[COMISIONES]]*0.105</f>
        <v>0</v>
      </c>
      <c r="E38" s="3"/>
      <c r="F38" s="3"/>
      <c r="H38" s="11"/>
      <c r="I38" s="11">
        <f>Tabla3917253531323345363738331323334353[[#This Row],[COMISIONES]]*0.21</f>
        <v>0</v>
      </c>
      <c r="J38" s="11"/>
      <c r="K38" s="11"/>
      <c r="L38" s="11"/>
      <c r="N38" s="11"/>
      <c r="O38" s="11">
        <f>Tabla351018263641424445464748441424344454[[#This Row],[COMISIONES]]*0.21</f>
        <v>0</v>
      </c>
      <c r="P38" s="11"/>
      <c r="Q38" s="11"/>
      <c r="R38" s="11"/>
      <c r="T38" s="11">
        <v>17679.919999999998</v>
      </c>
      <c r="U38" s="19">
        <f>Tabla61220283861626465666768661626364656[[#This Row],[COMISIONES]]*0.21</f>
        <v>3712.7831999999994</v>
      </c>
      <c r="W38">
        <v>1060.79</v>
      </c>
      <c r="X38">
        <v>530.39</v>
      </c>
      <c r="Z38" s="3"/>
      <c r="AA38" s="11">
        <f>Tabla35681321293971727475767778771727374757[[#This Row],[COMISIONES]]*0.21</f>
        <v>0</v>
      </c>
      <c r="AB38" s="1"/>
      <c r="AC38" s="1"/>
    </row>
    <row r="39" spans="2:31" x14ac:dyDescent="0.25">
      <c r="B39" s="3"/>
      <c r="C39" s="2">
        <f>Tabla1316243221222335262728221222324252[[#This Row],[COMISIONES]]*0.21</f>
        <v>0</v>
      </c>
      <c r="D39" s="3">
        <f>Tabla1316243221222335262728221222324252[[#This Row],[COMISIONES]]*0.105</f>
        <v>0</v>
      </c>
      <c r="E39" s="3"/>
      <c r="F39" s="3"/>
      <c r="H39" s="11"/>
      <c r="I39" s="11">
        <f>Tabla3917253531323345363738331323334353[[#This Row],[COMISIONES]]*0.21</f>
        <v>0</v>
      </c>
      <c r="J39" s="11"/>
      <c r="K39" s="11"/>
      <c r="L39" s="11"/>
      <c r="N39" s="11"/>
      <c r="O39" s="11">
        <f>Tabla351018263641424445464748441424344454[[#This Row],[COMISIONES]]*0.21</f>
        <v>0</v>
      </c>
      <c r="P39" s="11"/>
      <c r="Q39" s="11"/>
      <c r="R39" s="11"/>
      <c r="T39" s="11">
        <v>11612.9</v>
      </c>
      <c r="U39" s="19">
        <f>Tabla61220283861626465666768661626364656[[#This Row],[COMISIONES]]*0.21</f>
        <v>2438.7089999999998</v>
      </c>
      <c r="V39" s="19"/>
      <c r="W39">
        <v>696.77</v>
      </c>
      <c r="X39">
        <v>348.38</v>
      </c>
      <c r="Z39" s="3"/>
      <c r="AA39" s="11">
        <f>Tabla35681321293971727475767778771727374757[[#This Row],[COMISIONES]]*0.21</f>
        <v>0</v>
      </c>
      <c r="AB39" s="21"/>
      <c r="AC39" s="21"/>
      <c r="AD39" s="21"/>
    </row>
    <row r="40" spans="2:31" x14ac:dyDescent="0.25">
      <c r="B40" s="3"/>
      <c r="C40" s="2">
        <f>Tabla1316243221222335262728221222324252[[#This Row],[COMISIONES]]*0.21</f>
        <v>0</v>
      </c>
      <c r="D40" s="3">
        <f>Tabla1316243221222335262728221222324252[[#This Row],[COMISIONES]]*0.105</f>
        <v>0</v>
      </c>
      <c r="E40" s="3"/>
      <c r="F40" s="3"/>
      <c r="H40" s="11"/>
      <c r="I40" s="11">
        <f>Tabla3917253531323345363738331323334353[[#This Row],[COMISIONES]]*0.21</f>
        <v>0</v>
      </c>
      <c r="J40" s="11"/>
      <c r="K40" s="11"/>
      <c r="L40" s="11"/>
      <c r="N40" s="11"/>
      <c r="O40" s="11">
        <f>Tabla351018263641424445464748441424344454[[#This Row],[COMISIONES]]*0.21</f>
        <v>0</v>
      </c>
      <c r="P40" s="11"/>
      <c r="Q40" s="11"/>
      <c r="R40" s="11"/>
      <c r="T40" s="11">
        <v>2000</v>
      </c>
      <c r="U40" s="19">
        <f>Tabla61220283861626465666768661626364656[[#This Row],[COMISIONES]]*0.21</f>
        <v>420</v>
      </c>
      <c r="X40">
        <v>60</v>
      </c>
      <c r="Z40" s="3"/>
      <c r="AA40" s="11">
        <f>Tabla35681321293971727475767778771727374757[[#This Row],[COMISIONES]]*0.21</f>
        <v>0</v>
      </c>
      <c r="AB40" s="21"/>
      <c r="AC40" s="21"/>
      <c r="AD40" s="21"/>
    </row>
    <row r="41" spans="2:31" x14ac:dyDescent="0.25">
      <c r="B41" s="3"/>
      <c r="C41" s="2">
        <f>Tabla1316243221222335262728221222324252[[#This Row],[COMISIONES]]*0.21</f>
        <v>0</v>
      </c>
      <c r="D41" s="3">
        <f>Tabla1316243221222335262728221222324252[[#This Row],[COMISIONES]]*0.105</f>
        <v>0</v>
      </c>
      <c r="E41" s="3"/>
      <c r="F41" s="3"/>
      <c r="H41" s="18"/>
      <c r="I41" s="18">
        <f>Tabla3917253531323345363738331323334353[[#This Row],[COMISIONES]]*0.21</f>
        <v>0</v>
      </c>
      <c r="J41" s="18"/>
      <c r="K41" s="18"/>
      <c r="L41" s="18"/>
      <c r="N41" s="11"/>
      <c r="O41" s="11">
        <f>Tabla351018263641424445464748441424344454[[#This Row],[COMISIONES]]*0.21</f>
        <v>0</v>
      </c>
      <c r="P41" s="11"/>
      <c r="Q41" s="11"/>
      <c r="R41" s="11"/>
      <c r="T41" s="11">
        <v>2000</v>
      </c>
      <c r="U41" s="19">
        <f>Tabla61220283861626465666768661626364656[[#This Row],[COMISIONES]]*0.21</f>
        <v>420</v>
      </c>
      <c r="X41">
        <v>60</v>
      </c>
      <c r="Z41" s="3"/>
      <c r="AA41" s="11">
        <f>Tabla35681321293971727475767778771727374757[[#This Row],[COMISIONES]]*0.21</f>
        <v>0</v>
      </c>
      <c r="AB41" s="21"/>
      <c r="AC41" s="21"/>
      <c r="AD41" s="21"/>
    </row>
    <row r="42" spans="2:31" x14ac:dyDescent="0.25">
      <c r="B42" s="3"/>
      <c r="C42" s="2">
        <f>Tabla1316243221222335262728221222324252[[#This Row],[COMISIONES]]*0.21</f>
        <v>0</v>
      </c>
      <c r="D42" s="3">
        <f>Tabla1316243221222335262728221222324252[[#This Row],[COMISIONES]]*0.105</f>
        <v>0</v>
      </c>
      <c r="E42" s="3"/>
      <c r="F42" s="3"/>
      <c r="H42" s="18"/>
      <c r="I42" s="18">
        <f>Tabla3917253531323345363738331323334353[[#This Row],[COMISIONES]]*0.21</f>
        <v>0</v>
      </c>
      <c r="J42" s="18"/>
      <c r="K42" s="18"/>
      <c r="L42" s="18"/>
      <c r="N42" s="11"/>
      <c r="O42" s="11">
        <f>Tabla351018263641424445464748441424344454[[#This Row],[COMISIONES]]*0.21</f>
        <v>0</v>
      </c>
      <c r="P42" s="11"/>
      <c r="Q42" s="11"/>
      <c r="R42" s="11"/>
      <c r="T42" s="11">
        <v>11612.9</v>
      </c>
      <c r="U42" s="19">
        <f>Tabla61220283861626465666768661626364656[[#This Row],[COMISIONES]]*0.21</f>
        <v>2438.7089999999998</v>
      </c>
      <c r="W42">
        <v>696.77</v>
      </c>
      <c r="X42">
        <v>348.38</v>
      </c>
      <c r="Z42" s="3"/>
      <c r="AA42" s="11">
        <f>Tabla35681321293971727475767778771727374757[[#This Row],[COMISIONES]]*0.21</f>
        <v>0</v>
      </c>
      <c r="AB42" s="21"/>
      <c r="AC42" s="21"/>
      <c r="AD42" s="21"/>
    </row>
    <row r="43" spans="2:31" x14ac:dyDescent="0.25">
      <c r="B43" s="3"/>
      <c r="C43" s="2">
        <f>Tabla1316243221222335262728221222324252[[#This Row],[COMISIONES]]*0.21</f>
        <v>0</v>
      </c>
      <c r="D43" s="3">
        <f>Tabla1316243221222335262728221222324252[[#This Row],[COMISIONES]]*0.105</f>
        <v>0</v>
      </c>
      <c r="E43" s="3"/>
      <c r="F43" s="3"/>
      <c r="G43" s="8"/>
      <c r="H43" s="18"/>
      <c r="I43" s="18">
        <f>Tabla3917253531323345363738331323334353[[#This Row],[COMISIONES]]*0.21</f>
        <v>0</v>
      </c>
      <c r="J43" s="18"/>
      <c r="K43" s="18"/>
      <c r="L43" s="18"/>
      <c r="M43" s="8"/>
      <c r="N43" s="11"/>
      <c r="O43" s="11">
        <f>Tabla351018263641424445464748441424344454[[#This Row],[COMISIONES]]*0.21</f>
        <v>0</v>
      </c>
      <c r="P43" s="11"/>
      <c r="Q43" s="11"/>
      <c r="R43" s="11"/>
      <c r="S43" s="8"/>
      <c r="T43" s="11">
        <v>2800</v>
      </c>
      <c r="U43" s="19">
        <f>Tabla61220283861626465666768661626364656[[#This Row],[COMISIONES]]*0.21</f>
        <v>588</v>
      </c>
      <c r="X43">
        <v>84</v>
      </c>
      <c r="Y43" s="8"/>
      <c r="Z43" s="3"/>
      <c r="AA43" s="11">
        <f>Tabla35681321293971727475767778771727374757[[#This Row],[COMISIONES]]*0.21</f>
        <v>0</v>
      </c>
      <c r="AB43" s="21"/>
      <c r="AC43" s="21"/>
      <c r="AD43" s="21"/>
      <c r="AE43" s="8"/>
    </row>
    <row r="44" spans="2:31" x14ac:dyDescent="0.25">
      <c r="B44" s="3"/>
      <c r="C44" s="2">
        <f>Tabla1316243221222335262728221222324252[[#This Row],[COMISIONES]]*0.21</f>
        <v>0</v>
      </c>
      <c r="D44" s="3">
        <f>Tabla1316243221222335262728221222324252[[#This Row],[COMISIONES]]*0.105</f>
        <v>0</v>
      </c>
      <c r="E44" s="3"/>
      <c r="F44" s="3"/>
      <c r="H44" s="18"/>
      <c r="I44" s="18">
        <f>Tabla3917253531323345363738331323334353[[#This Row],[COMISIONES]]*0.21</f>
        <v>0</v>
      </c>
      <c r="J44" s="18"/>
      <c r="K44" s="18"/>
      <c r="L44" s="18"/>
      <c r="N44" s="11"/>
      <c r="O44" s="11">
        <f>Tabla351018263641424445464748441424344454[[#This Row],[COMISIONES]]*0.21</f>
        <v>0</v>
      </c>
      <c r="P44" s="11"/>
      <c r="Q44" s="11"/>
      <c r="R44" s="11"/>
      <c r="T44">
        <v>3840.2</v>
      </c>
      <c r="U44" s="19">
        <f>Tabla61220283861626465666768661626364656[[#This Row],[COMISIONES]]*0.21</f>
        <v>806.44199999999989</v>
      </c>
      <c r="W44">
        <v>230.41</v>
      </c>
      <c r="X44">
        <v>115.2</v>
      </c>
      <c r="Z44" s="3"/>
      <c r="AA44" s="11">
        <f>Tabla35681321293971727475767778771727374757[[#This Row],[COMISIONES]]*0.21</f>
        <v>0</v>
      </c>
      <c r="AB44" s="21"/>
      <c r="AC44" s="21"/>
      <c r="AD44" s="21"/>
    </row>
    <row r="45" spans="2:31" x14ac:dyDescent="0.25">
      <c r="B45" s="3"/>
      <c r="C45" s="2">
        <f>Tabla1316243221222335262728221222324252[[#This Row],[COMISIONES]]*0.21</f>
        <v>0</v>
      </c>
      <c r="D45" s="3">
        <f>Tabla1316243221222335262728221222324252[[#This Row],[COMISIONES]]*0.105</f>
        <v>0</v>
      </c>
      <c r="E45" s="3"/>
      <c r="F45" s="3"/>
      <c r="H45" s="18"/>
      <c r="I45" s="18">
        <f>Tabla3917253531323345363738331323334353[[#This Row],[COMISIONES]]*0.21</f>
        <v>0</v>
      </c>
      <c r="J45" s="18"/>
      <c r="K45" s="18"/>
      <c r="L45" s="18"/>
      <c r="N45" s="11"/>
      <c r="O45" s="11">
        <f>Tabla351018263641424445464748441424344454[[#This Row],[COMISIONES]]*0.21</f>
        <v>0</v>
      </c>
      <c r="P45" s="11"/>
      <c r="Q45" s="11"/>
      <c r="R45" s="11"/>
      <c r="T45">
        <v>2000</v>
      </c>
      <c r="U45" s="19">
        <f>Tabla61220283861626465666768661626364656[[#This Row],[COMISIONES]]*0.21</f>
        <v>420</v>
      </c>
      <c r="X45">
        <v>60</v>
      </c>
      <c r="Z45" s="3"/>
      <c r="AA45" s="11">
        <f>Tabla35681321293971727475767778771727374757[[#This Row],[COMISIONES]]*0.21</f>
        <v>0</v>
      </c>
      <c r="AB45" s="11" t="s">
        <v>18</v>
      </c>
      <c r="AC45" s="21"/>
      <c r="AD45" s="21"/>
    </row>
    <row r="46" spans="2:31" x14ac:dyDescent="0.25">
      <c r="B46" s="3"/>
      <c r="C46" s="2">
        <f>Tabla1316243221222335262728221222324252[[#This Row],[COMISIONES]]*0.21</f>
        <v>0</v>
      </c>
      <c r="D46" s="3">
        <f>Tabla1316243221222335262728221222324252[[#This Row],[COMISIONES]]*0.105</f>
        <v>0</v>
      </c>
      <c r="E46" s="3"/>
      <c r="F46" s="3"/>
      <c r="H46" s="18"/>
      <c r="I46" s="18">
        <f>Tabla3917253531323345363738331323334353[[#This Row],[COMISIONES]]*0.21</f>
        <v>0</v>
      </c>
      <c r="J46" s="18"/>
      <c r="K46" s="18"/>
      <c r="L46" s="18"/>
      <c r="N46" s="11"/>
      <c r="O46" s="11">
        <f>Tabla351018263641424445464748441424344454[[#This Row],[COMISIONES]]*0.21</f>
        <v>0</v>
      </c>
      <c r="P46" s="11"/>
      <c r="Q46" s="11"/>
      <c r="R46" s="11"/>
      <c r="T46">
        <v>300</v>
      </c>
      <c r="U46" s="19">
        <f>Tabla61220283861626465666768661626364656[[#This Row],[COMISIONES]]*0.21</f>
        <v>63</v>
      </c>
      <c r="Z46" s="3"/>
      <c r="AA46" s="11">
        <f>Tabla35681321293971727475767778771727374757[[#This Row],[COMISIONES]]*0.21</f>
        <v>0</v>
      </c>
      <c r="AB46" s="21"/>
      <c r="AC46" s="21"/>
      <c r="AD46" s="21"/>
    </row>
    <row r="47" spans="2:31" x14ac:dyDescent="0.25">
      <c r="B47" s="3"/>
      <c r="C47" s="2">
        <f>Tabla1316243221222335262728221222324252[[#This Row],[COMISIONES]]*0.21</f>
        <v>0</v>
      </c>
      <c r="D47" s="3">
        <f>Tabla1316243221222335262728221222324252[[#This Row],[COMISIONES]]*0.105</f>
        <v>0</v>
      </c>
      <c r="E47" s="3"/>
      <c r="F47" s="3"/>
      <c r="H47" s="18"/>
      <c r="I47" s="18">
        <f>Tabla3917253531323345363738331323334353[[#This Row],[COMISIONES]]*0.21</f>
        <v>0</v>
      </c>
      <c r="J47" s="18"/>
      <c r="K47" s="18"/>
      <c r="L47" s="18"/>
      <c r="N47" s="11"/>
      <c r="O47" s="11">
        <f>Tabla351018263641424445464748441424344454[[#This Row],[COMISIONES]]*0.21</f>
        <v>0</v>
      </c>
      <c r="P47" s="11"/>
      <c r="Q47" s="11"/>
      <c r="R47" s="11"/>
      <c r="T47">
        <v>300</v>
      </c>
      <c r="U47" s="19">
        <f>Tabla61220283861626465666768661626364656[[#This Row],[COMISIONES]]*0.21</f>
        <v>63</v>
      </c>
      <c r="Z47" s="3"/>
      <c r="AA47" s="11">
        <f>Tabla35681321293971727475767778771727374757[[#This Row],[COMISIONES]]*0.21</f>
        <v>0</v>
      </c>
      <c r="AB47" s="21"/>
      <c r="AC47" s="21"/>
      <c r="AD47" s="21"/>
    </row>
    <row r="48" spans="2:31" x14ac:dyDescent="0.25">
      <c r="B48" s="3"/>
      <c r="C48" s="2">
        <f>Tabla1316243221222335262728221222324252[[#This Row],[COMISIONES]]*0.21</f>
        <v>0</v>
      </c>
      <c r="D48" s="3">
        <f>Tabla1316243221222335262728221222324252[[#This Row],[COMISIONES]]*0.105</f>
        <v>0</v>
      </c>
      <c r="E48" s="3"/>
      <c r="F48" s="3"/>
      <c r="H48" s="18"/>
      <c r="I48" s="18">
        <f>Tabla3917253531323345363738331323334353[[#This Row],[COMISIONES]]*0.21</f>
        <v>0</v>
      </c>
      <c r="J48" s="18"/>
      <c r="K48" s="18"/>
      <c r="L48" s="18"/>
      <c r="N48" s="11"/>
      <c r="O48" s="11">
        <f>Tabla351018263641424445464748441424344454[[#This Row],[COMISIONES]]*0.21</f>
        <v>0</v>
      </c>
      <c r="P48" s="11"/>
      <c r="Q48" s="11"/>
      <c r="R48" s="11"/>
      <c r="T48">
        <v>300</v>
      </c>
      <c r="U48" s="19">
        <f>Tabla61220283861626465666768661626364656[[#This Row],[COMISIONES]]*0.21</f>
        <v>63</v>
      </c>
      <c r="Z48" s="3"/>
      <c r="AA48" s="11">
        <f>Tabla35681321293971727475767778771727374757[[#This Row],[COMISIONES]]*0.21</f>
        <v>0</v>
      </c>
      <c r="AB48" s="21"/>
      <c r="AC48" s="21"/>
      <c r="AD48" s="21"/>
    </row>
    <row r="49" spans="1:41" x14ac:dyDescent="0.25">
      <c r="B49" s="3"/>
      <c r="C49" s="2">
        <f>Tabla1316243221222335262728221222324252[[#This Row],[COMISIONES]]*0.21</f>
        <v>0</v>
      </c>
      <c r="D49" s="3">
        <f>Tabla1316243221222335262728221222324252[[#This Row],[COMISIONES]]*0.105</f>
        <v>0</v>
      </c>
      <c r="E49" s="3"/>
      <c r="F49" s="3"/>
      <c r="H49" s="18"/>
      <c r="I49" s="18">
        <f>Tabla3917253531323345363738331323334353[[#This Row],[COMISIONES]]*0.21</f>
        <v>0</v>
      </c>
      <c r="J49" s="18"/>
      <c r="K49" s="18"/>
      <c r="L49" s="18"/>
      <c r="N49" s="11"/>
      <c r="O49" s="11">
        <f>Tabla351018263641424445464748441424344454[[#This Row],[COMISIONES]]*0.21</f>
        <v>0</v>
      </c>
      <c r="P49" s="11"/>
      <c r="Q49" s="11"/>
      <c r="R49" s="11"/>
      <c r="T49">
        <v>300</v>
      </c>
      <c r="U49" s="19">
        <f>Tabla61220283861626465666768661626364656[[#This Row],[COMISIONES]]*0.21</f>
        <v>63</v>
      </c>
      <c r="Z49" s="3"/>
      <c r="AA49" s="11">
        <f>Tabla35681321293971727475767778771727374757[[#This Row],[COMISIONES]]*0.21</f>
        <v>0</v>
      </c>
      <c r="AB49" s="1"/>
      <c r="AC49" s="21"/>
      <c r="AD49" s="21"/>
    </row>
    <row r="50" spans="1:41" s="6" customFormat="1" x14ac:dyDescent="0.25">
      <c r="A50"/>
      <c r="B50" s="3"/>
      <c r="C50" s="2">
        <f>Tabla1316243221222335262728221222324252[[#This Row],[COMISIONES]]*0.21</f>
        <v>0</v>
      </c>
      <c r="D50" s="3">
        <f>Tabla1316243221222335262728221222324252[[#This Row],[COMISIONES]]*0.105</f>
        <v>0</v>
      </c>
      <c r="E50" s="3"/>
      <c r="F50" s="3"/>
      <c r="H50" s="18"/>
      <c r="I50" s="18">
        <f>Tabla3917253531323345363738331323334353[[#This Row],[COMISIONES]]*0.21</f>
        <v>0</v>
      </c>
      <c r="J50" s="18"/>
      <c r="K50" s="18"/>
      <c r="L50" s="18"/>
      <c r="N50" s="11"/>
      <c r="O50" s="11">
        <f>Tabla351018263641424445464748441424344454[[#This Row],[COMISIONES]]*0.21</f>
        <v>0</v>
      </c>
      <c r="P50" s="11"/>
      <c r="Q50" s="11"/>
      <c r="R50" s="11"/>
      <c r="T50">
        <v>300</v>
      </c>
      <c r="U50" s="19">
        <f>Tabla61220283861626465666768661626364656[[#This Row],[COMISIONES]]*0.21</f>
        <v>63</v>
      </c>
      <c r="V50"/>
      <c r="W50"/>
      <c r="X50"/>
      <c r="Z50" s="3"/>
      <c r="AA50" s="11">
        <f>Tabla35681321293971727475767778771727374757[[#This Row],[COMISIONES]]*0.21</f>
        <v>0</v>
      </c>
      <c r="AB50" s="21"/>
      <c r="AC50" s="21"/>
      <c r="AD50" s="21"/>
      <c r="AF50"/>
      <c r="AG50"/>
      <c r="AH50"/>
      <c r="AI50"/>
      <c r="AJ50"/>
      <c r="AK50"/>
      <c r="AL50"/>
      <c r="AM50"/>
      <c r="AN50"/>
      <c r="AO50"/>
    </row>
    <row r="51" spans="1:41" s="6" customFormat="1" x14ac:dyDescent="0.25">
      <c r="A51"/>
      <c r="B51" s="2"/>
      <c r="C51" s="2">
        <f>Tabla1316243221222335262728221222324252[[#This Row],[COMISIONES]]*0.21</f>
        <v>0</v>
      </c>
      <c r="D51" s="2">
        <f>Tabla1316243221222335262728221222324252[[#This Row],[COMISIONES]]*0.105</f>
        <v>0</v>
      </c>
      <c r="E51" s="2"/>
      <c r="F51"/>
      <c r="H51" s="18"/>
      <c r="I51" s="18">
        <f>Tabla3917253531323345363738331323334353[[#This Row],[COMISIONES]]*0.21</f>
        <v>0</v>
      </c>
      <c r="J51" s="18"/>
      <c r="K51" s="18"/>
      <c r="L51" s="18"/>
      <c r="N51" s="11"/>
      <c r="O51" s="11">
        <f>Tabla351018263641424445464748441424344454[[#This Row],[COMISIONES]]*0.21</f>
        <v>0</v>
      </c>
      <c r="P51" s="11"/>
      <c r="Q51" s="11"/>
      <c r="R51" s="11"/>
      <c r="T51">
        <v>300</v>
      </c>
      <c r="U51" s="19">
        <f>Tabla61220283861626465666768661626364656[[#This Row],[COMISIONES]]*0.21</f>
        <v>63</v>
      </c>
      <c r="V51"/>
      <c r="W51"/>
      <c r="X51"/>
      <c r="Z51" s="3"/>
      <c r="AA51" s="21">
        <f>Tabla35681321293971727475767778771727374757[[#This Row],[COMISIONES]]*0.21</f>
        <v>0</v>
      </c>
      <c r="AB51" s="11" t="s">
        <v>18</v>
      </c>
      <c r="AC51" s="21"/>
      <c r="AD51" s="21"/>
      <c r="AF51"/>
      <c r="AG51"/>
      <c r="AH51"/>
      <c r="AI51"/>
      <c r="AJ51"/>
      <c r="AK51"/>
      <c r="AL51"/>
      <c r="AM51"/>
      <c r="AN51"/>
      <c r="AO51"/>
    </row>
    <row r="52" spans="1:41" s="6" customFormat="1" x14ac:dyDescent="0.25">
      <c r="A52"/>
      <c r="B52" s="2"/>
      <c r="C52" s="2">
        <f>Tabla1316243221222335262728221222324252[[#This Row],[COMISIONES]]*0.21</f>
        <v>0</v>
      </c>
      <c r="D52" s="2">
        <f>Tabla1316243221222335262728221222324252[[#This Row],[COMISIONES]]*0.105</f>
        <v>0</v>
      </c>
      <c r="E52" s="2"/>
      <c r="F52"/>
      <c r="H52" s="18"/>
      <c r="I52" s="18">
        <f>Tabla3917253531323345363738331323334353[[#This Row],[COMISIONES]]*0.21</f>
        <v>0</v>
      </c>
      <c r="J52" s="18"/>
      <c r="K52" s="18"/>
      <c r="L52" s="18"/>
      <c r="N52" s="11"/>
      <c r="O52" s="11">
        <f>Tabla351018263641424445464748441424344454[[#This Row],[COMISIONES]]*0.21</f>
        <v>0</v>
      </c>
      <c r="P52" s="11"/>
      <c r="Q52" s="11"/>
      <c r="R52" s="11"/>
      <c r="T52">
        <v>300</v>
      </c>
      <c r="U52" s="19">
        <f>Tabla61220283861626465666768661626364656[[#This Row],[COMISIONES]]*0.21</f>
        <v>63</v>
      </c>
      <c r="V52"/>
      <c r="W52"/>
      <c r="X52"/>
      <c r="Z52" s="3"/>
      <c r="AA52" s="21">
        <f>Tabla35681321293971727475767778771727374757[[#This Row],[COMISIONES]]*0.21</f>
        <v>0</v>
      </c>
      <c r="AB52" s="30"/>
      <c r="AC52" s="21"/>
      <c r="AD52" s="21"/>
      <c r="AF52"/>
      <c r="AG52"/>
      <c r="AH52"/>
      <c r="AI52"/>
      <c r="AJ52"/>
      <c r="AK52"/>
      <c r="AL52"/>
      <c r="AM52"/>
      <c r="AN52"/>
      <c r="AO52"/>
    </row>
    <row r="53" spans="1:41" s="6" customFormat="1" x14ac:dyDescent="0.25">
      <c r="A53"/>
      <c r="B53" s="2"/>
      <c r="C53" s="2">
        <f>Tabla1316243221222335262728221222324252[[#This Row],[COMISIONES]]*0.21</f>
        <v>0</v>
      </c>
      <c r="D53" s="2">
        <f>Tabla1316243221222335262728221222324252[[#This Row],[COMISIONES]]*0.105</f>
        <v>0</v>
      </c>
      <c r="E53" s="2"/>
      <c r="F53"/>
      <c r="H53" s="24">
        <f>SUBTOTAL(109,Tabla3917253531323345363738331323334353[COMISIONES])</f>
        <v>0</v>
      </c>
      <c r="I53" s="24">
        <f>SUBTOTAL(109,Tabla3917253531323345363738331323334353[IVA 21])</f>
        <v>0</v>
      </c>
      <c r="J53" s="24">
        <f>SUBTOTAL(109,Tabla3917253531323345363738331323334353[IVA 10,5])</f>
        <v>0</v>
      </c>
      <c r="K53" s="24">
        <f>SUBTOTAL(109,Tabla3917253531323345363738331323334353[Ret IIBB Caba])</f>
        <v>0</v>
      </c>
      <c r="L53" s="24">
        <f>SUBTOTAL(109,Tabla3917253531323345363738331323334353[PERC IVA])</f>
        <v>0</v>
      </c>
      <c r="N53" s="11"/>
      <c r="O53" s="11">
        <f>Tabla351018263641424445464748441424344454[[#This Row],[COMISIONES]]*0.21</f>
        <v>0</v>
      </c>
      <c r="P53" s="11"/>
      <c r="Q53" s="11"/>
      <c r="R53" s="11"/>
      <c r="T53">
        <v>300</v>
      </c>
      <c r="U53" s="19">
        <f>Tabla61220283861626465666768661626364656[[#This Row],[COMISIONES]]*0.21</f>
        <v>63</v>
      </c>
      <c r="V53"/>
      <c r="W53"/>
      <c r="X53"/>
      <c r="Z53" s="3"/>
      <c r="AA53" s="21">
        <f>Tabla35681321293971727475767778771727374757[[#This Row],[COMISIONES]]*0.21</f>
        <v>0</v>
      </c>
      <c r="AB53" s="1"/>
      <c r="AC53" s="21"/>
      <c r="AD53" s="21"/>
      <c r="AF53"/>
      <c r="AG53"/>
      <c r="AH53"/>
      <c r="AI53"/>
      <c r="AJ53"/>
      <c r="AK53"/>
      <c r="AL53"/>
      <c r="AM53"/>
      <c r="AN53"/>
      <c r="AO53"/>
    </row>
    <row r="54" spans="1:41" s="6" customFormat="1" ht="18.75" x14ac:dyDescent="0.3">
      <c r="A54"/>
      <c r="B54" s="2"/>
      <c r="C54" s="2">
        <f>Tabla1316243221222335262728221222324252[[#This Row],[COMISIONES]]*0.21</f>
        <v>0</v>
      </c>
      <c r="D54" s="2">
        <f>Tabla1316243221222335262728221222324252[[#This Row],[COMISIONES]]*0.105</f>
        <v>0</v>
      </c>
      <c r="E54" s="2"/>
      <c r="F54"/>
      <c r="H54" s="52" t="s">
        <v>12</v>
      </c>
      <c r="I54" s="52"/>
      <c r="J54" s="52"/>
      <c r="K54" s="52"/>
      <c r="L54" s="52"/>
      <c r="N54" s="11"/>
      <c r="O54" s="11">
        <f>Tabla351018263641424445464748441424344454[[#This Row],[COMISIONES]]*0.21</f>
        <v>0</v>
      </c>
      <c r="P54" s="11"/>
      <c r="Q54" s="11"/>
      <c r="R54" s="11"/>
      <c r="T54">
        <v>300</v>
      </c>
      <c r="U54" s="19">
        <f>Tabla61220283861626465666768661626364656[[#This Row],[COMISIONES]]*0.21</f>
        <v>63</v>
      </c>
      <c r="V54"/>
      <c r="W54"/>
      <c r="X54"/>
      <c r="Z54" s="3"/>
      <c r="AA54" s="21">
        <f>Tabla35681321293971727475767778771727374757[[#This Row],[COMISIONES]]*0.21</f>
        <v>0</v>
      </c>
      <c r="AB54" s="21"/>
      <c r="AC54" s="1"/>
      <c r="AD54" s="21"/>
      <c r="AF54"/>
      <c r="AG54"/>
      <c r="AH54"/>
      <c r="AI54"/>
      <c r="AJ54"/>
      <c r="AK54"/>
      <c r="AL54"/>
      <c r="AM54"/>
      <c r="AN54"/>
      <c r="AO54"/>
    </row>
    <row r="55" spans="1:41" s="6" customFormat="1" x14ac:dyDescent="0.25">
      <c r="A55"/>
      <c r="B55" s="2"/>
      <c r="C55" s="2">
        <f>Tabla1316243221222335262728221222324252[[#This Row],[COMISIONES]]*0.21</f>
        <v>0</v>
      </c>
      <c r="D55" s="2">
        <f>Tabla1316243221222335262728221222324252[[#This Row],[COMISIONES]]*0.105</f>
        <v>0</v>
      </c>
      <c r="E55" s="2"/>
      <c r="F55"/>
      <c r="H55" s="12" t="s">
        <v>2</v>
      </c>
      <c r="I55" s="13" t="s">
        <v>0</v>
      </c>
      <c r="J55" s="13" t="s">
        <v>1</v>
      </c>
      <c r="K55" s="13" t="s">
        <v>3</v>
      </c>
      <c r="L55" s="13" t="s">
        <v>4</v>
      </c>
      <c r="N55" s="11"/>
      <c r="O55" s="11">
        <f>Tabla351018263641424445464748441424344454[[#This Row],[COMISIONES]]*0.21</f>
        <v>0</v>
      </c>
      <c r="P55" s="11"/>
      <c r="Q55" s="11"/>
      <c r="R55" s="11"/>
      <c r="T55">
        <v>25200</v>
      </c>
      <c r="U55" s="19">
        <f>Tabla61220283861626465666768661626364656[[#This Row],[COMISIONES]]*0.21</f>
        <v>5292</v>
      </c>
      <c r="V55"/>
      <c r="W55"/>
      <c r="X55">
        <v>756</v>
      </c>
      <c r="Z55" s="3"/>
      <c r="AA55" s="21"/>
      <c r="AB55" s="3">
        <f>Tabla35681321293971727475767778771727374757[[#This Row],[COMISIONES]]*0.105</f>
        <v>0</v>
      </c>
      <c r="AC55" s="1"/>
      <c r="AD55" s="21"/>
      <c r="AF55"/>
      <c r="AG55"/>
      <c r="AH55"/>
      <c r="AI55"/>
      <c r="AJ55"/>
      <c r="AK55"/>
      <c r="AL55"/>
      <c r="AM55"/>
      <c r="AN55"/>
      <c r="AO55"/>
    </row>
    <row r="56" spans="1:41" s="6" customFormat="1" x14ac:dyDescent="0.25">
      <c r="A56"/>
      <c r="B56" s="2"/>
      <c r="C56" s="2">
        <f>Tabla1316243221222335262728221222324252[[#This Row],[COMISIONES]]*0.21</f>
        <v>0</v>
      </c>
      <c r="D56" s="2">
        <f>Tabla1316243221222335262728221222324252[[#This Row],[COMISIONES]]*0.105</f>
        <v>0</v>
      </c>
      <c r="E56" s="2"/>
      <c r="F56"/>
      <c r="H56" s="1"/>
      <c r="I56" s="11">
        <f>Tabla391523314191929495969798991929394959[[#This Row],[COMISIONES]]*0.21</f>
        <v>0</v>
      </c>
      <c r="J56" s="11"/>
      <c r="K56" s="11"/>
      <c r="L56" s="1"/>
      <c r="N56" s="11"/>
      <c r="O56" s="11">
        <f>Tabla351018263641424445464748441424344454[[#This Row],[COMISIONES]]*0.21</f>
        <v>0</v>
      </c>
      <c r="P56" s="11"/>
      <c r="Q56" s="11"/>
      <c r="R56" s="11"/>
      <c r="T56">
        <v>2000</v>
      </c>
      <c r="U56" s="19">
        <f>Tabla61220283861626465666768661626364656[[#This Row],[COMISIONES]]*0.21</f>
        <v>420</v>
      </c>
      <c r="V56"/>
      <c r="W56"/>
      <c r="X56">
        <v>60</v>
      </c>
      <c r="Z56" s="3"/>
      <c r="AA56" s="21">
        <f>Tabla35681321293971727475767778771727374757[[#This Row],[COMISIONES]]*0.21</f>
        <v>0</v>
      </c>
      <c r="AB56" s="3"/>
      <c r="AC56"/>
      <c r="AD56" s="21"/>
      <c r="AF56"/>
      <c r="AG56"/>
      <c r="AH56"/>
      <c r="AI56"/>
      <c r="AJ56"/>
      <c r="AK56"/>
      <c r="AL56"/>
      <c r="AM56"/>
      <c r="AN56"/>
      <c r="AO56"/>
    </row>
    <row r="57" spans="1:41" s="6" customFormat="1" x14ac:dyDescent="0.25">
      <c r="A57"/>
      <c r="B57" s="2"/>
      <c r="C57" s="2">
        <f>Tabla1316243221222335262728221222324252[[#This Row],[COMISIONES]]*0.21</f>
        <v>0</v>
      </c>
      <c r="D57" s="2">
        <f>Tabla1316243221222335262728221222324252[[#This Row],[COMISIONES]]*0.105</f>
        <v>0</v>
      </c>
      <c r="E57" s="2"/>
      <c r="F57"/>
      <c r="H57" s="11"/>
      <c r="I57" s="11">
        <f>Tabla391523314191929495969798991929394959[[#This Row],[COMISIONES]]*0.21</f>
        <v>0</v>
      </c>
      <c r="J57" s="11"/>
      <c r="K57" s="11"/>
      <c r="L57" s="21"/>
      <c r="N57" s="11"/>
      <c r="O57" s="11">
        <f>Tabla351018263641424445464748441424344454[[#This Row],[COMISIONES]]*0.21</f>
        <v>0</v>
      </c>
      <c r="P57" s="11"/>
      <c r="Q57" s="11"/>
      <c r="R57" s="11"/>
      <c r="T57">
        <v>300</v>
      </c>
      <c r="U57" s="19">
        <f>Tabla61220283861626465666768661626364656[[#This Row],[COMISIONES]]*0.21</f>
        <v>63</v>
      </c>
      <c r="V57"/>
      <c r="W57"/>
      <c r="X57"/>
      <c r="Z57" s="3"/>
      <c r="AA57" s="21">
        <f>Tabla35681321293971727475767778771727374757[[#This Row],[COMISIONES]]*0.21</f>
        <v>0</v>
      </c>
      <c r="AB57" s="21"/>
      <c r="AC57" s="21"/>
      <c r="AD57" s="21"/>
      <c r="AF57"/>
      <c r="AG57"/>
      <c r="AH57"/>
      <c r="AI57"/>
      <c r="AJ57"/>
      <c r="AK57"/>
      <c r="AL57"/>
      <c r="AM57"/>
      <c r="AN57"/>
      <c r="AO57"/>
    </row>
    <row r="58" spans="1:41" s="6" customFormat="1" x14ac:dyDescent="0.25">
      <c r="A58"/>
      <c r="B58" s="2"/>
      <c r="C58" s="2">
        <f>Tabla1316243221222335262728221222324252[[#This Row],[COMISIONES]]*0.21</f>
        <v>0</v>
      </c>
      <c r="D58" s="1">
        <f>Tabla1316243221222335262728221222324252[[#This Row],[COMISIONES]]*0.105</f>
        <v>0</v>
      </c>
      <c r="E58" s="2"/>
      <c r="F58"/>
      <c r="H58" s="11"/>
      <c r="I58" s="11">
        <f>Tabla391523314191929495969798991929394959[[#This Row],[COMISIONES]]*0.21</f>
        <v>0</v>
      </c>
      <c r="J58" s="11"/>
      <c r="K58" s="11"/>
      <c r="L58" s="11"/>
      <c r="N58" s="11"/>
      <c r="O58" s="11">
        <f>Tabla351018263641424445464748441424344454[[#This Row],[COMISIONES]]*0.21</f>
        <v>0</v>
      </c>
      <c r="P58" s="11"/>
      <c r="Q58" s="11"/>
      <c r="R58" s="11"/>
      <c r="T58">
        <v>300</v>
      </c>
      <c r="U58" s="19">
        <f>Tabla61220283861626465666768661626364656[[#This Row],[COMISIONES]]*0.21</f>
        <v>63</v>
      </c>
      <c r="V58"/>
      <c r="W58"/>
      <c r="X58"/>
      <c r="Z58" s="3"/>
      <c r="AA58" s="21">
        <f>Tabla35681321293971727475767778771727374757[[#This Row],[COMISIONES]]*0.21</f>
        <v>0</v>
      </c>
      <c r="AB58" s="21"/>
      <c r="AC58" s="21"/>
      <c r="AD58" s="21"/>
      <c r="AF58"/>
      <c r="AG58"/>
      <c r="AH58"/>
      <c r="AI58"/>
      <c r="AJ58"/>
      <c r="AK58"/>
      <c r="AL58"/>
      <c r="AM58"/>
      <c r="AN58"/>
      <c r="AO58"/>
    </row>
    <row r="59" spans="1:41" s="6" customFormat="1" x14ac:dyDescent="0.25">
      <c r="A59"/>
      <c r="B59" s="2"/>
      <c r="C59" s="2">
        <f>Tabla1316243221222335262728221222324252[[#This Row],[COMISIONES]]*0.21</f>
        <v>0</v>
      </c>
      <c r="D59" s="2">
        <f>Tabla1316243221222335262728221222324252[[#This Row],[COMISIONES]]*0.105</f>
        <v>0</v>
      </c>
      <c r="E59" s="2"/>
      <c r="F59"/>
      <c r="H59" s="11"/>
      <c r="I59" s="11">
        <f>Tabla391523314191929495969798991929394959[[#This Row],[COMISIONES]]*0.21</f>
        <v>0</v>
      </c>
      <c r="J59" s="11"/>
      <c r="K59" s="11"/>
      <c r="L59" s="11"/>
      <c r="N59" s="11"/>
      <c r="O59" s="11">
        <f>Tabla351018263641424445464748441424344454[[#This Row],[COMISIONES]]*0.21</f>
        <v>0</v>
      </c>
      <c r="P59" s="11"/>
      <c r="Q59" s="11"/>
      <c r="R59" s="11"/>
      <c r="T59"/>
      <c r="U59" s="19">
        <f>Tabla61220283861626465666768661626364656[[#This Row],[COMISIONES]]*0.21</f>
        <v>0</v>
      </c>
      <c r="V59"/>
      <c r="W59"/>
      <c r="X59"/>
      <c r="Z59" s="3"/>
      <c r="AA59" s="21">
        <f>Tabla35681321293971727475767778771727374757[[#This Row],[COMISIONES]]*0.21</f>
        <v>0</v>
      </c>
      <c r="AB59" s="21"/>
      <c r="AC59" s="21"/>
      <c r="AD59" s="21"/>
      <c r="AF59"/>
      <c r="AG59"/>
      <c r="AH59"/>
      <c r="AI59"/>
      <c r="AJ59"/>
      <c r="AK59"/>
      <c r="AL59"/>
      <c r="AM59"/>
      <c r="AN59"/>
      <c r="AO59"/>
    </row>
    <row r="60" spans="1:41" s="6" customFormat="1" x14ac:dyDescent="0.25">
      <c r="A60"/>
      <c r="B60" s="2"/>
      <c r="C60" s="2">
        <f>Tabla1316243221222335262728221222324252[[#This Row],[COMISIONES]]*0.21</f>
        <v>0</v>
      </c>
      <c r="D60" s="2">
        <f>Tabla1316243221222335262728221222324252[[#This Row],[COMISIONES]]*0.105</f>
        <v>0</v>
      </c>
      <c r="E60" s="2"/>
      <c r="F60"/>
      <c r="H60" s="11"/>
      <c r="I60" s="11">
        <f>Tabla391523314191929495969798991929394959[[#This Row],[COMISIONES]]*0.21</f>
        <v>0</v>
      </c>
      <c r="J60" s="11"/>
      <c r="K60" s="11"/>
      <c r="L60" s="11"/>
      <c r="N60" s="11"/>
      <c r="O60" s="11">
        <f>Tabla351018263641424445464748441424344454[[#This Row],[COMISIONES]]*0.21</f>
        <v>0</v>
      </c>
      <c r="P60" s="11"/>
      <c r="Q60" s="11"/>
      <c r="R60" s="11"/>
      <c r="T60"/>
      <c r="U60" s="19">
        <f>Tabla61220283861626465666768661626364656[[#This Row],[COMISIONES]]*0.21</f>
        <v>0</v>
      </c>
      <c r="V60"/>
      <c r="W60"/>
      <c r="X60"/>
      <c r="Z60" s="3"/>
      <c r="AA60" s="21">
        <f>Tabla35681321293971727475767778771727374757[[#This Row],[COMISIONES]]*0.21</f>
        <v>0</v>
      </c>
      <c r="AB60" s="21"/>
      <c r="AC60" s="21"/>
      <c r="AD60" s="21"/>
      <c r="AF60"/>
      <c r="AG60"/>
      <c r="AH60"/>
      <c r="AI60"/>
      <c r="AJ60"/>
      <c r="AK60"/>
      <c r="AL60"/>
      <c r="AM60"/>
      <c r="AN60"/>
      <c r="AO60"/>
    </row>
    <row r="61" spans="1:41" s="6" customFormat="1" x14ac:dyDescent="0.25">
      <c r="A61"/>
      <c r="B61" s="4">
        <f>SUBTOTAL(109,Tabla1316243221222335262728221222324252[COMISIONES])</f>
        <v>66210</v>
      </c>
      <c r="C61" s="4">
        <f>SUBTOTAL(109,Tabla1316243221222335262728221222324252[IVA 21])</f>
        <v>13904.1</v>
      </c>
      <c r="D61" s="4">
        <f>SUBTOTAL(109,Tabla1316243221222335262728221222324252[IVA 10,5])</f>
        <v>0</v>
      </c>
      <c r="E61" s="4">
        <f>SUBTOTAL(109,Tabla1316243221222335262728221222324252[Ret IIBB Caba])</f>
        <v>3972.6</v>
      </c>
      <c r="F61" s="4">
        <f>SUBTOTAL(109,Tabla1316243221222335262728221222324252[PERC IVA])</f>
        <v>1986.3</v>
      </c>
      <c r="H61" s="11"/>
      <c r="I61" s="11">
        <f>Tabla391523314191929495969798991929394959[[#This Row],[COMISIONES]]*0.21</f>
        <v>0</v>
      </c>
      <c r="J61" s="11"/>
      <c r="K61" s="11"/>
      <c r="L61" s="11"/>
      <c r="N61" s="11"/>
      <c r="O61" s="11">
        <f>Tabla351018263641424445464748441424344454[[#This Row],[COMISIONES]]*0.21</f>
        <v>0</v>
      </c>
      <c r="P61" s="11"/>
      <c r="Q61" s="11"/>
      <c r="R61" s="11"/>
      <c r="T61"/>
      <c r="U61" s="19">
        <f>Tabla61220283861626465666768661626364656[[#This Row],[COMISIONES]]*0.21</f>
        <v>0</v>
      </c>
      <c r="V61"/>
      <c r="W61"/>
      <c r="X61"/>
      <c r="Z61" s="3"/>
      <c r="AA61" s="21">
        <f>Tabla35681321293971727475767778771727374757[[#This Row],[COMISIONES]]*0.21</f>
        <v>0</v>
      </c>
      <c r="AB61" s="21"/>
      <c r="AC61" s="21"/>
      <c r="AD61" s="21"/>
      <c r="AF61"/>
      <c r="AG61"/>
      <c r="AH61"/>
      <c r="AI61"/>
      <c r="AJ61"/>
      <c r="AK61"/>
      <c r="AL61"/>
      <c r="AM61"/>
      <c r="AN61"/>
      <c r="AO61"/>
    </row>
    <row r="62" spans="1:41" s="6" customFormat="1" x14ac:dyDescent="0.25">
      <c r="A62"/>
      <c r="B62"/>
      <c r="C62"/>
      <c r="D62"/>
      <c r="E62"/>
      <c r="F62"/>
      <c r="H62" s="11"/>
      <c r="I62" s="11">
        <f>Tabla391523314191929495969798991929394959[[#This Row],[COMISIONES]]*0.21</f>
        <v>0</v>
      </c>
      <c r="J62" s="11"/>
      <c r="K62" s="11"/>
      <c r="L62" s="11"/>
      <c r="N62" s="11"/>
      <c r="O62" s="11">
        <f>Tabla351018263641424445464748441424344454[[#This Row],[COMISIONES]]*0.21</f>
        <v>0</v>
      </c>
      <c r="P62" s="11"/>
      <c r="Q62" s="11"/>
      <c r="R62" s="11"/>
      <c r="T62" s="4">
        <f>SUBTOTAL(109,Tabla61220283861626465666768661626364656[COMISIONES])</f>
        <v>226706.22999999998</v>
      </c>
      <c r="U62" s="4">
        <f>SUBTOTAL(109,Tabla61220283861626465666768661626364656[IVA 21])</f>
        <v>40604.743199999997</v>
      </c>
      <c r="V62" s="4">
        <f>SUBTOTAL(109,Tabla61220283861626465666768661626364656[IVA 10,5])</f>
        <v>3501.7825499999994</v>
      </c>
      <c r="W62" s="4">
        <f>SUBTOTAL(109,Tabla61220283861626465666768661626364656[Ret IIBB Caba])</f>
        <v>11243.75</v>
      </c>
      <c r="X62" s="4">
        <f>SUBTOTAL(109,Tabla61220283861626465666768661626364656[PERC IVA])</f>
        <v>6201.6</v>
      </c>
      <c r="Z62" s="3"/>
      <c r="AA62" s="21"/>
      <c r="AB62" s="21">
        <f>Tabla35681321293971727475767778771727374757[[#This Row],[COMISIONES]]*0.105</f>
        <v>0</v>
      </c>
      <c r="AC62" s="21"/>
      <c r="AD62" s="21"/>
      <c r="AF62"/>
      <c r="AG62"/>
      <c r="AH62"/>
      <c r="AI62"/>
      <c r="AJ62"/>
      <c r="AK62"/>
      <c r="AL62"/>
      <c r="AM62"/>
      <c r="AN62"/>
      <c r="AO62"/>
    </row>
    <row r="63" spans="1:41" s="6" customFormat="1" x14ac:dyDescent="0.25">
      <c r="A63"/>
      <c r="B63"/>
      <c r="C63"/>
      <c r="D63"/>
      <c r="E63"/>
      <c r="F63"/>
      <c r="H63" s="11"/>
      <c r="I63" s="11">
        <f>Tabla391523314191929495969798991929394959[[#This Row],[COMISIONES]]*0.21</f>
        <v>0</v>
      </c>
      <c r="J63" s="11"/>
      <c r="K63" s="11"/>
      <c r="L63" s="11"/>
      <c r="N63" s="11"/>
      <c r="O63" s="11">
        <f>Tabla351018263641424445464748441424344454[[#This Row],[COMISIONES]]*0.21</f>
        <v>0</v>
      </c>
      <c r="P63" s="11"/>
      <c r="Q63" s="11"/>
      <c r="R63" s="11"/>
      <c r="T63"/>
      <c r="U63"/>
      <c r="V63"/>
      <c r="W63"/>
      <c r="X63"/>
      <c r="Z63" s="3"/>
      <c r="AA63" s="21">
        <f>Tabla35681321293971727475767778771727374757[[#This Row],[COMISIONES]]*0.21</f>
        <v>0</v>
      </c>
      <c r="AB63" s="21"/>
      <c r="AC63" s="21"/>
      <c r="AD63" s="21"/>
      <c r="AF63"/>
      <c r="AG63"/>
      <c r="AH63"/>
      <c r="AI63"/>
      <c r="AJ63"/>
      <c r="AK63"/>
      <c r="AL63"/>
      <c r="AM63"/>
      <c r="AN63"/>
      <c r="AO63"/>
    </row>
    <row r="64" spans="1:41" s="6" customFormat="1" ht="18.75" x14ac:dyDescent="0.3">
      <c r="A64"/>
      <c r="B64"/>
      <c r="C64"/>
      <c r="D64"/>
      <c r="E64"/>
      <c r="F64"/>
      <c r="H64" s="11"/>
      <c r="I64" s="11">
        <f>Tabla391523314191929495969798991929394959[[#This Row],[COMISIONES]]*0.21</f>
        <v>0</v>
      </c>
      <c r="J64" s="11"/>
      <c r="K64" s="11"/>
      <c r="L64" s="11"/>
      <c r="N64" s="11"/>
      <c r="O64" s="11">
        <f>Tabla351018263641424445464748441424344454[[#This Row],[COMISIONES]]*0.21</f>
        <v>0</v>
      </c>
      <c r="P64" s="11"/>
      <c r="Q64" s="11"/>
      <c r="R64" s="11"/>
      <c r="T64" s="52" t="s">
        <v>19</v>
      </c>
      <c r="U64" s="52"/>
      <c r="V64" s="52"/>
      <c r="W64" s="52"/>
      <c r="X64" s="52"/>
      <c r="Z64" s="3"/>
      <c r="AA64" s="21">
        <f>Tabla35681321293971727475767778771727374757[[#This Row],[COMISIONES]]*0.21</f>
        <v>0</v>
      </c>
      <c r="AB64" s="1"/>
      <c r="AC64" s="21"/>
      <c r="AD64"/>
      <c r="AF64"/>
      <c r="AG64"/>
      <c r="AH64"/>
      <c r="AI64"/>
      <c r="AJ64"/>
      <c r="AK64"/>
      <c r="AL64"/>
      <c r="AM64"/>
      <c r="AN64"/>
      <c r="AO64"/>
    </row>
    <row r="65" spans="1:41" s="6" customFormat="1" x14ac:dyDescent="0.25">
      <c r="A65"/>
      <c r="B65"/>
      <c r="C65"/>
      <c r="D65"/>
      <c r="E65"/>
      <c r="F65"/>
      <c r="H65" s="11"/>
      <c r="I65" s="11">
        <f>Tabla391523314191929495969798991929394959[[#This Row],[COMISIONES]]*0.21</f>
        <v>0</v>
      </c>
      <c r="J65" s="11"/>
      <c r="K65" s="11"/>
      <c r="L65" s="11"/>
      <c r="N65" s="11"/>
      <c r="O65" s="11">
        <f>Tabla351018263641424445464748441424344454[[#This Row],[COMISIONES]]*0.21</f>
        <v>0</v>
      </c>
      <c r="P65" s="11"/>
      <c r="Q65" s="11"/>
      <c r="R65" s="11"/>
      <c r="T65" s="12" t="s">
        <v>2</v>
      </c>
      <c r="U65" s="13" t="s">
        <v>0</v>
      </c>
      <c r="V65" s="13" t="s">
        <v>1</v>
      </c>
      <c r="W65" s="13" t="s">
        <v>3</v>
      </c>
      <c r="X65" s="13" t="s">
        <v>4</v>
      </c>
      <c r="Z65" s="3"/>
      <c r="AA65" s="21"/>
      <c r="AB65" s="21"/>
      <c r="AC65" s="21"/>
      <c r="AD65"/>
      <c r="AF65"/>
      <c r="AG65"/>
      <c r="AH65"/>
      <c r="AI65"/>
      <c r="AJ65"/>
      <c r="AK65"/>
      <c r="AL65"/>
      <c r="AM65"/>
      <c r="AN65"/>
      <c r="AO65"/>
    </row>
    <row r="66" spans="1:41" s="6" customFormat="1" x14ac:dyDescent="0.25">
      <c r="A66"/>
      <c r="B66"/>
      <c r="C66"/>
      <c r="D66"/>
      <c r="E66"/>
      <c r="F66"/>
      <c r="H66" s="11"/>
      <c r="I66" s="11">
        <f>Tabla391523314191929495969798991929394959[[#This Row],[COMISIONES]]*0.21</f>
        <v>0</v>
      </c>
      <c r="J66" s="11"/>
      <c r="K66" s="11"/>
      <c r="L66" s="11"/>
      <c r="N66" s="11"/>
      <c r="O66" s="11">
        <f>Tabla351018263641424445464748441424344454[[#This Row],[COMISIONES]]*0.21</f>
        <v>0</v>
      </c>
      <c r="P66" s="11"/>
      <c r="Q66" s="11"/>
      <c r="R66" s="11"/>
      <c r="T66" s="11">
        <v>48000</v>
      </c>
      <c r="U66" s="11">
        <f>Tabla612202833421020305060708090102030405060[[#This Row],[COMISIONES]]*0.21</f>
        <v>10080</v>
      </c>
      <c r="V66" s="11"/>
      <c r="W66" s="1">
        <v>438.12</v>
      </c>
      <c r="X66" s="11">
        <v>1440</v>
      </c>
      <c r="Z66" s="3"/>
      <c r="AA66" s="21">
        <f>Tabla35681321293971727475767778771727374757[[#This Row],[COMISIONES]]*0.21</f>
        <v>0</v>
      </c>
      <c r="AB66" s="21"/>
      <c r="AC66" s="21"/>
      <c r="AD66" s="21"/>
      <c r="AF66"/>
      <c r="AG66"/>
      <c r="AH66"/>
      <c r="AI66"/>
      <c r="AJ66"/>
      <c r="AK66"/>
      <c r="AL66"/>
      <c r="AM66"/>
      <c r="AN66"/>
      <c r="AO66"/>
    </row>
    <row r="67" spans="1:41" s="6" customFormat="1" x14ac:dyDescent="0.25">
      <c r="A67"/>
      <c r="B67"/>
      <c r="C67"/>
      <c r="D67"/>
      <c r="E67"/>
      <c r="F67"/>
      <c r="H67" s="11"/>
      <c r="I67" s="11">
        <f>Tabla391523314191929495969798991929394959[[#This Row],[COMISIONES]]*0.21</f>
        <v>0</v>
      </c>
      <c r="J67" s="11"/>
      <c r="K67" s="11"/>
      <c r="L67" s="11"/>
      <c r="N67" s="18"/>
      <c r="O67" s="11">
        <f>Tabla351018263641424445464748441424344454[[#This Row],[COMISIONES]]*0.21</f>
        <v>0</v>
      </c>
      <c r="P67" s="18"/>
      <c r="Q67" s="18"/>
      <c r="R67" s="18"/>
      <c r="T67" s="11">
        <v>96.86</v>
      </c>
      <c r="U67" s="11"/>
      <c r="V67" s="11">
        <f>Tabla612202833421020305060708090102030405060[[#This Row],[COMISIONES]]*0.105</f>
        <v>10.170299999999999</v>
      </c>
      <c r="W67" s="11">
        <v>156.43</v>
      </c>
      <c r="X67" s="11"/>
      <c r="Z67" s="3"/>
      <c r="AA67" s="21">
        <f>Tabla35681321293971727475767778771727374757[[#This Row],[COMISIONES]]*0.21</f>
        <v>0</v>
      </c>
      <c r="AB67" s="21"/>
      <c r="AC67" s="21"/>
      <c r="AD67" s="21"/>
      <c r="AF67"/>
      <c r="AG67"/>
      <c r="AH67"/>
      <c r="AI67"/>
      <c r="AJ67"/>
      <c r="AK67"/>
      <c r="AL67"/>
      <c r="AM67"/>
      <c r="AN67"/>
      <c r="AO67"/>
    </row>
    <row r="68" spans="1:41" s="6" customFormat="1" x14ac:dyDescent="0.25">
      <c r="A68"/>
      <c r="B68"/>
      <c r="C68"/>
      <c r="D68"/>
      <c r="E68"/>
      <c r="F68"/>
      <c r="H68" s="11"/>
      <c r="I68" s="11">
        <f>Tabla391523314191929495969798991929394959[[#This Row],[COMISIONES]]*0.21</f>
        <v>0</v>
      </c>
      <c r="J68" s="11"/>
      <c r="K68" s="11"/>
      <c r="L68" s="11"/>
      <c r="N68" s="18"/>
      <c r="O68" s="11">
        <f>Tabla351018263641424445464748441424344454[[#This Row],[COMISIONES]]*0.21</f>
        <v>0</v>
      </c>
      <c r="P68" s="18"/>
      <c r="Q68" s="18"/>
      <c r="R68" s="18"/>
      <c r="T68" s="11"/>
      <c r="U68" s="19">
        <f>Tabla612202833421020305060708090102030405060[[#This Row],[COMISIONES]]*0.21</f>
        <v>0</v>
      </c>
      <c r="V68"/>
      <c r="W68" s="1">
        <v>2880</v>
      </c>
      <c r="X68"/>
      <c r="Z68" s="3"/>
      <c r="AA68" s="21">
        <f>Tabla35681321293971727475767778771727374757[[#This Row],[COMISIONES]]*0.21</f>
        <v>0</v>
      </c>
      <c r="AB68" s="21"/>
      <c r="AC68" s="21"/>
      <c r="AD68" s="21"/>
      <c r="AF68"/>
      <c r="AG68"/>
      <c r="AH68"/>
      <c r="AI68"/>
      <c r="AJ68"/>
      <c r="AK68"/>
      <c r="AL68"/>
      <c r="AM68"/>
      <c r="AN68"/>
      <c r="AO68"/>
    </row>
    <row r="69" spans="1:41" s="6" customFormat="1" x14ac:dyDescent="0.25">
      <c r="A69"/>
      <c r="B69"/>
      <c r="C69"/>
      <c r="D69"/>
      <c r="E69"/>
      <c r="F69"/>
      <c r="H69" s="11"/>
      <c r="I69" s="11">
        <f>Tabla391523314191929495969798991929394959[[#This Row],[COMISIONES]]*0.21</f>
        <v>0</v>
      </c>
      <c r="J69" s="11"/>
      <c r="K69" s="11"/>
      <c r="L69" s="11"/>
      <c r="N69" s="18"/>
      <c r="O69" s="11">
        <f>Tabla351018263641424445464748441424344454[[#This Row],[COMISIONES]]*0.21</f>
        <v>0</v>
      </c>
      <c r="P69" s="18"/>
      <c r="Q69" s="18"/>
      <c r="R69" s="18"/>
      <c r="T69" s="11"/>
      <c r="U69" s="19">
        <f>Tabla612202833421020305060708090102030405060[[#This Row],[COMISIONES]]*0.21</f>
        <v>0</v>
      </c>
      <c r="V69"/>
      <c r="W69">
        <v>7.25</v>
      </c>
      <c r="X69"/>
      <c r="Z69" s="3"/>
      <c r="AA69" s="21">
        <f>Tabla35681321293971727475767778771727374757[[#This Row],[COMISIONES]]*0.21</f>
        <v>0</v>
      </c>
      <c r="AB69" s="21"/>
      <c r="AC69" s="21"/>
      <c r="AD69" s="21"/>
      <c r="AF69"/>
      <c r="AG69"/>
      <c r="AH69"/>
      <c r="AI69"/>
      <c r="AJ69"/>
      <c r="AK69"/>
      <c r="AL69"/>
      <c r="AM69"/>
      <c r="AN69"/>
      <c r="AO69"/>
    </row>
    <row r="70" spans="1:41" s="6" customFormat="1" x14ac:dyDescent="0.25">
      <c r="A70"/>
      <c r="B70"/>
      <c r="C70"/>
      <c r="D70"/>
      <c r="E70"/>
      <c r="F70"/>
      <c r="H70" s="11"/>
      <c r="I70" s="11">
        <f>Tabla391523314191929495969798991929394959[[#This Row],[COMISIONES]]*0.21</f>
        <v>0</v>
      </c>
      <c r="J70" s="11"/>
      <c r="K70" s="11"/>
      <c r="L70" s="11"/>
      <c r="N70" s="18"/>
      <c r="O70" s="11">
        <f>Tabla351018263641424445464748441424344454[[#This Row],[COMISIONES]]*0.21</f>
        <v>0</v>
      </c>
      <c r="P70" s="18"/>
      <c r="Q70" s="18"/>
      <c r="R70" s="18"/>
      <c r="T70" s="11"/>
      <c r="U70" s="19">
        <f>Tabla612202833421020305060708090102030405060[[#This Row],[COMISIONES]]*0.21</f>
        <v>0</v>
      </c>
      <c r="V70"/>
      <c r="W70">
        <v>115.91</v>
      </c>
      <c r="X70"/>
      <c r="Z70" s="3"/>
      <c r="AA70" s="21">
        <f>Tabla35681321293971727475767778771727374757[[#This Row],[COMISIONES]]*0.21</f>
        <v>0</v>
      </c>
      <c r="AB70" s="21"/>
      <c r="AC70" s="21"/>
      <c r="AD70" s="21"/>
      <c r="AF70"/>
      <c r="AG70"/>
      <c r="AH70"/>
      <c r="AI70"/>
      <c r="AJ70"/>
      <c r="AK70"/>
      <c r="AL70"/>
      <c r="AM70"/>
      <c r="AN70"/>
      <c r="AO70"/>
    </row>
    <row r="71" spans="1:41" s="6" customFormat="1" x14ac:dyDescent="0.25">
      <c r="A71"/>
      <c r="B71"/>
      <c r="C71"/>
      <c r="D71"/>
      <c r="E71"/>
      <c r="F71"/>
      <c r="H71" s="11"/>
      <c r="I71" s="11">
        <f>Tabla391523314191929495969798991929394959[[#This Row],[COMISIONES]]*0.21</f>
        <v>0</v>
      </c>
      <c r="J71" s="11"/>
      <c r="K71" s="11"/>
      <c r="L71" s="11"/>
      <c r="N71" s="18"/>
      <c r="O71" s="11">
        <f>Tabla351018263641424445464748441424344454[[#This Row],[COMISIONES]]*0.21</f>
        <v>0</v>
      </c>
      <c r="P71" s="18"/>
      <c r="Q71" s="18"/>
      <c r="R71" s="18"/>
      <c r="T71" s="11"/>
      <c r="U71" s="19">
        <f>Tabla612202833421020305060708090102030405060[[#This Row],[COMISIONES]]*0.21</f>
        <v>0</v>
      </c>
      <c r="V71"/>
      <c r="W71">
        <v>107.82</v>
      </c>
      <c r="X71"/>
      <c r="Z71" s="3"/>
      <c r="AA71" s="21">
        <f>Tabla35681321293971727475767778771727374757[[#This Row],[COMISIONES]]*0.21</f>
        <v>0</v>
      </c>
      <c r="AB71" s="21"/>
      <c r="AC71" s="21"/>
      <c r="AD71" s="21"/>
      <c r="AF71"/>
      <c r="AG71"/>
      <c r="AH71"/>
      <c r="AI71"/>
      <c r="AJ71"/>
      <c r="AK71"/>
      <c r="AL71"/>
      <c r="AM71"/>
      <c r="AN71"/>
      <c r="AO71"/>
    </row>
    <row r="72" spans="1:41" s="6" customFormat="1" x14ac:dyDescent="0.25">
      <c r="A72"/>
      <c r="B72"/>
      <c r="C72"/>
      <c r="D72"/>
      <c r="E72"/>
      <c r="F72"/>
      <c r="H72" s="11"/>
      <c r="I72" s="11">
        <f>Tabla391523314191929495969798991929394959[[#This Row],[COMISIONES]]*0.21</f>
        <v>0</v>
      </c>
      <c r="J72" s="11"/>
      <c r="K72" s="11"/>
      <c r="L72" s="11"/>
      <c r="N72" s="18"/>
      <c r="O72" s="11">
        <f>Tabla351018263641424445464748441424344454[[#This Row],[COMISIONES]]*0.21</f>
        <v>0</v>
      </c>
      <c r="P72" s="18"/>
      <c r="Q72" s="18"/>
      <c r="R72" s="18"/>
      <c r="T72" s="11"/>
      <c r="U72" s="19">
        <f>Tabla612202833421020305060708090102030405060[[#This Row],[COMISIONES]]*0.21</f>
        <v>0</v>
      </c>
      <c r="V72"/>
      <c r="W72">
        <v>46.68</v>
      </c>
      <c r="X72"/>
      <c r="Z72" s="3"/>
      <c r="AA72" s="21">
        <f>Tabla35681321293971727475767778771727374757[[#This Row],[COMISIONES]]*0.21</f>
        <v>0</v>
      </c>
      <c r="AB72" s="21"/>
      <c r="AC72" s="21"/>
      <c r="AD72" s="21"/>
      <c r="AF72"/>
      <c r="AG72"/>
      <c r="AH72"/>
      <c r="AI72"/>
      <c r="AJ72"/>
      <c r="AK72"/>
      <c r="AL72"/>
      <c r="AM72"/>
      <c r="AN72"/>
      <c r="AO72"/>
    </row>
    <row r="73" spans="1:41" s="6" customFormat="1" x14ac:dyDescent="0.25">
      <c r="A73"/>
      <c r="B73"/>
      <c r="C73"/>
      <c r="D73"/>
      <c r="E73"/>
      <c r="F73"/>
      <c r="H73" s="11"/>
      <c r="I73" s="11">
        <f>Tabla391523314191929495969798991929394959[[#This Row],[COMISIONES]]*0.21</f>
        <v>0</v>
      </c>
      <c r="J73" s="11"/>
      <c r="K73" s="11"/>
      <c r="L73" s="11"/>
      <c r="N73" s="18"/>
      <c r="O73" s="11">
        <f>Tabla351018263641424445464748441424344454[[#This Row],[COMISIONES]]*0.21</f>
        <v>0</v>
      </c>
      <c r="P73" s="18"/>
      <c r="Q73" s="18"/>
      <c r="R73" s="18"/>
      <c r="T73" s="11"/>
      <c r="U73" s="19">
        <f>Tabla612202833421020305060708090102030405060[[#This Row],[COMISIONES]]*0.21</f>
        <v>0</v>
      </c>
      <c r="V73"/>
      <c r="W73">
        <v>83.79</v>
      </c>
      <c r="X73"/>
      <c r="Z73" s="3"/>
      <c r="AA73" s="21">
        <f>Tabla35681321293971727475767778771727374757[[#This Row],[COMISIONES]]*0.21</f>
        <v>0</v>
      </c>
      <c r="AB73" s="1"/>
      <c r="AC73" s="1"/>
      <c r="AD73"/>
      <c r="AF73"/>
      <c r="AG73"/>
      <c r="AH73"/>
      <c r="AI73"/>
      <c r="AJ73"/>
      <c r="AK73"/>
      <c r="AL73"/>
      <c r="AM73"/>
      <c r="AN73"/>
      <c r="AO73"/>
    </row>
    <row r="74" spans="1:41" s="6" customFormat="1" x14ac:dyDescent="0.25">
      <c r="A74"/>
      <c r="B74"/>
      <c r="C74"/>
      <c r="D74"/>
      <c r="E74"/>
      <c r="F74"/>
      <c r="H74" s="11"/>
      <c r="I74" s="11">
        <f>Tabla391523314191929495969798991929394959[[#This Row],[COMISIONES]]*0.21</f>
        <v>0</v>
      </c>
      <c r="J74" s="11"/>
      <c r="K74" s="11"/>
      <c r="L74" s="11"/>
      <c r="N74" s="18"/>
      <c r="O74" s="11">
        <f>Tabla351018263641424445464748441424344454[[#This Row],[COMISIONES]]*0.21</f>
        <v>0</v>
      </c>
      <c r="P74" s="18"/>
      <c r="Q74" s="18"/>
      <c r="R74" s="18"/>
      <c r="T74" s="11"/>
      <c r="U74" s="19">
        <f>Tabla612202833421020305060708090102030405060[[#This Row],[COMISIONES]]*0.21</f>
        <v>0</v>
      </c>
      <c r="V74"/>
      <c r="W74">
        <v>7.54</v>
      </c>
      <c r="X74"/>
      <c r="Z74" s="3"/>
      <c r="AA74" s="21">
        <f>Tabla35681321293971727475767778771727374757[[#This Row],[COMISIONES]]*0.21</f>
        <v>0</v>
      </c>
      <c r="AB74" s="19"/>
      <c r="AC74"/>
      <c r="AD74"/>
      <c r="AF74"/>
      <c r="AG74"/>
      <c r="AH74"/>
      <c r="AI74"/>
      <c r="AJ74"/>
      <c r="AK74"/>
      <c r="AL74"/>
      <c r="AM74"/>
      <c r="AN74"/>
      <c r="AO74"/>
    </row>
    <row r="75" spans="1:41" s="6" customFormat="1" x14ac:dyDescent="0.25">
      <c r="A75"/>
      <c r="B75"/>
      <c r="C75"/>
      <c r="D75"/>
      <c r="E75"/>
      <c r="F75"/>
      <c r="H75" s="11"/>
      <c r="I75" s="11">
        <f>Tabla391523314191929495969798991929394959[[#This Row],[COMISIONES]]*0.21</f>
        <v>0</v>
      </c>
      <c r="J75" s="11"/>
      <c r="K75" s="11"/>
      <c r="L75" s="11"/>
      <c r="N75" s="18"/>
      <c r="O75" s="11">
        <f>Tabla351018263641424445464748441424344454[[#This Row],[COMISIONES]]*0.21</f>
        <v>0</v>
      </c>
      <c r="P75" s="18"/>
      <c r="Q75" s="18"/>
      <c r="R75" s="18"/>
      <c r="T75" s="11"/>
      <c r="U75" s="19">
        <f>Tabla612202833421020305060708090102030405060[[#This Row],[COMISIONES]]*0.21</f>
        <v>0</v>
      </c>
      <c r="V75"/>
      <c r="W75">
        <v>36.75</v>
      </c>
      <c r="X75"/>
      <c r="Z75" s="3"/>
      <c r="AA75" s="11"/>
      <c r="AB75" s="1"/>
      <c r="AC75" s="21"/>
      <c r="AD75"/>
      <c r="AF75"/>
      <c r="AG75"/>
      <c r="AH75"/>
      <c r="AI75"/>
      <c r="AJ75"/>
      <c r="AK75"/>
      <c r="AL75"/>
      <c r="AM75"/>
      <c r="AN75"/>
      <c r="AO75"/>
    </row>
    <row r="76" spans="1:41" s="6" customFormat="1" x14ac:dyDescent="0.25">
      <c r="A76"/>
      <c r="B76"/>
      <c r="C76"/>
      <c r="D76"/>
      <c r="E76"/>
      <c r="F76"/>
      <c r="H76" s="11"/>
      <c r="I76" s="11">
        <f>Tabla391523314191929495969798991929394959[[#This Row],[COMISIONES]]*0.21</f>
        <v>0</v>
      </c>
      <c r="J76" s="11"/>
      <c r="K76" s="11"/>
      <c r="L76" s="11"/>
      <c r="N76" s="18"/>
      <c r="O76" s="11">
        <f>Tabla351018263641424445464748441424344454[[#This Row],[COMISIONES]]*0.21</f>
        <v>0</v>
      </c>
      <c r="P76" s="18"/>
      <c r="Q76" s="18"/>
      <c r="R76" s="18"/>
      <c r="T76"/>
      <c r="U76" s="19">
        <f>Tabla612202833421020305060708090102030405060[[#This Row],[COMISIONES]]*0.21</f>
        <v>0</v>
      </c>
      <c r="V76"/>
      <c r="W76">
        <v>36.75</v>
      </c>
      <c r="X76"/>
      <c r="Z76" s="3"/>
      <c r="AA76" s="21">
        <f>Tabla35681321293971727475767778771727374757[[#This Row],[COMISIONES]]*0.21</f>
        <v>0</v>
      </c>
      <c r="AB76" s="1"/>
      <c r="AC76" s="21"/>
      <c r="AD76"/>
      <c r="AF76"/>
      <c r="AG76"/>
      <c r="AH76"/>
      <c r="AI76"/>
      <c r="AJ76"/>
      <c r="AK76"/>
      <c r="AL76"/>
      <c r="AM76"/>
      <c r="AN76"/>
      <c r="AO76"/>
    </row>
    <row r="77" spans="1:41" s="6" customFormat="1" x14ac:dyDescent="0.25">
      <c r="A77"/>
      <c r="B77"/>
      <c r="C77"/>
      <c r="D77"/>
      <c r="E77"/>
      <c r="F77"/>
      <c r="H77" s="11"/>
      <c r="I77" s="11">
        <f>Tabla391523314191929495969798991929394959[[#This Row],[COMISIONES]]*0.21</f>
        <v>0</v>
      </c>
      <c r="J77" s="11"/>
      <c r="K77" s="11"/>
      <c r="L77" s="11"/>
      <c r="N77" s="18"/>
      <c r="O77" s="11">
        <f>Tabla351018263641424445464748441424344454[[#This Row],[COMISIONES]]*0.21</f>
        <v>0</v>
      </c>
      <c r="P77" s="18"/>
      <c r="Q77" s="18"/>
      <c r="R77" s="18"/>
      <c r="T77"/>
      <c r="U77" s="19">
        <f>Tabla612202833421020305060708090102030405060[[#This Row],[COMISIONES]]*0.21</f>
        <v>0</v>
      </c>
      <c r="V77"/>
      <c r="W77">
        <v>129.97999999999999</v>
      </c>
      <c r="X77"/>
      <c r="Z77" s="3"/>
      <c r="AA77" s="21">
        <f>Tabla35681321293971727475767778771727374757[[#This Row],[COMISIONES]]*0.21</f>
        <v>0</v>
      </c>
      <c r="AB77" s="1"/>
      <c r="AC77" s="21"/>
      <c r="AD77"/>
      <c r="AF77"/>
      <c r="AG77"/>
      <c r="AH77"/>
      <c r="AI77"/>
      <c r="AJ77"/>
      <c r="AK77"/>
      <c r="AL77"/>
      <c r="AM77"/>
      <c r="AN77"/>
      <c r="AO77"/>
    </row>
    <row r="78" spans="1:41" s="6" customFormat="1" x14ac:dyDescent="0.25">
      <c r="A78"/>
      <c r="B78"/>
      <c r="C78"/>
      <c r="D78"/>
      <c r="E78"/>
      <c r="F78"/>
      <c r="H78" s="11"/>
      <c r="I78" s="11">
        <f>Tabla391523314191929495969798991929394959[[#This Row],[COMISIONES]]*0.21</f>
        <v>0</v>
      </c>
      <c r="J78" s="11"/>
      <c r="K78" s="11"/>
      <c r="L78" s="11"/>
      <c r="N78" s="18"/>
      <c r="O78" s="11">
        <f>Tabla351018263641424445464748441424344454[[#This Row],[COMISIONES]]*0.21</f>
        <v>0</v>
      </c>
      <c r="P78" s="18"/>
      <c r="Q78" s="18"/>
      <c r="R78" s="18"/>
      <c r="T78"/>
      <c r="U78" s="19">
        <f>Tabla612202833421020305060708090102030405060[[#This Row],[COMISIONES]]*0.21</f>
        <v>0</v>
      </c>
      <c r="V78"/>
      <c r="W78">
        <v>38.5</v>
      </c>
      <c r="X78"/>
      <c r="Z78" s="3"/>
      <c r="AA78" s="21">
        <f>Tabla35681321293971727475767778771727374757[[#This Row],[COMISIONES]]*0.21</f>
        <v>0</v>
      </c>
      <c r="AB78" s="1"/>
      <c r="AC78" s="21"/>
      <c r="AD78"/>
      <c r="AF78"/>
      <c r="AG78"/>
      <c r="AH78"/>
      <c r="AI78"/>
      <c r="AJ78"/>
      <c r="AK78"/>
      <c r="AL78"/>
      <c r="AM78"/>
      <c r="AN78"/>
      <c r="AO78"/>
    </row>
    <row r="79" spans="1:41" s="6" customFormat="1" x14ac:dyDescent="0.25">
      <c r="A79"/>
      <c r="B79"/>
      <c r="C79"/>
      <c r="D79"/>
      <c r="E79"/>
      <c r="F79"/>
      <c r="H79" s="11"/>
      <c r="I79" s="11">
        <f>Tabla391523314191929495969798991929394959[[#This Row],[COMISIONES]]*0.21</f>
        <v>0</v>
      </c>
      <c r="J79" s="11"/>
      <c r="K79" s="11"/>
      <c r="L79" s="11"/>
      <c r="N79" s="18"/>
      <c r="O79" s="11">
        <f>Tabla351018263641424445464748441424344454[[#This Row],[COMISIONES]]*0.21</f>
        <v>0</v>
      </c>
      <c r="P79" s="18"/>
      <c r="Q79" s="18"/>
      <c r="R79" s="18"/>
      <c r="T79"/>
      <c r="U79" s="19">
        <f>Tabla612202833421020305060708090102030405060[[#This Row],[COMISIONES]]*0.21</f>
        <v>0</v>
      </c>
      <c r="V79"/>
      <c r="W79">
        <v>36.270000000000003</v>
      </c>
      <c r="X79"/>
      <c r="Z79" s="3"/>
      <c r="AA79" s="21">
        <f>Tabla35681321293971727475767778771727374757[[#This Row],[COMISIONES]]*0.21</f>
        <v>0</v>
      </c>
      <c r="AB79" s="11"/>
      <c r="AC79" s="21"/>
      <c r="AD79"/>
      <c r="AF79"/>
      <c r="AG79"/>
      <c r="AH79"/>
      <c r="AI79"/>
      <c r="AJ79"/>
      <c r="AK79"/>
      <c r="AL79"/>
      <c r="AM79"/>
      <c r="AN79"/>
      <c r="AO79"/>
    </row>
    <row r="80" spans="1:41" s="6" customFormat="1" x14ac:dyDescent="0.25">
      <c r="A80"/>
      <c r="B80"/>
      <c r="C80"/>
      <c r="D80"/>
      <c r="E80"/>
      <c r="F80"/>
      <c r="H80" s="11"/>
      <c r="I80" s="11">
        <f>Tabla391523314191929495969798991929394959[[#This Row],[COMISIONES]]*0.21</f>
        <v>0</v>
      </c>
      <c r="J80" s="11"/>
      <c r="K80" s="11"/>
      <c r="L80" s="11"/>
      <c r="N80" s="18"/>
      <c r="O80" s="11">
        <f>Tabla351018263641424445464748441424344454[[#This Row],[COMISIONES]]*0.21</f>
        <v>0</v>
      </c>
      <c r="P80" s="18"/>
      <c r="Q80" s="18"/>
      <c r="R80" s="18"/>
      <c r="T80"/>
      <c r="U80" s="19">
        <f>Tabla612202833421020305060708090102030405060[[#This Row],[COMISIONES]]*0.21</f>
        <v>0</v>
      </c>
      <c r="V80"/>
      <c r="W80">
        <v>84</v>
      </c>
      <c r="X80"/>
      <c r="Z80" s="3"/>
      <c r="AA80" s="21">
        <f>Tabla35681321293971727475767778771727374757[[#This Row],[COMISIONES]]*0.21</f>
        <v>0</v>
      </c>
      <c r="AB80" s="21"/>
      <c r="AC80" s="21"/>
      <c r="AD80"/>
      <c r="AF80"/>
      <c r="AG80"/>
      <c r="AH80"/>
      <c r="AI80"/>
      <c r="AJ80"/>
      <c r="AK80"/>
      <c r="AL80"/>
      <c r="AM80"/>
      <c r="AN80"/>
      <c r="AO80"/>
    </row>
    <row r="81" spans="1:41" s="6" customFormat="1" x14ac:dyDescent="0.25">
      <c r="A81"/>
      <c r="B81"/>
      <c r="C81"/>
      <c r="D81"/>
      <c r="E81"/>
      <c r="F81"/>
      <c r="H81" s="18"/>
      <c r="I81" s="18">
        <f>Tabla391523314191929495969798991929394959[[#This Row],[COMISIONES]]*0.21</f>
        <v>0</v>
      </c>
      <c r="J81" s="18"/>
      <c r="K81" s="18"/>
      <c r="L81" s="18"/>
      <c r="N81" s="18"/>
      <c r="O81" s="11">
        <f>Tabla351018263641424445464748441424344454[[#This Row],[COMISIONES]]*0.21</f>
        <v>0</v>
      </c>
      <c r="P81" s="18"/>
      <c r="Q81" s="18"/>
      <c r="R81" s="18"/>
      <c r="T81"/>
      <c r="U81" s="19">
        <f>Tabla612202833421020305060708090102030405060[[#This Row],[COMISIONES]]*0.21</f>
        <v>0</v>
      </c>
      <c r="V81"/>
      <c r="W81">
        <v>37.42</v>
      </c>
      <c r="X81"/>
      <c r="Z81" s="3"/>
      <c r="AA81" s="21">
        <f>Tabla35681321293971727475767778771727374757[[#This Row],[COMISIONES]]*0.21</f>
        <v>0</v>
      </c>
      <c r="AB81" s="21"/>
      <c r="AC81" s="21"/>
      <c r="AD81"/>
      <c r="AF81"/>
      <c r="AG81"/>
      <c r="AH81"/>
      <c r="AI81"/>
      <c r="AJ81"/>
      <c r="AK81"/>
      <c r="AL81"/>
      <c r="AM81"/>
      <c r="AN81"/>
      <c r="AO81"/>
    </row>
    <row r="82" spans="1:41" s="6" customFormat="1" x14ac:dyDescent="0.25">
      <c r="A82"/>
      <c r="B82"/>
      <c r="C82"/>
      <c r="D82"/>
      <c r="E82"/>
      <c r="F82"/>
      <c r="H82" s="18"/>
      <c r="I82" s="18">
        <f>Tabla391523314191929495969798991929394959[[#This Row],[COMISIONES]]*0.21</f>
        <v>0</v>
      </c>
      <c r="J82" s="18"/>
      <c r="K82" s="18"/>
      <c r="L82" s="18"/>
      <c r="N82" s="18"/>
      <c r="O82" s="11">
        <f>Tabla351018263641424445464748441424344454[[#This Row],[COMISIONES]]*0.21</f>
        <v>0</v>
      </c>
      <c r="P82" s="18"/>
      <c r="Q82" s="18"/>
      <c r="R82" s="18"/>
      <c r="T82"/>
      <c r="U82" s="19">
        <f>Tabla612202833421020305060708090102030405060[[#This Row],[COMISIONES]]*0.21</f>
        <v>0</v>
      </c>
      <c r="V82"/>
      <c r="W82">
        <v>73.760000000000005</v>
      </c>
      <c r="X82"/>
      <c r="Z82" s="3"/>
      <c r="AA82" s="21">
        <f>Tabla35681321293971727475767778771727374757[[#This Row],[COMISIONES]]*0.21</f>
        <v>0</v>
      </c>
      <c r="AB82" s="1"/>
      <c r="AC82" s="1"/>
      <c r="AD82"/>
      <c r="AF82"/>
      <c r="AG82"/>
      <c r="AH82"/>
      <c r="AI82"/>
      <c r="AJ82"/>
      <c r="AK82"/>
      <c r="AL82"/>
      <c r="AM82"/>
      <c r="AN82"/>
      <c r="AO82"/>
    </row>
    <row r="83" spans="1:41" s="6" customFormat="1" x14ac:dyDescent="0.25">
      <c r="A83"/>
      <c r="B83"/>
      <c r="C83"/>
      <c r="D83"/>
      <c r="E83"/>
      <c r="F83"/>
      <c r="H83" s="18"/>
      <c r="I83" s="18">
        <f>Tabla391523314191929495969798991929394959[[#This Row],[COMISIONES]]*0.21</f>
        <v>0</v>
      </c>
      <c r="J83" s="18"/>
      <c r="K83" s="18"/>
      <c r="L83" s="18"/>
      <c r="N83" s="18"/>
      <c r="O83" s="11">
        <f>Tabla351018263641424445464748441424344454[[#This Row],[COMISIONES]]*0.21</f>
        <v>0</v>
      </c>
      <c r="P83" s="18"/>
      <c r="Q83" s="18"/>
      <c r="R83" s="18"/>
      <c r="T83"/>
      <c r="U83" s="19">
        <f>Tabla612202833421020305060708090102030405060[[#This Row],[COMISIONES]]*0.21</f>
        <v>0</v>
      </c>
      <c r="V83"/>
      <c r="W83">
        <v>19.93</v>
      </c>
      <c r="X83"/>
      <c r="Z83" s="3"/>
      <c r="AA83" s="21">
        <f>Tabla35681321293971727475767778771727374757[[#This Row],[COMISIONES]]*0.21</f>
        <v>0</v>
      </c>
      <c r="AB83" s="21"/>
      <c r="AC83" s="21"/>
      <c r="AD83"/>
      <c r="AF83"/>
      <c r="AG83"/>
      <c r="AH83"/>
      <c r="AI83"/>
      <c r="AJ83"/>
      <c r="AK83"/>
      <c r="AL83"/>
      <c r="AM83"/>
      <c r="AN83"/>
      <c r="AO83"/>
    </row>
    <row r="84" spans="1:41" s="6" customFormat="1" x14ac:dyDescent="0.25">
      <c r="A84"/>
      <c r="B84"/>
      <c r="C84"/>
      <c r="D84"/>
      <c r="E84"/>
      <c r="F84"/>
      <c r="H84" s="18"/>
      <c r="I84" s="18">
        <f>Tabla391523314191929495969798991929394959[[#This Row],[COMISIONES]]*0.21</f>
        <v>0</v>
      </c>
      <c r="J84" s="18"/>
      <c r="K84" s="18"/>
      <c r="L84" s="18"/>
      <c r="N84" s="18"/>
      <c r="O84" s="11">
        <f>Tabla351018263641424445464748441424344454[[#This Row],[COMISIONES]]*0.21</f>
        <v>0</v>
      </c>
      <c r="P84" s="18"/>
      <c r="Q84" s="18"/>
      <c r="R84" s="18"/>
      <c r="T84"/>
      <c r="U84" s="19">
        <f>Tabla612202833421020305060708090102030405060[[#This Row],[COMISIONES]]*0.21</f>
        <v>0</v>
      </c>
      <c r="V84"/>
      <c r="W84">
        <v>150.19999999999999</v>
      </c>
      <c r="X84"/>
      <c r="Z84" s="3"/>
      <c r="AA84" s="21">
        <f>Tabla35681321293971727475767778771727374757[[#This Row],[COMISIONES]]*0.21</f>
        <v>0</v>
      </c>
      <c r="AB84" s="21"/>
      <c r="AC84" s="1"/>
      <c r="AD84"/>
      <c r="AF84"/>
      <c r="AG84"/>
      <c r="AH84"/>
      <c r="AI84"/>
      <c r="AJ84"/>
      <c r="AK84"/>
      <c r="AL84"/>
      <c r="AM84"/>
      <c r="AN84"/>
      <c r="AO84"/>
    </row>
    <row r="85" spans="1:41" s="6" customFormat="1" x14ac:dyDescent="0.25">
      <c r="A85"/>
      <c r="B85"/>
      <c r="C85"/>
      <c r="D85"/>
      <c r="E85"/>
      <c r="F85"/>
      <c r="H85" s="18"/>
      <c r="I85" s="18">
        <f>Tabla391523314191929495969798991929394959[[#This Row],[COMISIONES]]*0.21</f>
        <v>0</v>
      </c>
      <c r="J85" s="18"/>
      <c r="K85" s="18"/>
      <c r="L85" s="18"/>
      <c r="N85" s="18"/>
      <c r="O85" s="11">
        <f>Tabla351018263641424445464748441424344454[[#This Row],[COMISIONES]]*0.21</f>
        <v>0</v>
      </c>
      <c r="P85" s="18"/>
      <c r="Q85" s="18"/>
      <c r="R85" s="18"/>
      <c r="T85"/>
      <c r="U85" s="19">
        <f>Tabla612202833421020305060708090102030405060[[#This Row],[COMISIONES]]*0.21</f>
        <v>0</v>
      </c>
      <c r="V85"/>
      <c r="W85">
        <v>117.08</v>
      </c>
      <c r="X85"/>
      <c r="Z85" s="3"/>
      <c r="AA85" s="21">
        <f>Tabla35681321293971727475767778771727374757[[#This Row],[COMISIONES]]*0.21</f>
        <v>0</v>
      </c>
      <c r="AB85" s="1"/>
      <c r="AC85" s="1"/>
      <c r="AD85"/>
      <c r="AF85"/>
      <c r="AG85"/>
      <c r="AH85"/>
      <c r="AI85"/>
      <c r="AJ85"/>
      <c r="AK85"/>
      <c r="AL85"/>
      <c r="AM85"/>
      <c r="AN85"/>
      <c r="AO85"/>
    </row>
    <row r="86" spans="1:41" s="6" customFormat="1" x14ac:dyDescent="0.25">
      <c r="A86"/>
      <c r="B86"/>
      <c r="C86"/>
      <c r="D86"/>
      <c r="E86"/>
      <c r="F86"/>
      <c r="H86" s="18"/>
      <c r="I86" s="18">
        <f>Tabla391523314191929495969798991929394959[[#This Row],[COMISIONES]]*0.21</f>
        <v>0</v>
      </c>
      <c r="J86" s="18"/>
      <c r="K86" s="18"/>
      <c r="L86" s="18"/>
      <c r="N86" s="18"/>
      <c r="O86" s="11">
        <f>Tabla351018263641424445464748441424344454[[#This Row],[COMISIONES]]*0.21</f>
        <v>0</v>
      </c>
      <c r="P86" s="18"/>
      <c r="Q86" s="18"/>
      <c r="R86" s="18"/>
      <c r="T86"/>
      <c r="U86" s="19">
        <f>Tabla612202833421020305060708090102030405060[[#This Row],[COMISIONES]]*0.21</f>
        <v>0</v>
      </c>
      <c r="V86"/>
      <c r="W86">
        <v>173.97</v>
      </c>
      <c r="X86"/>
      <c r="Z86" s="3"/>
      <c r="AA86" s="21">
        <f>Tabla35681321293971727475767778771727374757[[#This Row],[COMISIONES]]*0.21</f>
        <v>0</v>
      </c>
      <c r="AB86" s="21"/>
      <c r="AC86" s="1"/>
      <c r="AD86"/>
      <c r="AF86"/>
      <c r="AG86"/>
      <c r="AH86"/>
      <c r="AI86"/>
      <c r="AJ86"/>
      <c r="AK86"/>
      <c r="AL86"/>
      <c r="AM86"/>
      <c r="AN86"/>
      <c r="AO86"/>
    </row>
    <row r="87" spans="1:41" s="6" customFormat="1" x14ac:dyDescent="0.25">
      <c r="A87"/>
      <c r="B87"/>
      <c r="C87"/>
      <c r="D87"/>
      <c r="E87"/>
      <c r="F87"/>
      <c r="H87" s="18"/>
      <c r="I87" s="18">
        <f>Tabla391523314191929495969798991929394959[[#This Row],[COMISIONES]]*0.21</f>
        <v>0</v>
      </c>
      <c r="J87" s="18"/>
      <c r="K87" s="18"/>
      <c r="L87" s="18"/>
      <c r="N87" s="18"/>
      <c r="O87" s="11">
        <f>Tabla351018263641424445464748441424344454[[#This Row],[COMISIONES]]*0.21</f>
        <v>0</v>
      </c>
      <c r="P87" s="18"/>
      <c r="Q87" s="18"/>
      <c r="R87" s="18"/>
      <c r="T87"/>
      <c r="U87" s="19">
        <f>Tabla612202833421020305060708090102030405060[[#This Row],[COMISIONES]]*0.21</f>
        <v>0</v>
      </c>
      <c r="V87"/>
      <c r="W87">
        <v>88.11</v>
      </c>
      <c r="X87"/>
      <c r="Z87" s="3"/>
      <c r="AA87" s="21">
        <f>Tabla35681321293971727475767778771727374757[[#This Row],[COMISIONES]]*0.21</f>
        <v>0</v>
      </c>
      <c r="AB87" s="1"/>
      <c r="AC87" s="1"/>
      <c r="AD87" s="21"/>
      <c r="AF87"/>
      <c r="AG87"/>
      <c r="AH87"/>
      <c r="AI87"/>
      <c r="AJ87"/>
      <c r="AK87"/>
      <c r="AL87"/>
      <c r="AM87"/>
      <c r="AN87"/>
      <c r="AO87"/>
    </row>
    <row r="88" spans="1:41" s="6" customFormat="1" x14ac:dyDescent="0.25">
      <c r="A88"/>
      <c r="B88"/>
      <c r="C88"/>
      <c r="D88"/>
      <c r="E88"/>
      <c r="F88"/>
      <c r="H88" s="18"/>
      <c r="I88" s="18">
        <f>Tabla391523314191929495969798991929394959[[#This Row],[COMISIONES]]*0.21</f>
        <v>0</v>
      </c>
      <c r="J88" s="18"/>
      <c r="K88" s="18"/>
      <c r="L88" s="18"/>
      <c r="N88" s="18"/>
      <c r="O88" s="11">
        <f>Tabla351018263641424445464748441424344454[[#This Row],[COMISIONES]]*0.21</f>
        <v>0</v>
      </c>
      <c r="P88" s="18"/>
      <c r="Q88" s="18"/>
      <c r="R88" s="18"/>
      <c r="T88"/>
      <c r="U88" s="19">
        <f>Tabla612202833421020305060708090102030405060[[#This Row],[COMISIONES]]*0.21</f>
        <v>0</v>
      </c>
      <c r="V88"/>
      <c r="W88">
        <v>30.73</v>
      </c>
      <c r="X88"/>
      <c r="Z88" s="3"/>
      <c r="AA88" s="21">
        <f>Tabla35681321293971727475767778771727374757[[#This Row],[COMISIONES]]*0.21</f>
        <v>0</v>
      </c>
      <c r="AB88" s="21"/>
      <c r="AC88" s="21"/>
      <c r="AD88"/>
      <c r="AF88"/>
      <c r="AG88"/>
      <c r="AH88"/>
      <c r="AI88"/>
      <c r="AJ88"/>
      <c r="AK88"/>
      <c r="AL88"/>
      <c r="AM88"/>
      <c r="AN88"/>
      <c r="AO88"/>
    </row>
    <row r="89" spans="1:41" s="6" customFormat="1" x14ac:dyDescent="0.25">
      <c r="A89"/>
      <c r="B89"/>
      <c r="C89"/>
      <c r="D89"/>
      <c r="E89"/>
      <c r="F89"/>
      <c r="H89" s="18"/>
      <c r="I89" s="18">
        <f>Tabla391523314191929495969798991929394959[[#This Row],[COMISIONES]]*0.21</f>
        <v>0</v>
      </c>
      <c r="J89" s="18"/>
      <c r="K89" s="18"/>
      <c r="L89" s="18"/>
      <c r="N89" s="18"/>
      <c r="O89" s="11">
        <f>Tabla351018263641424445464748441424344454[[#This Row],[COMISIONES]]*0.21</f>
        <v>0</v>
      </c>
      <c r="P89" s="18"/>
      <c r="Q89" s="18"/>
      <c r="R89" s="18"/>
      <c r="T89"/>
      <c r="U89" s="19">
        <f>Tabla612202833421020305060708090102030405060[[#This Row],[COMISIONES]]*0.21</f>
        <v>0</v>
      </c>
      <c r="V89"/>
      <c r="W89">
        <v>97.5</v>
      </c>
      <c r="X89"/>
      <c r="Z89" s="3"/>
      <c r="AA89" s="21">
        <f>Tabla35681321293971727475767778771727374757[[#This Row],[COMISIONES]]*0.21</f>
        <v>0</v>
      </c>
      <c r="AB89" s="19"/>
      <c r="AC89"/>
      <c r="AD89"/>
      <c r="AF89"/>
      <c r="AG89"/>
      <c r="AH89"/>
      <c r="AI89"/>
      <c r="AJ89"/>
      <c r="AK89"/>
      <c r="AL89"/>
      <c r="AM89"/>
      <c r="AN89"/>
      <c r="AO89"/>
    </row>
    <row r="90" spans="1:41" s="6" customFormat="1" x14ac:dyDescent="0.25">
      <c r="A90"/>
      <c r="B90"/>
      <c r="C90"/>
      <c r="D90"/>
      <c r="E90"/>
      <c r="F90"/>
      <c r="H90" s="18"/>
      <c r="I90" s="18">
        <f>Tabla391523314191929495969798991929394959[[#This Row],[COMISIONES]]*0.21</f>
        <v>0</v>
      </c>
      <c r="J90" s="18"/>
      <c r="K90" s="18"/>
      <c r="L90" s="18"/>
      <c r="N90" s="18"/>
      <c r="O90" s="11">
        <f>Tabla351018263641424445464748441424344454[[#This Row],[COMISIONES]]*0.21</f>
        <v>0</v>
      </c>
      <c r="P90" s="18"/>
      <c r="Q90" s="18"/>
      <c r="R90" s="18"/>
      <c r="T90"/>
      <c r="U90" s="19">
        <f>Tabla612202833421020305060708090102030405060[[#This Row],[COMISIONES]]*0.21</f>
        <v>0</v>
      </c>
      <c r="V90"/>
      <c r="W90">
        <v>518.25</v>
      </c>
      <c r="X90"/>
      <c r="Z90" s="3"/>
      <c r="AA90" s="21">
        <f>Tabla35681321293971727475767778771727374757[[#This Row],[COMISIONES]]*0.21</f>
        <v>0</v>
      </c>
      <c r="AB90" s="21"/>
      <c r="AC90" s="21"/>
      <c r="AD90"/>
      <c r="AF90"/>
      <c r="AG90"/>
      <c r="AH90"/>
      <c r="AI90"/>
      <c r="AJ90"/>
      <c r="AK90"/>
      <c r="AL90"/>
      <c r="AM90"/>
      <c r="AN90"/>
      <c r="AO90"/>
    </row>
    <row r="91" spans="1:41" s="6" customFormat="1" x14ac:dyDescent="0.25">
      <c r="A91"/>
      <c r="B91"/>
      <c r="C91"/>
      <c r="D91"/>
      <c r="E91"/>
      <c r="F91"/>
      <c r="H91" s="18"/>
      <c r="I91" s="18">
        <f>Tabla391523314191929495969798991929394959[[#This Row],[COMISIONES]]*0.21</f>
        <v>0</v>
      </c>
      <c r="J91" s="18"/>
      <c r="K91" s="18"/>
      <c r="L91" s="18"/>
      <c r="N91" s="18"/>
      <c r="O91" s="11">
        <f>Tabla351018263641424445464748441424344454[[#This Row],[COMISIONES]]*0.21</f>
        <v>0</v>
      </c>
      <c r="P91" s="18"/>
      <c r="Q91" s="18"/>
      <c r="R91" s="18"/>
      <c r="T91"/>
      <c r="U91" s="19">
        <f>Tabla612202833421020305060708090102030405060[[#This Row],[COMISIONES]]*0.21</f>
        <v>0</v>
      </c>
      <c r="V91"/>
      <c r="W91">
        <v>265.73</v>
      </c>
      <c r="X91"/>
      <c r="Z91" s="3"/>
      <c r="AA91" s="21"/>
      <c r="AB91" s="21">
        <f>Tabla35681321293971727475767778771727374757[[#This Row],[COMISIONES]]*0.105</f>
        <v>0</v>
      </c>
      <c r="AC91" s="1"/>
      <c r="AD91"/>
      <c r="AF91"/>
      <c r="AG91"/>
      <c r="AH91"/>
      <c r="AI91"/>
      <c r="AJ91"/>
      <c r="AK91"/>
      <c r="AL91"/>
      <c r="AM91"/>
      <c r="AN91"/>
      <c r="AO91"/>
    </row>
    <row r="92" spans="1:41" s="6" customFormat="1" x14ac:dyDescent="0.25">
      <c r="A92"/>
      <c r="B92"/>
      <c r="C92"/>
      <c r="D92"/>
      <c r="E92"/>
      <c r="F92"/>
      <c r="H92" s="18"/>
      <c r="I92" s="18">
        <f>Tabla391523314191929495969798991929394959[[#This Row],[COMISIONES]]*0.21</f>
        <v>0</v>
      </c>
      <c r="J92" s="18"/>
      <c r="K92" s="18"/>
      <c r="L92" s="18"/>
      <c r="N92" s="18"/>
      <c r="O92" s="11">
        <f>Tabla351018263641424445464748441424344454[[#This Row],[COMISIONES]]*0.21</f>
        <v>0</v>
      </c>
      <c r="P92" s="18"/>
      <c r="Q92" s="18"/>
      <c r="R92" s="18"/>
      <c r="T92"/>
      <c r="U92" s="19">
        <f>Tabla612202833421020305060708090102030405060[[#This Row],[COMISIONES]]*0.21</f>
        <v>0</v>
      </c>
      <c r="V92"/>
      <c r="W92">
        <v>357.55</v>
      </c>
      <c r="X92"/>
      <c r="Z92" s="3"/>
      <c r="AA92" s="21">
        <f>Tabla35681321293971727475767778771727374757[[#This Row],[COMISIONES]]*0.21</f>
        <v>0</v>
      </c>
      <c r="AB92" s="1"/>
      <c r="AC92" s="21"/>
      <c r="AD92" s="21"/>
      <c r="AF92"/>
      <c r="AG92"/>
      <c r="AH92"/>
      <c r="AI92"/>
      <c r="AJ92"/>
      <c r="AK92"/>
      <c r="AL92"/>
      <c r="AM92"/>
      <c r="AN92"/>
      <c r="AO92"/>
    </row>
    <row r="93" spans="1:41" s="6" customFormat="1" x14ac:dyDescent="0.25">
      <c r="A93"/>
      <c r="B93"/>
      <c r="C93"/>
      <c r="D93"/>
      <c r="E93"/>
      <c r="F93"/>
      <c r="H93" s="21"/>
      <c r="I93" s="21">
        <f>Tabla391523314191929495969798991929394959[[#This Row],[COMISIONES]]*0.21</f>
        <v>0</v>
      </c>
      <c r="J93" s="21"/>
      <c r="K93" s="21"/>
      <c r="L93" s="21"/>
      <c r="N93" s="18"/>
      <c r="O93" s="11">
        <f>Tabla351018263641424445464748441424344454[[#This Row],[COMISIONES]]*0.21</f>
        <v>0</v>
      </c>
      <c r="P93" s="18"/>
      <c r="Q93" s="18"/>
      <c r="R93" s="18"/>
      <c r="T93"/>
      <c r="U93" s="19">
        <f>Tabla612202833421020305060708090102030405060[[#This Row],[COMISIONES]]*0.21</f>
        <v>0</v>
      </c>
      <c r="V93"/>
      <c r="W93">
        <v>120.33</v>
      </c>
      <c r="X93"/>
      <c r="Z93" s="3"/>
      <c r="AA93" s="21">
        <f>Tabla35681321293971727475767778771727374757[[#This Row],[COMISIONES]]*0.21</f>
        <v>0</v>
      </c>
      <c r="AB93" s="21"/>
      <c r="AC93" s="21"/>
      <c r="AD93" s="21"/>
      <c r="AF93"/>
      <c r="AG93"/>
      <c r="AH93"/>
      <c r="AI93"/>
      <c r="AJ93"/>
      <c r="AK93"/>
      <c r="AL93"/>
      <c r="AM93"/>
      <c r="AN93"/>
      <c r="AO93"/>
    </row>
    <row r="94" spans="1:41" s="6" customFormat="1" x14ac:dyDescent="0.25">
      <c r="A94"/>
      <c r="B94"/>
      <c r="C94"/>
      <c r="D94"/>
      <c r="E94"/>
      <c r="F94"/>
      <c r="H94" s="21"/>
      <c r="I94" s="21">
        <f>Tabla391523314191929495969798991929394959[[#This Row],[COMISIONES]]*0.21</f>
        <v>0</v>
      </c>
      <c r="J94" s="21"/>
      <c r="K94" s="21"/>
      <c r="L94" s="21"/>
      <c r="N94" s="18"/>
      <c r="O94" s="11">
        <f>Tabla351018263641424445464748441424344454[[#This Row],[COMISIONES]]*0.21</f>
        <v>0</v>
      </c>
      <c r="P94" s="18"/>
      <c r="Q94" s="18"/>
      <c r="R94" s="18"/>
      <c r="T94"/>
      <c r="U94" s="19">
        <f>Tabla612202833421020305060708090102030405060[[#This Row],[COMISIONES]]*0.21</f>
        <v>0</v>
      </c>
      <c r="V94"/>
      <c r="W94">
        <v>122.62</v>
      </c>
      <c r="X94"/>
      <c r="Z94" s="3"/>
      <c r="AA94" s="21">
        <f>Tabla35681321293971727475767778771727374757[[#This Row],[COMISIONES]]*0.21</f>
        <v>0</v>
      </c>
      <c r="AB94" s="21"/>
      <c r="AC94" s="21"/>
      <c r="AD94" s="21"/>
      <c r="AF94"/>
      <c r="AG94"/>
      <c r="AH94"/>
      <c r="AI94"/>
      <c r="AJ94"/>
      <c r="AK94"/>
      <c r="AL94"/>
      <c r="AM94"/>
      <c r="AN94"/>
      <c r="AO94"/>
    </row>
    <row r="95" spans="1:41" s="6" customFormat="1" x14ac:dyDescent="0.25">
      <c r="A95"/>
      <c r="B95"/>
      <c r="C95"/>
      <c r="D95"/>
      <c r="E95"/>
      <c r="F95"/>
      <c r="H95" s="21"/>
      <c r="I95" s="21">
        <f>Tabla391523314191929495969798991929394959[[#This Row],[COMISIONES]]*0.21</f>
        <v>0</v>
      </c>
      <c r="J95" s="21"/>
      <c r="K95" s="21"/>
      <c r="L95" s="21"/>
      <c r="N95" s="18"/>
      <c r="O95" s="11">
        <f>Tabla351018263641424445464748441424344454[[#This Row],[COMISIONES]]*0.21</f>
        <v>0</v>
      </c>
      <c r="P95" s="18"/>
      <c r="Q95" s="18"/>
      <c r="R95" s="18"/>
      <c r="T95"/>
      <c r="U95" s="19">
        <f>Tabla612202833421020305060708090102030405060[[#This Row],[COMISIONES]]*0.21</f>
        <v>0</v>
      </c>
      <c r="V95"/>
      <c r="W95">
        <v>200.23</v>
      </c>
      <c r="X95"/>
      <c r="Z95" s="3"/>
      <c r="AA95" s="21"/>
      <c r="AB95" s="21"/>
      <c r="AC95" s="21"/>
      <c r="AD95" s="21"/>
      <c r="AF95"/>
      <c r="AG95"/>
      <c r="AH95"/>
      <c r="AI95"/>
      <c r="AJ95"/>
      <c r="AK95"/>
      <c r="AL95"/>
      <c r="AM95"/>
      <c r="AN95"/>
      <c r="AO95"/>
    </row>
    <row r="96" spans="1:41" s="6" customFormat="1" x14ac:dyDescent="0.25">
      <c r="A96"/>
      <c r="B96"/>
      <c r="C96"/>
      <c r="D96"/>
      <c r="E96"/>
      <c r="F96"/>
      <c r="H96" s="21"/>
      <c r="I96" s="21">
        <f>Tabla391523314191929495969798991929394959[[#This Row],[COMISIONES]]*0.21</f>
        <v>0</v>
      </c>
      <c r="J96" s="21"/>
      <c r="K96" s="21"/>
      <c r="L96" s="21"/>
      <c r="N96" s="18"/>
      <c r="O96" s="11">
        <f>Tabla351018263641424445464748441424344454[[#This Row],[COMISIONES]]*0.21</f>
        <v>0</v>
      </c>
      <c r="P96" s="18"/>
      <c r="Q96" s="18"/>
      <c r="R96" s="18"/>
      <c r="T96"/>
      <c r="U96" s="19">
        <f>Tabla612202833421020305060708090102030405060[[#This Row],[COMISIONES]]*0.21</f>
        <v>0</v>
      </c>
      <c r="V96"/>
      <c r="W96">
        <v>86.22</v>
      </c>
      <c r="X96"/>
      <c r="Z96" s="3"/>
      <c r="AA96" s="21">
        <f>Tabla35681321293971727475767778771727374757[[#This Row],[COMISIONES]]*0.21</f>
        <v>0</v>
      </c>
      <c r="AB96" s="1"/>
      <c r="AC96" s="1"/>
      <c r="AD96"/>
      <c r="AF96"/>
      <c r="AG96"/>
      <c r="AH96"/>
      <c r="AI96"/>
      <c r="AJ96"/>
      <c r="AK96"/>
      <c r="AL96"/>
      <c r="AM96"/>
      <c r="AN96"/>
      <c r="AO96"/>
    </row>
    <row r="97" spans="1:41" s="6" customFormat="1" x14ac:dyDescent="0.25">
      <c r="A97"/>
      <c r="B97"/>
      <c r="C97"/>
      <c r="D97"/>
      <c r="E97"/>
      <c r="F97"/>
      <c r="H97" s="21"/>
      <c r="I97" s="21">
        <f>Tabla391523314191929495969798991929394959[[#This Row],[COMISIONES]]*0.21</f>
        <v>0</v>
      </c>
      <c r="J97" s="21"/>
      <c r="K97" s="21"/>
      <c r="L97" s="21"/>
      <c r="N97" s="18"/>
      <c r="O97" s="11">
        <f>Tabla351018263641424445464748441424344454[[#This Row],[COMISIONES]]*0.21</f>
        <v>0</v>
      </c>
      <c r="P97" s="18"/>
      <c r="Q97" s="18"/>
      <c r="R97" s="18"/>
      <c r="T97"/>
      <c r="U97" s="19">
        <f>Tabla612202833421020305060708090102030405060[[#This Row],[COMISIONES]]*0.21</f>
        <v>0</v>
      </c>
      <c r="V97"/>
      <c r="W97">
        <v>19.690000000000001</v>
      </c>
      <c r="X97"/>
      <c r="Z97" s="3"/>
      <c r="AA97" s="21">
        <f>Tabla35681321293971727475767778771727374757[[#This Row],[COMISIONES]]*0.21</f>
        <v>0</v>
      </c>
      <c r="AB97" s="1"/>
      <c r="AC97" s="1"/>
      <c r="AD97"/>
      <c r="AF97"/>
      <c r="AG97"/>
      <c r="AH97"/>
      <c r="AI97"/>
      <c r="AJ97"/>
      <c r="AK97"/>
      <c r="AL97"/>
      <c r="AM97"/>
      <c r="AN97"/>
      <c r="AO97"/>
    </row>
    <row r="98" spans="1:41" s="6" customFormat="1" x14ac:dyDescent="0.25">
      <c r="A98"/>
      <c r="B98"/>
      <c r="C98"/>
      <c r="D98"/>
      <c r="E98"/>
      <c r="F98"/>
      <c r="H98" s="21"/>
      <c r="I98" s="21">
        <f>Tabla391523314191929495969798991929394959[[#This Row],[COMISIONES]]*0.21</f>
        <v>0</v>
      </c>
      <c r="J98" s="21"/>
      <c r="K98" s="21"/>
      <c r="L98" s="21"/>
      <c r="N98" s="18"/>
      <c r="O98" s="11">
        <f>Tabla351018263641424445464748441424344454[[#This Row],[COMISIONES]]*0.21</f>
        <v>0</v>
      </c>
      <c r="P98" s="18"/>
      <c r="Q98" s="18"/>
      <c r="R98" s="18"/>
      <c r="T98"/>
      <c r="U98" s="19">
        <f>Tabla612202833421020305060708090102030405060[[#This Row],[COMISIONES]]*0.21</f>
        <v>0</v>
      </c>
      <c r="V98"/>
      <c r="W98">
        <v>198</v>
      </c>
      <c r="X98"/>
      <c r="Z98" s="3"/>
      <c r="AA98" s="21">
        <f>Tabla35681321293971727475767778771727374757[[#This Row],[COMISIONES]]*0.21</f>
        <v>0</v>
      </c>
      <c r="AB98" s="21">
        <f>Tabla35681321293971727475767778771727374757[[#This Row],[COMISIONES]]*0.105</f>
        <v>0</v>
      </c>
      <c r="AC98" s="21"/>
      <c r="AD98"/>
      <c r="AF98"/>
      <c r="AG98"/>
      <c r="AH98"/>
      <c r="AI98"/>
      <c r="AJ98"/>
      <c r="AK98"/>
      <c r="AL98"/>
      <c r="AM98"/>
      <c r="AN98"/>
      <c r="AO98"/>
    </row>
    <row r="99" spans="1:41" s="6" customFormat="1" x14ac:dyDescent="0.25">
      <c r="A99"/>
      <c r="B99"/>
      <c r="C99"/>
      <c r="D99"/>
      <c r="E99"/>
      <c r="F99"/>
      <c r="H99" s="21"/>
      <c r="I99" s="21">
        <f>Tabla391523314191929495969798991929394959[[#This Row],[COMISIONES]]*0.21</f>
        <v>0</v>
      </c>
      <c r="J99" s="21"/>
      <c r="K99" s="21"/>
      <c r="L99" s="21"/>
      <c r="N99" s="18"/>
      <c r="O99" s="11">
        <f>Tabla351018263641424445464748441424344454[[#This Row],[COMISIONES]]*0.21</f>
        <v>0</v>
      </c>
      <c r="P99" s="18"/>
      <c r="Q99" s="18"/>
      <c r="R99" s="18"/>
      <c r="T99"/>
      <c r="U99" s="19">
        <f>Tabla612202833421020305060708090102030405060[[#This Row],[COMISIONES]]*0.21</f>
        <v>0</v>
      </c>
      <c r="V99"/>
      <c r="W99">
        <v>104.08</v>
      </c>
      <c r="X99"/>
      <c r="Z99" s="3"/>
      <c r="AA99" s="21">
        <f>Tabla35681321293971727475767778771727374757[[#This Row],[COMISIONES]]*0.21</f>
        <v>0</v>
      </c>
      <c r="AB99" s="21">
        <f>Tabla35681321293971727475767778771727374757[[#This Row],[COMISIONES]]*0.105</f>
        <v>0</v>
      </c>
      <c r="AC99" s="21"/>
      <c r="AD99"/>
      <c r="AF99"/>
      <c r="AG99"/>
      <c r="AH99"/>
      <c r="AI99"/>
      <c r="AJ99"/>
      <c r="AK99"/>
      <c r="AL99"/>
      <c r="AM99"/>
      <c r="AN99"/>
      <c r="AO99"/>
    </row>
    <row r="100" spans="1:41" s="6" customFormat="1" x14ac:dyDescent="0.25">
      <c r="A100"/>
      <c r="B100"/>
      <c r="C100"/>
      <c r="D100"/>
      <c r="E100"/>
      <c r="F100"/>
      <c r="H100" s="21"/>
      <c r="I100" s="21">
        <f>Tabla391523314191929495969798991929394959[[#This Row],[COMISIONES]]*0.21</f>
        <v>0</v>
      </c>
      <c r="J100" s="21"/>
      <c r="K100" s="21"/>
      <c r="L100" s="21"/>
      <c r="N100" s="18"/>
      <c r="O100" s="11">
        <f>Tabla351018263641424445464748441424344454[[#This Row],[COMISIONES]]*0.21</f>
        <v>0</v>
      </c>
      <c r="P100" s="18"/>
      <c r="Q100" s="18"/>
      <c r="R100" s="18"/>
      <c r="T100"/>
      <c r="U100" s="19">
        <f>Tabla612202833421020305060708090102030405060[[#This Row],[COMISIONES]]*0.21</f>
        <v>0</v>
      </c>
      <c r="V100"/>
      <c r="W100">
        <v>100.57</v>
      </c>
      <c r="X100"/>
      <c r="Z100" s="3"/>
      <c r="AA100" s="21">
        <f>Tabla35681321293971727475767778771727374757[[#This Row],[COMISIONES]]*0.21</f>
        <v>0</v>
      </c>
      <c r="AB100" s="21">
        <f>Tabla35681321293971727475767778771727374757[[#This Row],[COMISIONES]]*0.105</f>
        <v>0</v>
      </c>
      <c r="AC100" s="21"/>
      <c r="AD100"/>
      <c r="AF100"/>
      <c r="AG100"/>
      <c r="AH100"/>
      <c r="AI100"/>
      <c r="AJ100"/>
      <c r="AK100"/>
      <c r="AL100"/>
      <c r="AM100"/>
      <c r="AN100"/>
      <c r="AO100"/>
    </row>
    <row r="101" spans="1:41" s="6" customFormat="1" x14ac:dyDescent="0.25">
      <c r="A101"/>
      <c r="B101"/>
      <c r="C101"/>
      <c r="D101"/>
      <c r="E101"/>
      <c r="F101"/>
      <c r="H101" s="21"/>
      <c r="I101" s="21">
        <f>Tabla391523314191929495969798991929394959[[#This Row],[COMISIONES]]*0.21</f>
        <v>0</v>
      </c>
      <c r="J101" s="21"/>
      <c r="K101" s="21"/>
      <c r="L101" s="21"/>
      <c r="N101" s="18"/>
      <c r="O101" s="11">
        <f>Tabla351018263641424445464748441424344454[[#This Row],[COMISIONES]]*0.21</f>
        <v>0</v>
      </c>
      <c r="P101" s="18"/>
      <c r="Q101" s="18"/>
      <c r="R101" s="18"/>
      <c r="T101"/>
      <c r="U101" s="19">
        <f>Tabla612202833421020305060708090102030405060[[#This Row],[COMISIONES]]*0.21</f>
        <v>0</v>
      </c>
      <c r="V101"/>
      <c r="W101">
        <v>139.88</v>
      </c>
      <c r="X101"/>
      <c r="Z101" s="3"/>
      <c r="AA101" s="21">
        <f>Tabla35681321293971727475767778771727374757[[#This Row],[COMISIONES]]*0.21</f>
        <v>0</v>
      </c>
      <c r="AB101" s="21">
        <f>Tabla35681321293971727475767778771727374757[[#This Row],[COMISIONES]]*0.105</f>
        <v>0</v>
      </c>
      <c r="AC101" s="21"/>
      <c r="AD101" s="21"/>
      <c r="AF101"/>
      <c r="AG101"/>
      <c r="AH101"/>
      <c r="AI101"/>
      <c r="AJ101"/>
      <c r="AK101"/>
      <c r="AL101"/>
      <c r="AM101"/>
      <c r="AN101"/>
      <c r="AO101"/>
    </row>
    <row r="102" spans="1:41" s="6" customFormat="1" x14ac:dyDescent="0.25">
      <c r="A102"/>
      <c r="B102"/>
      <c r="C102"/>
      <c r="D102"/>
      <c r="E102"/>
      <c r="F102"/>
      <c r="H102" s="20">
        <f>SUBTOTAL(109,Tabla391523314191929495969798991929394959[COMISIONES])</f>
        <v>0</v>
      </c>
      <c r="I102" s="20">
        <f>SUBTOTAL(109,Tabla391523314191929495969798991929394959[IVA 21])</f>
        <v>0</v>
      </c>
      <c r="J102" s="20">
        <f>SUBTOTAL(109,Tabla391523314191929495969798991929394959[IVA 10,5])</f>
        <v>0</v>
      </c>
      <c r="K102" s="20">
        <f>SUBTOTAL(109,Tabla391523314191929495969798991929394959[Ret IIBB Caba])</f>
        <v>0</v>
      </c>
      <c r="L102" s="20">
        <f>SUBTOTAL(109,Tabla391523314191929495969798991929394959[PERC IVA])</f>
        <v>0</v>
      </c>
      <c r="N102" s="18"/>
      <c r="O102" s="11">
        <f>Tabla351018263641424445464748441424344454[[#This Row],[COMISIONES]]*0.21</f>
        <v>0</v>
      </c>
      <c r="P102" s="18"/>
      <c r="Q102" s="18"/>
      <c r="R102" s="18"/>
      <c r="T102"/>
      <c r="U102" s="19">
        <f>Tabla612202833421020305060708090102030405060[[#This Row],[COMISIONES]]*0.21</f>
        <v>0</v>
      </c>
      <c r="V102"/>
      <c r="W102">
        <v>70.39</v>
      </c>
      <c r="X102"/>
      <c r="Z102" s="3"/>
      <c r="AA102" s="21">
        <f>Tabla35681321293971727475767778771727374757[[#This Row],[COMISIONES]]*0.21</f>
        <v>0</v>
      </c>
      <c r="AB102" s="21">
        <f>Tabla35681321293971727475767778771727374757[[#This Row],[COMISIONES]]*0.105</f>
        <v>0</v>
      </c>
      <c r="AC102" s="11"/>
      <c r="AD102" s="21"/>
      <c r="AF102"/>
      <c r="AG102"/>
      <c r="AH102"/>
      <c r="AI102"/>
      <c r="AJ102"/>
      <c r="AK102"/>
      <c r="AL102"/>
      <c r="AM102"/>
      <c r="AN102"/>
      <c r="AO102"/>
    </row>
    <row r="103" spans="1:41" s="6" customFormat="1" x14ac:dyDescent="0.25">
      <c r="A103"/>
      <c r="B103"/>
      <c r="C103"/>
      <c r="D103"/>
      <c r="E103"/>
      <c r="F103"/>
      <c r="H103"/>
      <c r="I103"/>
      <c r="J103"/>
      <c r="K103"/>
      <c r="L103"/>
      <c r="N103" s="18"/>
      <c r="O103" s="11">
        <f>Tabla351018263641424445464748441424344454[[#This Row],[COMISIONES]]*0.21</f>
        <v>0</v>
      </c>
      <c r="P103" s="18"/>
      <c r="Q103" s="18"/>
      <c r="R103" s="18"/>
      <c r="T103"/>
      <c r="U103" s="19">
        <f>Tabla612202833421020305060708090102030405060[[#This Row],[COMISIONES]]*0.21</f>
        <v>0</v>
      </c>
      <c r="V103"/>
      <c r="W103">
        <v>33.979999999999997</v>
      </c>
      <c r="X103"/>
      <c r="Z103" s="3"/>
      <c r="AA103" s="21">
        <f>Tabla35681321293971727475767778771727374757[[#This Row],[COMISIONES]]*0.21</f>
        <v>0</v>
      </c>
      <c r="AB103" s="21">
        <f>Tabla35681321293971727475767778771727374757[[#This Row],[COMISIONES]]*0.105</f>
        <v>0</v>
      </c>
      <c r="AC103" s="21"/>
      <c r="AD103" s="21"/>
      <c r="AF103"/>
      <c r="AG103"/>
      <c r="AH103"/>
      <c r="AI103"/>
      <c r="AJ103"/>
      <c r="AK103"/>
      <c r="AL103"/>
      <c r="AM103"/>
      <c r="AN103"/>
      <c r="AO103"/>
    </row>
    <row r="104" spans="1:41" s="6" customFormat="1" x14ac:dyDescent="0.25">
      <c r="A104"/>
      <c r="B104"/>
      <c r="C104"/>
      <c r="D104"/>
      <c r="E104"/>
      <c r="F104"/>
      <c r="H104"/>
      <c r="I104"/>
      <c r="J104"/>
      <c r="K104"/>
      <c r="L104"/>
      <c r="N104" s="18"/>
      <c r="O104" s="11">
        <f>Tabla351018263641424445464748441424344454[[#This Row],[COMISIONES]]*0.21</f>
        <v>0</v>
      </c>
      <c r="P104" s="18"/>
      <c r="Q104" s="18"/>
      <c r="R104" s="18"/>
      <c r="T104"/>
      <c r="U104" s="19">
        <f>Tabla612202833421020305060708090102030405060[[#This Row],[COMISIONES]]*0.21</f>
        <v>0</v>
      </c>
      <c r="V104"/>
      <c r="W104">
        <v>124.11</v>
      </c>
      <c r="X104"/>
      <c r="Z104" s="3"/>
      <c r="AA104" s="21">
        <f>Tabla35681321293971727475767778771727374757[[#This Row],[COMISIONES]]*0.21</f>
        <v>0</v>
      </c>
      <c r="AB104" s="21">
        <f>Tabla35681321293971727475767778771727374757[[#This Row],[COMISIONES]]*0.105</f>
        <v>0</v>
      </c>
      <c r="AC104" s="1"/>
      <c r="AD104" s="21"/>
      <c r="AF104"/>
      <c r="AG104"/>
      <c r="AH104"/>
      <c r="AI104"/>
      <c r="AJ104"/>
      <c r="AK104"/>
      <c r="AL104"/>
      <c r="AM104"/>
      <c r="AN104"/>
      <c r="AO104"/>
    </row>
    <row r="105" spans="1:41" s="6" customFormat="1" x14ac:dyDescent="0.25">
      <c r="A105"/>
      <c r="B105"/>
      <c r="C105"/>
      <c r="D105"/>
      <c r="E105"/>
      <c r="F105"/>
      <c r="H105"/>
      <c r="I105"/>
      <c r="J105"/>
      <c r="K105"/>
      <c r="L105"/>
      <c r="N105" s="18"/>
      <c r="O105" s="11">
        <f>Tabla351018263641424445464748441424344454[[#This Row],[COMISIONES]]*0.21</f>
        <v>0</v>
      </c>
      <c r="P105" s="18"/>
      <c r="Q105" s="18"/>
      <c r="R105" s="18"/>
      <c r="T105"/>
      <c r="U105" s="19">
        <f>Tabla612202833421020305060708090102030405060[[#This Row],[COMISIONES]]*0.21</f>
        <v>0</v>
      </c>
      <c r="V105"/>
      <c r="W105">
        <v>99.29</v>
      </c>
      <c r="X105"/>
      <c r="Z105" s="3"/>
      <c r="AA105" s="21">
        <f>Tabla35681321293971727475767778771727374757[[#This Row],[COMISIONES]]*0.21</f>
        <v>0</v>
      </c>
      <c r="AB105" s="21">
        <f>Tabla35681321293971727475767778771727374757[[#This Row],[COMISIONES]]*0.105</f>
        <v>0</v>
      </c>
      <c r="AC105" s="1"/>
      <c r="AD105"/>
      <c r="AF105"/>
      <c r="AG105"/>
      <c r="AH105"/>
      <c r="AI105"/>
      <c r="AJ105"/>
      <c r="AK105"/>
      <c r="AL105"/>
      <c r="AM105"/>
      <c r="AN105"/>
      <c r="AO105"/>
    </row>
    <row r="106" spans="1:41" s="6" customFormat="1" x14ac:dyDescent="0.25">
      <c r="A106"/>
      <c r="B106"/>
      <c r="C106"/>
      <c r="D106"/>
      <c r="E106"/>
      <c r="F106"/>
      <c r="H106"/>
      <c r="I106"/>
      <c r="J106"/>
      <c r="K106"/>
      <c r="L106"/>
      <c r="N106" s="18"/>
      <c r="O106" s="11">
        <f>Tabla351018263641424445464748441424344454[[#This Row],[COMISIONES]]*0.21</f>
        <v>0</v>
      </c>
      <c r="P106" s="18"/>
      <c r="Q106" s="18"/>
      <c r="R106" s="18"/>
      <c r="T106"/>
      <c r="U106" s="19">
        <f>Tabla612202833421020305060708090102030405060[[#This Row],[COMISIONES]]*0.21</f>
        <v>0</v>
      </c>
      <c r="V106"/>
      <c r="W106">
        <v>141.83000000000001</v>
      </c>
      <c r="X106"/>
      <c r="Z106" s="3"/>
      <c r="AA106" s="21">
        <f>Tabla35681321293971727475767778771727374757[[#This Row],[COMISIONES]]*0.21</f>
        <v>0</v>
      </c>
      <c r="AB106" s="21">
        <f>Tabla35681321293971727475767778771727374757[[#This Row],[COMISIONES]]*0.105</f>
        <v>0</v>
      </c>
      <c r="AC106" s="1"/>
      <c r="AD106" s="21"/>
      <c r="AF106"/>
      <c r="AG106"/>
      <c r="AH106"/>
      <c r="AI106"/>
      <c r="AJ106"/>
      <c r="AK106"/>
      <c r="AL106"/>
      <c r="AM106"/>
      <c r="AN106"/>
      <c r="AO106"/>
    </row>
    <row r="107" spans="1:41" s="6" customFormat="1" x14ac:dyDescent="0.25">
      <c r="A107"/>
      <c r="B107"/>
      <c r="C107"/>
      <c r="D107"/>
      <c r="E107"/>
      <c r="F107"/>
      <c r="H107"/>
      <c r="I107"/>
      <c r="J107"/>
      <c r="K107"/>
      <c r="L107"/>
      <c r="N107" s="18"/>
      <c r="O107" s="11">
        <f>Tabla351018263641424445464748441424344454[[#This Row],[COMISIONES]]*0.21</f>
        <v>0</v>
      </c>
      <c r="P107" s="18"/>
      <c r="Q107" s="18"/>
      <c r="R107" s="18"/>
      <c r="T107"/>
      <c r="U107" s="19">
        <f>Tabla612202833421020305060708090102030405060[[#This Row],[COMISIONES]]*0.21</f>
        <v>0</v>
      </c>
      <c r="V107"/>
      <c r="W107">
        <v>78.84</v>
      </c>
      <c r="X107"/>
      <c r="Z107" s="3"/>
      <c r="AA107" s="21">
        <f>Tabla35681321293971727475767778771727374757[[#This Row],[COMISIONES]]*0.21</f>
        <v>0</v>
      </c>
      <c r="AB107" s="21">
        <f>Tabla35681321293971727475767778771727374757[[#This Row],[COMISIONES]]*0.105</f>
        <v>0</v>
      </c>
      <c r="AC107" s="1"/>
      <c r="AD107"/>
      <c r="AF107"/>
      <c r="AG107"/>
      <c r="AH107"/>
      <c r="AI107"/>
      <c r="AJ107"/>
      <c r="AK107"/>
      <c r="AL107"/>
      <c r="AM107"/>
      <c r="AN107"/>
      <c r="AO107"/>
    </row>
    <row r="108" spans="1:41" s="6" customFormat="1" x14ac:dyDescent="0.25">
      <c r="A108"/>
      <c r="B108"/>
      <c r="C108"/>
      <c r="D108"/>
      <c r="E108"/>
      <c r="F108"/>
      <c r="H108"/>
      <c r="I108"/>
      <c r="J108"/>
      <c r="K108"/>
      <c r="L108"/>
      <c r="N108" s="18"/>
      <c r="O108" s="11">
        <f>Tabla351018263641424445464748441424344454[[#This Row],[COMISIONES]]*0.21</f>
        <v>0</v>
      </c>
      <c r="P108" s="18"/>
      <c r="Q108" s="18"/>
      <c r="R108" s="18"/>
      <c r="T108"/>
      <c r="U108" s="19">
        <f>Tabla612202833421020305060708090102030405060[[#This Row],[COMISIONES]]*0.21</f>
        <v>0</v>
      </c>
      <c r="V108"/>
      <c r="W108">
        <v>14.5</v>
      </c>
      <c r="X108"/>
      <c r="Z108" s="3"/>
      <c r="AA108" s="21">
        <f>Tabla35681321293971727475767778771727374757[[#This Row],[COMISIONES]]*0.21</f>
        <v>0</v>
      </c>
      <c r="AB108" s="21">
        <f>Tabla35681321293971727475767778771727374757[[#This Row],[COMISIONES]]*0.105</f>
        <v>0</v>
      </c>
      <c r="AC108" s="1"/>
      <c r="AD108"/>
      <c r="AF108"/>
      <c r="AG108"/>
      <c r="AH108"/>
      <c r="AI108"/>
      <c r="AJ108"/>
      <c r="AK108"/>
      <c r="AL108"/>
      <c r="AM108"/>
      <c r="AN108"/>
      <c r="AO108"/>
    </row>
    <row r="109" spans="1:41" s="6" customFormat="1" x14ac:dyDescent="0.25">
      <c r="A109"/>
      <c r="B109"/>
      <c r="C109"/>
      <c r="D109"/>
      <c r="E109"/>
      <c r="F109"/>
      <c r="H109"/>
      <c r="I109"/>
      <c r="J109"/>
      <c r="K109"/>
      <c r="L109"/>
      <c r="N109" s="18"/>
      <c r="O109" s="11">
        <f>Tabla351018263641424445464748441424344454[[#This Row],[COMISIONES]]*0.21</f>
        <v>0</v>
      </c>
      <c r="P109" s="18"/>
      <c r="Q109" s="18"/>
      <c r="R109" s="18"/>
      <c r="T109"/>
      <c r="U109" s="19">
        <f>Tabla612202833421020305060708090102030405060[[#This Row],[COMISIONES]]*0.21</f>
        <v>0</v>
      </c>
      <c r="V109"/>
      <c r="W109">
        <v>408.1</v>
      </c>
      <c r="X109"/>
      <c r="Z109" s="3"/>
      <c r="AA109" s="21">
        <f>Tabla35681321293971727475767778771727374757[[#This Row],[COMISIONES]]*0.21</f>
        <v>0</v>
      </c>
      <c r="AB109" s="21">
        <f>Tabla35681321293971727475767778771727374757[[#This Row],[COMISIONES]]*0.105</f>
        <v>0</v>
      </c>
      <c r="AC109" s="1"/>
      <c r="AD109"/>
      <c r="AF109"/>
      <c r="AG109"/>
      <c r="AH109"/>
      <c r="AI109"/>
      <c r="AJ109"/>
      <c r="AK109"/>
      <c r="AL109"/>
      <c r="AM109"/>
      <c r="AN109"/>
      <c r="AO109"/>
    </row>
    <row r="110" spans="1:41" s="6" customFormat="1" x14ac:dyDescent="0.25">
      <c r="A110"/>
      <c r="B110"/>
      <c r="C110"/>
      <c r="D110"/>
      <c r="E110"/>
      <c r="F110"/>
      <c r="H110"/>
      <c r="I110"/>
      <c r="J110"/>
      <c r="K110"/>
      <c r="L110"/>
      <c r="N110" s="18"/>
      <c r="O110" s="11">
        <f>Tabla351018263641424445464748441424344454[[#This Row],[COMISIONES]]*0.21</f>
        <v>0</v>
      </c>
      <c r="P110" s="18"/>
      <c r="Q110" s="18"/>
      <c r="R110" s="18"/>
      <c r="T110"/>
      <c r="U110" s="19">
        <f>Tabla612202833421020305060708090102030405060[[#This Row],[COMISIONES]]*0.21</f>
        <v>0</v>
      </c>
      <c r="V110"/>
      <c r="W110">
        <v>69.67</v>
      </c>
      <c r="X110"/>
      <c r="Z110" s="3"/>
      <c r="AA110" s="21">
        <f>Tabla35681321293971727475767778771727374757[[#This Row],[COMISIONES]]*0.21</f>
        <v>0</v>
      </c>
      <c r="AB110" s="21">
        <f>Tabla35681321293971727475767778771727374757[[#This Row],[COMISIONES]]*0.105</f>
        <v>0</v>
      </c>
      <c r="AC110" s="1"/>
      <c r="AD110" s="21"/>
      <c r="AF110"/>
      <c r="AG110"/>
      <c r="AH110"/>
      <c r="AI110"/>
      <c r="AJ110"/>
      <c r="AK110"/>
      <c r="AL110"/>
      <c r="AM110"/>
      <c r="AN110"/>
      <c r="AO110"/>
    </row>
    <row r="111" spans="1:41" s="6" customFormat="1" x14ac:dyDescent="0.25">
      <c r="A111"/>
      <c r="B111"/>
      <c r="C111"/>
      <c r="D111"/>
      <c r="E111"/>
      <c r="F111"/>
      <c r="H111"/>
      <c r="I111"/>
      <c r="J111"/>
      <c r="K111"/>
      <c r="L111"/>
      <c r="N111" s="18"/>
      <c r="O111" s="11">
        <f>Tabla351018263641424445464748441424344454[[#This Row],[COMISIONES]]*0.21</f>
        <v>0</v>
      </c>
      <c r="P111" s="18"/>
      <c r="Q111" s="18"/>
      <c r="R111" s="18"/>
      <c r="T111"/>
      <c r="U111" s="19">
        <f>Tabla612202833421020305060708090102030405060[[#This Row],[COMISIONES]]*0.21</f>
        <v>0</v>
      </c>
      <c r="V111"/>
      <c r="W111">
        <v>424.42</v>
      </c>
      <c r="X111"/>
      <c r="Z111" s="3"/>
      <c r="AA111" s="21">
        <f>Tabla35681321293971727475767778771727374757[[#This Row],[COMISIONES]]*0.21</f>
        <v>0</v>
      </c>
      <c r="AB111" s="21">
        <f>Tabla35681321293971727475767778771727374757[[#This Row],[COMISIONES]]*0.105</f>
        <v>0</v>
      </c>
      <c r="AC111" s="1"/>
      <c r="AD111" s="21"/>
      <c r="AF111"/>
      <c r="AG111"/>
      <c r="AH111"/>
      <c r="AI111"/>
      <c r="AJ111"/>
      <c r="AK111"/>
      <c r="AL111"/>
      <c r="AM111"/>
      <c r="AN111"/>
      <c r="AO111"/>
    </row>
    <row r="112" spans="1:41" s="6" customFormat="1" x14ac:dyDescent="0.25">
      <c r="A112"/>
      <c r="B112"/>
      <c r="C112"/>
      <c r="D112"/>
      <c r="E112"/>
      <c r="F112"/>
      <c r="H112"/>
      <c r="I112"/>
      <c r="J112"/>
      <c r="K112"/>
      <c r="L112"/>
      <c r="N112" s="18"/>
      <c r="O112" s="11">
        <f>Tabla351018263641424445464748441424344454[[#This Row],[COMISIONES]]*0.21</f>
        <v>0</v>
      </c>
      <c r="P112" s="18"/>
      <c r="Q112" s="18"/>
      <c r="R112" s="18"/>
      <c r="T112"/>
      <c r="U112" s="19">
        <f>Tabla612202833421020305060708090102030405060[[#This Row],[COMISIONES]]*0.21</f>
        <v>0</v>
      </c>
      <c r="V112"/>
      <c r="W112">
        <v>208.11</v>
      </c>
      <c r="X112"/>
      <c r="Z112" s="3"/>
      <c r="AA112" s="21">
        <f>Tabla35681321293971727475767778771727374757[[#This Row],[COMISIONES]]*0.21</f>
        <v>0</v>
      </c>
      <c r="AB112" s="21">
        <f>Tabla35681321293971727475767778771727374757[[#This Row],[COMISIONES]]*0.105</f>
        <v>0</v>
      </c>
      <c r="AC112" s="21"/>
      <c r="AD112" s="21"/>
      <c r="AF112"/>
      <c r="AG112"/>
      <c r="AH112"/>
      <c r="AI112"/>
      <c r="AJ112"/>
      <c r="AK112"/>
      <c r="AL112"/>
      <c r="AM112"/>
      <c r="AN112"/>
      <c r="AO112"/>
    </row>
    <row r="113" spans="1:41" s="6" customFormat="1" x14ac:dyDescent="0.25">
      <c r="A113"/>
      <c r="B113"/>
      <c r="C113"/>
      <c r="D113"/>
      <c r="E113"/>
      <c r="F113"/>
      <c r="H113"/>
      <c r="I113"/>
      <c r="J113"/>
      <c r="K113"/>
      <c r="L113"/>
      <c r="N113" s="18"/>
      <c r="O113" s="11">
        <f>Tabla351018263641424445464748441424344454[[#This Row],[COMISIONES]]*0.21</f>
        <v>0</v>
      </c>
      <c r="P113" s="18"/>
      <c r="Q113" s="18"/>
      <c r="R113" s="18"/>
      <c r="T113"/>
      <c r="U113" s="19">
        <f>Tabla612202833421020305060708090102030405060[[#This Row],[COMISIONES]]*0.21</f>
        <v>0</v>
      </c>
      <c r="V113"/>
      <c r="W113">
        <v>190.62</v>
      </c>
      <c r="X113"/>
      <c r="Z113" s="3"/>
      <c r="AA113" s="21">
        <f>Tabla35681321293971727475767778771727374757[[#This Row],[COMISIONES]]*0.21</f>
        <v>0</v>
      </c>
      <c r="AB113" s="21">
        <f>Tabla35681321293971727475767778771727374757[[#This Row],[COMISIONES]]*0.105</f>
        <v>0</v>
      </c>
      <c r="AC113" s="21"/>
      <c r="AD113" s="21"/>
      <c r="AF113"/>
      <c r="AG113"/>
      <c r="AH113"/>
      <c r="AI113"/>
      <c r="AJ113"/>
      <c r="AK113"/>
      <c r="AL113"/>
      <c r="AM113"/>
      <c r="AN113"/>
      <c r="AO113"/>
    </row>
    <row r="114" spans="1:41" s="6" customFormat="1" x14ac:dyDescent="0.25">
      <c r="A114"/>
      <c r="B114"/>
      <c r="C114"/>
      <c r="D114"/>
      <c r="E114"/>
      <c r="F114"/>
      <c r="H114"/>
      <c r="I114"/>
      <c r="J114"/>
      <c r="K114"/>
      <c r="L114"/>
      <c r="N114" s="18"/>
      <c r="O114" s="11">
        <f>Tabla351018263641424445464748441424344454[[#This Row],[COMISIONES]]*0.21</f>
        <v>0</v>
      </c>
      <c r="P114" s="18"/>
      <c r="Q114" s="18"/>
      <c r="R114" s="18"/>
      <c r="T114"/>
      <c r="U114" s="19">
        <f>Tabla612202833421020305060708090102030405060[[#This Row],[COMISIONES]]*0.21</f>
        <v>0</v>
      </c>
      <c r="V114"/>
      <c r="W114">
        <v>273.27999999999997</v>
      </c>
      <c r="X114"/>
      <c r="Z114" s="3"/>
      <c r="AA114" s="21">
        <f>Tabla35681321293971727475767778771727374757[[#This Row],[COMISIONES]]*0.21</f>
        <v>0</v>
      </c>
      <c r="AB114" s="21">
        <f>Tabla35681321293971727475767778771727374757[[#This Row],[COMISIONES]]*0.105</f>
        <v>0</v>
      </c>
      <c r="AC114" s="1"/>
      <c r="AD114" s="21"/>
      <c r="AF114"/>
      <c r="AG114"/>
      <c r="AH114"/>
      <c r="AI114"/>
      <c r="AJ114"/>
      <c r="AK114"/>
      <c r="AL114"/>
      <c r="AM114"/>
      <c r="AN114"/>
      <c r="AO114"/>
    </row>
    <row r="115" spans="1:41" s="6" customFormat="1" x14ac:dyDescent="0.25">
      <c r="A115"/>
      <c r="B115"/>
      <c r="C115"/>
      <c r="D115"/>
      <c r="E115"/>
      <c r="F115"/>
      <c r="H115"/>
      <c r="I115"/>
      <c r="J115"/>
      <c r="K115"/>
      <c r="L115"/>
      <c r="N115" s="18"/>
      <c r="O115" s="11">
        <f>Tabla351018263641424445464748441424344454[[#This Row],[COMISIONES]]*0.21</f>
        <v>0</v>
      </c>
      <c r="P115" s="18"/>
      <c r="Q115" s="18"/>
      <c r="R115" s="18"/>
      <c r="T115"/>
      <c r="U115" s="19">
        <f>Tabla612202833421020305060708090102030405060[[#This Row],[COMISIONES]]*0.21</f>
        <v>0</v>
      </c>
      <c r="V115"/>
      <c r="W115">
        <v>164.86</v>
      </c>
      <c r="X115"/>
      <c r="Z115" s="21"/>
      <c r="AA115" s="21">
        <f>Tabla35681321293971727475767778771727374757[[#This Row],[COMISIONES]]*0.21</f>
        <v>0</v>
      </c>
      <c r="AB115" s="21">
        <f>Tabla35681321293971727475767778771727374757[[#This Row],[COMISIONES]]*0.105</f>
        <v>0</v>
      </c>
      <c r="AC115" s="1"/>
      <c r="AD115" s="21"/>
      <c r="AF115"/>
      <c r="AG115"/>
      <c r="AH115"/>
      <c r="AI115"/>
      <c r="AJ115"/>
      <c r="AK115"/>
      <c r="AL115"/>
      <c r="AM115"/>
      <c r="AN115"/>
      <c r="AO115"/>
    </row>
    <row r="116" spans="1:41" s="6" customFormat="1" x14ac:dyDescent="0.25">
      <c r="A116"/>
      <c r="B116"/>
      <c r="C116"/>
      <c r="D116"/>
      <c r="E116"/>
      <c r="F116"/>
      <c r="H116"/>
      <c r="I116"/>
      <c r="J116"/>
      <c r="K116"/>
      <c r="L116"/>
      <c r="N116" s="18"/>
      <c r="O116" s="11">
        <f>Tabla351018263641424445464748441424344454[[#This Row],[COMISIONES]]*0.21</f>
        <v>0</v>
      </c>
      <c r="P116" s="18"/>
      <c r="Q116" s="18"/>
      <c r="R116" s="18"/>
      <c r="T116"/>
      <c r="U116" s="19">
        <f>Tabla612202833421020305060708090102030405060[[#This Row],[COMISIONES]]*0.21</f>
        <v>0</v>
      </c>
      <c r="V116"/>
      <c r="W116">
        <v>57.24</v>
      </c>
      <c r="X116"/>
      <c r="Z116" s="3"/>
      <c r="AA116" s="21">
        <f>Tabla35681321293971727475767778771727374757[[#This Row],[COMISIONES]]*0.21</f>
        <v>0</v>
      </c>
      <c r="AB116" s="21">
        <f>Tabla35681321293971727475767778771727374757[[#This Row],[COMISIONES]]*0.105</f>
        <v>0</v>
      </c>
      <c r="AC116" s="1"/>
      <c r="AD116" s="21"/>
      <c r="AF116"/>
      <c r="AG116"/>
      <c r="AH116"/>
      <c r="AI116"/>
      <c r="AJ116"/>
      <c r="AK116"/>
      <c r="AL116"/>
      <c r="AM116"/>
      <c r="AN116"/>
      <c r="AO116"/>
    </row>
    <row r="117" spans="1:41" s="6" customFormat="1" x14ac:dyDescent="0.25">
      <c r="A117"/>
      <c r="B117"/>
      <c r="C117"/>
      <c r="D117"/>
      <c r="E117"/>
      <c r="F117"/>
      <c r="H117"/>
      <c r="I117"/>
      <c r="J117"/>
      <c r="K117"/>
      <c r="L117"/>
      <c r="N117" s="18"/>
      <c r="O117" s="11">
        <f>Tabla351018263641424445464748441424344454[[#This Row],[COMISIONES]]*0.21</f>
        <v>0</v>
      </c>
      <c r="P117" s="18"/>
      <c r="Q117" s="18"/>
      <c r="R117" s="18"/>
      <c r="T117"/>
      <c r="U117" s="19">
        <f>Tabla612202833421020305060708090102030405060[[#This Row],[COMISIONES]]*0.21</f>
        <v>0</v>
      </c>
      <c r="V117"/>
      <c r="W117">
        <v>135.86000000000001</v>
      </c>
      <c r="X117"/>
      <c r="Z117" s="3"/>
      <c r="AA117" s="21">
        <f>Tabla35681321293971727475767778771727374757[[#This Row],[COMISIONES]]*0.21</f>
        <v>0</v>
      </c>
      <c r="AB117" s="21">
        <f>Tabla35681321293971727475767778771727374757[[#This Row],[COMISIONES]]*0.105</f>
        <v>0</v>
      </c>
      <c r="AC117" s="1"/>
      <c r="AD117"/>
      <c r="AF117"/>
      <c r="AG117"/>
      <c r="AH117"/>
      <c r="AI117"/>
      <c r="AJ117"/>
      <c r="AK117"/>
      <c r="AL117"/>
      <c r="AM117"/>
      <c r="AN117"/>
      <c r="AO117"/>
    </row>
    <row r="118" spans="1:41" s="6" customFormat="1" x14ac:dyDescent="0.25">
      <c r="A118"/>
      <c r="B118"/>
      <c r="C118"/>
      <c r="D118"/>
      <c r="E118"/>
      <c r="F118"/>
      <c r="H118"/>
      <c r="I118"/>
      <c r="J118"/>
      <c r="K118"/>
      <c r="L118"/>
      <c r="N118" s="18"/>
      <c r="O118" s="11">
        <f>Tabla351018263641424445464748441424344454[[#This Row],[COMISIONES]]*0.21</f>
        <v>0</v>
      </c>
      <c r="P118" s="18"/>
      <c r="Q118" s="18"/>
      <c r="R118" s="18"/>
      <c r="T118"/>
      <c r="U118" s="19">
        <f>Tabla612202833421020305060708090102030405060[[#This Row],[COMISIONES]]*0.21</f>
        <v>0</v>
      </c>
      <c r="V118"/>
      <c r="W118">
        <v>63.4</v>
      </c>
      <c r="X118"/>
      <c r="Z118" s="3"/>
      <c r="AA118" s="21">
        <f>Tabla35681321293971727475767778771727374757[[#This Row],[COMISIONES]]*0.21</f>
        <v>0</v>
      </c>
      <c r="AB118" s="21">
        <f>Tabla35681321293971727475767778771727374757[[#This Row],[COMISIONES]]*0.105</f>
        <v>0</v>
      </c>
      <c r="AC118" s="1"/>
      <c r="AD118"/>
      <c r="AF118"/>
      <c r="AG118"/>
      <c r="AH118"/>
      <c r="AI118"/>
      <c r="AJ118"/>
      <c r="AK118"/>
      <c r="AL118"/>
      <c r="AM118"/>
      <c r="AN118"/>
      <c r="AO118"/>
    </row>
    <row r="119" spans="1:41" s="6" customFormat="1" x14ac:dyDescent="0.25">
      <c r="A119"/>
      <c r="B119"/>
      <c r="C119"/>
      <c r="D119"/>
      <c r="E119"/>
      <c r="F119"/>
      <c r="H119"/>
      <c r="I119"/>
      <c r="J119"/>
      <c r="K119"/>
      <c r="L119"/>
      <c r="N119" s="18"/>
      <c r="O119" s="11">
        <f>Tabla351018263641424445464748441424344454[[#This Row],[COMISIONES]]*0.21</f>
        <v>0</v>
      </c>
      <c r="P119" s="18"/>
      <c r="Q119" s="18"/>
      <c r="R119" s="18"/>
      <c r="T119"/>
      <c r="U119" s="19">
        <f>Tabla612202833421020305060708090102030405060[[#This Row],[COMISIONES]]*0.21</f>
        <v>0</v>
      </c>
      <c r="V119"/>
      <c r="W119">
        <v>142.13</v>
      </c>
      <c r="X119"/>
      <c r="Z119" s="3"/>
      <c r="AA119" s="21">
        <f>Tabla35681321293971727475767778771727374757[[#This Row],[COMISIONES]]*0.21</f>
        <v>0</v>
      </c>
      <c r="AB119" s="21">
        <f>Tabla35681321293971727475767778771727374757[[#This Row],[COMISIONES]]*0.105</f>
        <v>0</v>
      </c>
      <c r="AC119" s="21"/>
      <c r="AD119" s="21"/>
      <c r="AF119"/>
      <c r="AG119"/>
      <c r="AH119"/>
      <c r="AI119"/>
      <c r="AJ119"/>
      <c r="AK119"/>
      <c r="AL119"/>
      <c r="AM119"/>
      <c r="AN119"/>
      <c r="AO119"/>
    </row>
    <row r="120" spans="1:41" s="6" customFormat="1" x14ac:dyDescent="0.25">
      <c r="A120"/>
      <c r="B120"/>
      <c r="C120"/>
      <c r="D120"/>
      <c r="E120"/>
      <c r="F120"/>
      <c r="H120"/>
      <c r="I120"/>
      <c r="J120"/>
      <c r="K120"/>
      <c r="L120"/>
      <c r="N120" s="18"/>
      <c r="O120" s="11">
        <f>Tabla351018263641424445464748441424344454[[#This Row],[COMISIONES]]*0.21</f>
        <v>0</v>
      </c>
      <c r="P120" s="18"/>
      <c r="Q120" s="18"/>
      <c r="R120" s="18"/>
      <c r="T120"/>
      <c r="U120" s="19">
        <f>Tabla612202833421020305060708090102030405060[[#This Row],[COMISIONES]]*0.21</f>
        <v>0</v>
      </c>
      <c r="V120"/>
      <c r="W120">
        <v>245.45</v>
      </c>
      <c r="X120"/>
      <c r="Z120" s="3"/>
      <c r="AA120" s="21">
        <f>Tabla35681321293971727475767778771727374757[[#This Row],[COMISIONES]]*0.21</f>
        <v>0</v>
      </c>
      <c r="AB120" s="21">
        <f>Tabla35681321293971727475767778771727374757[[#This Row],[COMISIONES]]*0.105</f>
        <v>0</v>
      </c>
      <c r="AC120" s="21"/>
      <c r="AD120" s="21"/>
      <c r="AF120"/>
      <c r="AG120"/>
      <c r="AH120"/>
      <c r="AI120"/>
      <c r="AJ120"/>
      <c r="AK120"/>
      <c r="AL120"/>
      <c r="AM120"/>
      <c r="AN120"/>
      <c r="AO120"/>
    </row>
    <row r="121" spans="1:41" s="6" customFormat="1" x14ac:dyDescent="0.25">
      <c r="A121"/>
      <c r="B121"/>
      <c r="C121"/>
      <c r="D121"/>
      <c r="E121"/>
      <c r="F121"/>
      <c r="H121"/>
      <c r="I121"/>
      <c r="J121"/>
      <c r="K121"/>
      <c r="L121"/>
      <c r="N121" s="18"/>
      <c r="O121" s="11">
        <f>Tabla351018263641424445464748441424344454[[#This Row],[COMISIONES]]*0.21</f>
        <v>0</v>
      </c>
      <c r="P121" s="18"/>
      <c r="Q121" s="18"/>
      <c r="R121" s="18"/>
      <c r="T121"/>
      <c r="U121" s="19">
        <f>Tabla612202833421020305060708090102030405060[[#This Row],[COMISIONES]]*0.21</f>
        <v>0</v>
      </c>
      <c r="V121"/>
      <c r="W121">
        <v>172.78</v>
      </c>
      <c r="X121"/>
      <c r="Z121" s="3"/>
      <c r="AA121" s="21">
        <f>Tabla35681321293971727475767778771727374757[[#This Row],[COMISIONES]]*0.21</f>
        <v>0</v>
      </c>
      <c r="AB121" s="21">
        <f>Tabla35681321293971727475767778771727374757[[#This Row],[COMISIONES]]*0.105</f>
        <v>0</v>
      </c>
      <c r="AC121" s="21"/>
      <c r="AD121" s="21"/>
      <c r="AF121"/>
      <c r="AG121"/>
      <c r="AH121"/>
      <c r="AI121"/>
      <c r="AJ121"/>
      <c r="AK121"/>
      <c r="AL121"/>
      <c r="AM121"/>
      <c r="AN121"/>
      <c r="AO121"/>
    </row>
    <row r="122" spans="1:41" s="6" customFormat="1" x14ac:dyDescent="0.25">
      <c r="A122"/>
      <c r="B122"/>
      <c r="C122"/>
      <c r="D122"/>
      <c r="E122"/>
      <c r="F122"/>
      <c r="H122"/>
      <c r="I122"/>
      <c r="J122"/>
      <c r="K122"/>
      <c r="L122"/>
      <c r="N122" s="18"/>
      <c r="O122" s="11">
        <f>Tabla351018263641424445464748441424344454[[#This Row],[COMISIONES]]*0.21</f>
        <v>0</v>
      </c>
      <c r="P122" s="18"/>
      <c r="Q122" s="18"/>
      <c r="R122" s="18"/>
      <c r="T122"/>
      <c r="U122" s="19">
        <f>Tabla612202833421020305060708090102030405060[[#This Row],[COMISIONES]]*0.21</f>
        <v>0</v>
      </c>
      <c r="V122"/>
      <c r="W122">
        <v>126.21</v>
      </c>
      <c r="X122"/>
      <c r="Z122" s="3"/>
      <c r="AA122" s="21">
        <f>Tabla35681321293971727475767778771727374757[[#This Row],[COMISIONES]]*0.21</f>
        <v>0</v>
      </c>
      <c r="AB122" s="21">
        <f>Tabla35681321293971727475767778771727374757[[#This Row],[COMISIONES]]*0.105</f>
        <v>0</v>
      </c>
      <c r="AC122" s="21"/>
      <c r="AD122" s="21"/>
      <c r="AF122"/>
      <c r="AG122"/>
      <c r="AH122"/>
      <c r="AI122"/>
      <c r="AJ122"/>
      <c r="AK122"/>
      <c r="AL122"/>
      <c r="AM122"/>
      <c r="AN122"/>
      <c r="AO122"/>
    </row>
    <row r="123" spans="1:41" s="6" customFormat="1" x14ac:dyDescent="0.25">
      <c r="A123"/>
      <c r="B123"/>
      <c r="C123"/>
      <c r="D123"/>
      <c r="E123"/>
      <c r="F123"/>
      <c r="H123"/>
      <c r="I123"/>
      <c r="J123"/>
      <c r="K123"/>
      <c r="L123"/>
      <c r="N123" s="18"/>
      <c r="O123" s="18"/>
      <c r="P123" s="18"/>
      <c r="Q123" s="18"/>
      <c r="R123" s="18"/>
      <c r="T123"/>
      <c r="U123" s="19">
        <f>Tabla612202833421020305060708090102030405060[[#This Row],[COMISIONES]]*0.21</f>
        <v>0</v>
      </c>
      <c r="V123"/>
      <c r="W123">
        <v>92.69</v>
      </c>
      <c r="X123"/>
      <c r="Z123" s="3"/>
      <c r="AA123" s="21">
        <f>Tabla35681321293971727475767778771727374757[[#This Row],[COMISIONES]]*0.21</f>
        <v>0</v>
      </c>
      <c r="AB123" s="21">
        <f>Tabla35681321293971727475767778771727374757[[#This Row],[COMISIONES]]*0.105</f>
        <v>0</v>
      </c>
      <c r="AC123" s="21"/>
      <c r="AD123" s="21"/>
      <c r="AF123"/>
      <c r="AG123"/>
      <c r="AH123"/>
      <c r="AI123"/>
      <c r="AJ123"/>
      <c r="AK123"/>
      <c r="AL123"/>
      <c r="AM123"/>
      <c r="AN123"/>
      <c r="AO123"/>
    </row>
    <row r="124" spans="1:41" s="6" customFormat="1" x14ac:dyDescent="0.25">
      <c r="A124"/>
      <c r="B124"/>
      <c r="C124"/>
      <c r="D124"/>
      <c r="E124"/>
      <c r="F124"/>
      <c r="H124"/>
      <c r="I124"/>
      <c r="J124"/>
      <c r="K124"/>
      <c r="L124"/>
      <c r="N124" s="18"/>
      <c r="O124" s="18"/>
      <c r="P124" s="18"/>
      <c r="Q124" s="18"/>
      <c r="R124" s="18"/>
      <c r="T124"/>
      <c r="U124" s="19">
        <f>Tabla612202833421020305060708090102030405060[[#This Row],[COMISIONES]]*0.21</f>
        <v>0</v>
      </c>
      <c r="V124"/>
      <c r="W124">
        <v>176.77</v>
      </c>
      <c r="X124"/>
      <c r="Z124" s="3"/>
      <c r="AA124" s="21">
        <f>Tabla35681321293971727475767778771727374757[[#This Row],[COMISIONES]]*0.21</f>
        <v>0</v>
      </c>
      <c r="AB124" s="21">
        <f>Tabla35681321293971727475767778771727374757[[#This Row],[COMISIONES]]*0.105</f>
        <v>0</v>
      </c>
      <c r="AC124" s="21"/>
      <c r="AD124" s="21"/>
      <c r="AF124"/>
      <c r="AG124"/>
      <c r="AH124"/>
      <c r="AI124"/>
      <c r="AJ124"/>
      <c r="AK124"/>
      <c r="AL124"/>
      <c r="AM124"/>
      <c r="AN124"/>
      <c r="AO124"/>
    </row>
    <row r="125" spans="1:41" s="6" customFormat="1" x14ac:dyDescent="0.25">
      <c r="A125"/>
      <c r="B125"/>
      <c r="C125"/>
      <c r="D125"/>
      <c r="E125"/>
      <c r="F125"/>
      <c r="H125"/>
      <c r="I125"/>
      <c r="J125"/>
      <c r="K125"/>
      <c r="L125"/>
      <c r="N125" s="18"/>
      <c r="O125" s="18"/>
      <c r="P125" s="18"/>
      <c r="Q125" s="18"/>
      <c r="R125" s="18"/>
      <c r="T125"/>
      <c r="U125" s="19">
        <f>Tabla612202833421020305060708090102030405060[[#This Row],[COMISIONES]]*0.21</f>
        <v>0</v>
      </c>
      <c r="V125"/>
      <c r="W125">
        <v>171.65</v>
      </c>
      <c r="X125"/>
      <c r="Z125" s="3"/>
      <c r="AA125" s="21">
        <f>Tabla35681321293971727475767778771727374757[[#This Row],[COMISIONES]]*0.21</f>
        <v>0</v>
      </c>
      <c r="AB125" s="21">
        <f>Tabla35681321293971727475767778771727374757[[#This Row],[COMISIONES]]*0.105</f>
        <v>0</v>
      </c>
      <c r="AC125" s="21"/>
      <c r="AD125" s="21"/>
      <c r="AF125"/>
      <c r="AG125"/>
      <c r="AH125"/>
      <c r="AI125"/>
      <c r="AJ125"/>
      <c r="AK125"/>
      <c r="AL125"/>
      <c r="AM125"/>
      <c r="AN125"/>
      <c r="AO125"/>
    </row>
    <row r="126" spans="1:41" s="6" customFormat="1" x14ac:dyDescent="0.25">
      <c r="A126"/>
      <c r="B126"/>
      <c r="C126"/>
      <c r="D126"/>
      <c r="E126"/>
      <c r="F126"/>
      <c r="H126"/>
      <c r="I126"/>
      <c r="J126"/>
      <c r="K126"/>
      <c r="L126"/>
      <c r="N126" s="18"/>
      <c r="O126" s="18"/>
      <c r="P126" s="18"/>
      <c r="Q126" s="18"/>
      <c r="R126" s="18"/>
      <c r="T126"/>
      <c r="U126" s="19">
        <f>Tabla612202833421020305060708090102030405060[[#This Row],[COMISIONES]]*0.21</f>
        <v>0</v>
      </c>
      <c r="V126"/>
      <c r="W126">
        <v>205.18</v>
      </c>
      <c r="X126"/>
      <c r="Z126" s="3"/>
      <c r="AA126" s="21">
        <f>Tabla35681321293971727475767778771727374757[[#This Row],[COMISIONES]]*0.21</f>
        <v>0</v>
      </c>
      <c r="AB126" s="21">
        <f>Tabla35681321293971727475767778771727374757[[#This Row],[COMISIONES]]*0.105</f>
        <v>0</v>
      </c>
      <c r="AC126" s="21"/>
      <c r="AD126" s="21"/>
      <c r="AF126"/>
      <c r="AG126"/>
      <c r="AH126"/>
      <c r="AI126"/>
      <c r="AJ126"/>
      <c r="AK126"/>
      <c r="AL126"/>
      <c r="AM126"/>
      <c r="AN126"/>
      <c r="AO126"/>
    </row>
    <row r="127" spans="1:41" s="6" customFormat="1" x14ac:dyDescent="0.25">
      <c r="A127"/>
      <c r="B127"/>
      <c r="C127"/>
      <c r="D127"/>
      <c r="E127"/>
      <c r="F127"/>
      <c r="H127"/>
      <c r="I127"/>
      <c r="J127"/>
      <c r="K127"/>
      <c r="L127"/>
      <c r="N127" s="18"/>
      <c r="O127" s="18"/>
      <c r="P127" s="18"/>
      <c r="Q127" s="18"/>
      <c r="R127" s="18"/>
      <c r="T127"/>
      <c r="U127" s="19">
        <f>Tabla612202833421020305060708090102030405060[[#This Row],[COMISIONES]]*0.21</f>
        <v>0</v>
      </c>
      <c r="V127"/>
      <c r="W127">
        <v>79.739999999999995</v>
      </c>
      <c r="X127"/>
      <c r="Z127" s="3"/>
      <c r="AA127" s="21">
        <f>Tabla35681321293971727475767778771727374757[[#This Row],[COMISIONES]]*0.21</f>
        <v>0</v>
      </c>
      <c r="AB127" s="21">
        <f>Tabla35681321293971727475767778771727374757[[#This Row],[COMISIONES]]*0.105</f>
        <v>0</v>
      </c>
      <c r="AC127" s="21"/>
      <c r="AD127" s="21"/>
      <c r="AF127"/>
      <c r="AG127"/>
      <c r="AH127"/>
      <c r="AI127"/>
      <c r="AJ127"/>
      <c r="AK127"/>
      <c r="AL127"/>
      <c r="AM127"/>
      <c r="AN127"/>
      <c r="AO127"/>
    </row>
    <row r="128" spans="1:41" s="6" customFormat="1" x14ac:dyDescent="0.25">
      <c r="A128"/>
      <c r="B128"/>
      <c r="C128"/>
      <c r="D128"/>
      <c r="E128"/>
      <c r="F128"/>
      <c r="H128"/>
      <c r="I128"/>
      <c r="J128"/>
      <c r="K128"/>
      <c r="L128"/>
      <c r="N128" s="18"/>
      <c r="O128" s="18"/>
      <c r="P128" s="18"/>
      <c r="Q128" s="18"/>
      <c r="R128" s="18"/>
      <c r="T128"/>
      <c r="U128" s="19">
        <f>Tabla612202833421020305060708090102030405060[[#This Row],[COMISIONES]]*0.21</f>
        <v>0</v>
      </c>
      <c r="V128"/>
      <c r="W128">
        <v>55.3</v>
      </c>
      <c r="X128"/>
      <c r="Z128" s="3"/>
      <c r="AA128" s="21">
        <f>Tabla35681321293971727475767778771727374757[[#This Row],[COMISIONES]]*0.21</f>
        <v>0</v>
      </c>
      <c r="AB128" s="21">
        <f>Tabla35681321293971727475767778771727374757[[#This Row],[COMISIONES]]*0.105</f>
        <v>0</v>
      </c>
      <c r="AC128" s="21"/>
      <c r="AD128" s="21"/>
      <c r="AF128"/>
      <c r="AG128"/>
      <c r="AH128"/>
      <c r="AI128"/>
      <c r="AJ128"/>
      <c r="AK128"/>
      <c r="AL128"/>
      <c r="AM128"/>
      <c r="AN128"/>
      <c r="AO128"/>
    </row>
    <row r="129" spans="1:41" s="6" customFormat="1" x14ac:dyDescent="0.25">
      <c r="A129"/>
      <c r="B129"/>
      <c r="C129"/>
      <c r="D129"/>
      <c r="E129"/>
      <c r="F129"/>
      <c r="H129"/>
      <c r="I129"/>
      <c r="J129"/>
      <c r="K129"/>
      <c r="L129"/>
      <c r="N129" s="18"/>
      <c r="O129" s="18"/>
      <c r="P129" s="18"/>
      <c r="Q129" s="18"/>
      <c r="R129" s="18"/>
      <c r="T129"/>
      <c r="U129" s="19">
        <f>Tabla612202833421020305060708090102030405060[[#This Row],[COMISIONES]]*0.21</f>
        <v>0</v>
      </c>
      <c r="V129"/>
      <c r="W129">
        <v>108.39</v>
      </c>
      <c r="X129"/>
      <c r="Z129" s="21"/>
      <c r="AA129" s="21">
        <f>Tabla35681321293971727475767778771727374757[[#This Row],[COMISIONES]]*0.21</f>
        <v>0</v>
      </c>
      <c r="AB129" s="21">
        <f>Tabla35681321293971727475767778771727374757[[#This Row],[COMISIONES]]*0.105</f>
        <v>0</v>
      </c>
      <c r="AC129" s="21"/>
      <c r="AD129" s="21"/>
      <c r="AF129"/>
      <c r="AG129"/>
      <c r="AH129"/>
      <c r="AI129"/>
      <c r="AJ129"/>
      <c r="AK129"/>
      <c r="AL129"/>
      <c r="AM129"/>
      <c r="AN129"/>
      <c r="AO129"/>
    </row>
    <row r="130" spans="1:41" s="6" customFormat="1" x14ac:dyDescent="0.25">
      <c r="A130"/>
      <c r="B130"/>
      <c r="C130"/>
      <c r="D130"/>
      <c r="E130"/>
      <c r="F130"/>
      <c r="H130"/>
      <c r="I130"/>
      <c r="J130"/>
      <c r="K130"/>
      <c r="L130"/>
      <c r="N130" s="18"/>
      <c r="O130" s="18"/>
      <c r="P130" s="18"/>
      <c r="Q130" s="18"/>
      <c r="R130" s="18"/>
      <c r="T130"/>
      <c r="U130" s="19">
        <f>Tabla612202833421020305060708090102030405060[[#This Row],[COMISIONES]]*0.21</f>
        <v>0</v>
      </c>
      <c r="V130"/>
      <c r="W130">
        <v>269.05</v>
      </c>
      <c r="X130"/>
      <c r="Z130" s="21"/>
      <c r="AA130" s="21">
        <f>Tabla35681321293971727475767778771727374757[[#This Row],[COMISIONES]]*0.21</f>
        <v>0</v>
      </c>
      <c r="AB130" s="21">
        <f>Tabla35681321293971727475767778771727374757[[#This Row],[COMISIONES]]*0.105</f>
        <v>0</v>
      </c>
      <c r="AC130" s="21"/>
      <c r="AD130" s="21"/>
      <c r="AF130"/>
      <c r="AG130"/>
      <c r="AH130"/>
      <c r="AI130"/>
      <c r="AJ130"/>
      <c r="AK130"/>
      <c r="AL130"/>
      <c r="AM130"/>
      <c r="AN130"/>
      <c r="AO130"/>
    </row>
    <row r="131" spans="1:41" s="6" customFormat="1" x14ac:dyDescent="0.25">
      <c r="A131"/>
      <c r="B131"/>
      <c r="C131"/>
      <c r="D131"/>
      <c r="E131"/>
      <c r="F131"/>
      <c r="H131"/>
      <c r="I131"/>
      <c r="J131"/>
      <c r="K131"/>
      <c r="L131"/>
      <c r="N131" s="18"/>
      <c r="O131" s="18"/>
      <c r="P131" s="18"/>
      <c r="Q131" s="18"/>
      <c r="R131" s="18"/>
      <c r="T131"/>
      <c r="U131" s="19">
        <f>Tabla612202833421020305060708090102030405060[[#This Row],[COMISIONES]]*0.21</f>
        <v>0</v>
      </c>
      <c r="V131"/>
      <c r="W131">
        <v>57.58</v>
      </c>
      <c r="X131"/>
      <c r="Z131" s="21"/>
      <c r="AA131" s="21">
        <f>Tabla35681321293971727475767778771727374757[[#This Row],[COMISIONES]]*0.21</f>
        <v>0</v>
      </c>
      <c r="AB131" s="21">
        <f>Tabla35681321293971727475767778771727374757[[#This Row],[COMISIONES]]*0.105</f>
        <v>0</v>
      </c>
      <c r="AC131" s="21"/>
      <c r="AD131" s="21"/>
      <c r="AF131"/>
      <c r="AG131"/>
      <c r="AH131"/>
      <c r="AI131"/>
      <c r="AJ131"/>
      <c r="AK131"/>
      <c r="AL131"/>
      <c r="AM131"/>
      <c r="AN131"/>
      <c r="AO131"/>
    </row>
    <row r="132" spans="1:41" s="6" customFormat="1" x14ac:dyDescent="0.25">
      <c r="A132"/>
      <c r="B132"/>
      <c r="C132"/>
      <c r="D132"/>
      <c r="E132"/>
      <c r="F132"/>
      <c r="H132"/>
      <c r="I132"/>
      <c r="J132"/>
      <c r="K132"/>
      <c r="L132"/>
      <c r="N132" s="18"/>
      <c r="O132" s="18"/>
      <c r="P132" s="18"/>
      <c r="Q132" s="18"/>
      <c r="R132" s="18"/>
      <c r="T132"/>
      <c r="U132" s="19">
        <f>Tabla612202833421020305060708090102030405060[[#This Row],[COMISIONES]]*0.21</f>
        <v>0</v>
      </c>
      <c r="V132"/>
      <c r="W132">
        <v>22.11</v>
      </c>
      <c r="X132"/>
      <c r="Z132" s="21"/>
      <c r="AA132" s="21">
        <f>Tabla35681321293971727475767778771727374757[[#This Row],[COMISIONES]]*0.21</f>
        <v>0</v>
      </c>
      <c r="AB132" s="21">
        <f>Tabla35681321293971727475767778771727374757[[#This Row],[COMISIONES]]*0.105</f>
        <v>0</v>
      </c>
      <c r="AC132" s="21"/>
      <c r="AD132" s="21"/>
      <c r="AF132"/>
      <c r="AG132"/>
      <c r="AH132"/>
      <c r="AI132"/>
      <c r="AJ132"/>
      <c r="AK132"/>
      <c r="AL132"/>
      <c r="AM132"/>
      <c r="AN132"/>
      <c r="AO132"/>
    </row>
    <row r="133" spans="1:41" s="6" customFormat="1" x14ac:dyDescent="0.25">
      <c r="A133"/>
      <c r="B133"/>
      <c r="C133"/>
      <c r="D133"/>
      <c r="E133"/>
      <c r="F133"/>
      <c r="H133"/>
      <c r="I133"/>
      <c r="J133"/>
      <c r="K133"/>
      <c r="L133"/>
      <c r="N133" s="18"/>
      <c r="O133" s="18"/>
      <c r="P133" s="18"/>
      <c r="Q133" s="18"/>
      <c r="R133" s="18"/>
      <c r="T133"/>
      <c r="U133" s="19">
        <f>Tabla612202833421020305060708090102030405060[[#This Row],[COMISIONES]]*0.21</f>
        <v>0</v>
      </c>
      <c r="V133"/>
      <c r="W133">
        <v>249.92</v>
      </c>
      <c r="X133"/>
      <c r="Z133" s="21"/>
      <c r="AA133" s="21">
        <f>Tabla35681321293971727475767778771727374757[[#This Row],[COMISIONES]]*0.21</f>
        <v>0</v>
      </c>
      <c r="AB133" s="21">
        <f>Tabla35681321293971727475767778771727374757[[#This Row],[COMISIONES]]*0.105</f>
        <v>0</v>
      </c>
      <c r="AC133" s="21"/>
      <c r="AD133" s="21"/>
      <c r="AF133"/>
      <c r="AG133"/>
      <c r="AH133"/>
      <c r="AI133"/>
      <c r="AJ133"/>
      <c r="AK133"/>
      <c r="AL133"/>
      <c r="AM133"/>
      <c r="AN133"/>
      <c r="AO133"/>
    </row>
    <row r="134" spans="1:41" s="6" customFormat="1" x14ac:dyDescent="0.25">
      <c r="A134"/>
      <c r="B134"/>
      <c r="C134"/>
      <c r="D134"/>
      <c r="E134"/>
      <c r="F134"/>
      <c r="H134"/>
      <c r="I134"/>
      <c r="J134"/>
      <c r="K134"/>
      <c r="L134"/>
      <c r="N134" s="18"/>
      <c r="O134" s="18">
        <f>Tabla351018263641424445464748441424344454[[#This Row],[COMISIONES]]*0.21</f>
        <v>0</v>
      </c>
      <c r="P134" s="18"/>
      <c r="Q134" s="18"/>
      <c r="R134" s="18"/>
      <c r="T134"/>
      <c r="U134" s="19">
        <f>Tabla612202833421020305060708090102030405060[[#This Row],[COMISIONES]]*0.21</f>
        <v>0</v>
      </c>
      <c r="V134"/>
      <c r="W134">
        <v>216.29</v>
      </c>
      <c r="X134"/>
      <c r="Z134" s="21"/>
      <c r="AA134" s="21">
        <f>Tabla35681321293971727475767778771727374757[[#This Row],[COMISIONES]]*0.21</f>
        <v>0</v>
      </c>
      <c r="AB134" s="21">
        <f>Tabla35681321293971727475767778771727374757[[#This Row],[COMISIONES]]*0.105</f>
        <v>0</v>
      </c>
      <c r="AC134" s="21"/>
      <c r="AD134" s="21"/>
      <c r="AF134"/>
      <c r="AG134"/>
      <c r="AH134"/>
      <c r="AI134"/>
      <c r="AJ134"/>
      <c r="AK134"/>
      <c r="AL134"/>
      <c r="AM134"/>
      <c r="AN134"/>
      <c r="AO134"/>
    </row>
    <row r="135" spans="1:41" s="6" customFormat="1" x14ac:dyDescent="0.25">
      <c r="A135"/>
      <c r="B135"/>
      <c r="C135"/>
      <c r="D135"/>
      <c r="E135"/>
      <c r="F135"/>
      <c r="H135"/>
      <c r="I135"/>
      <c r="J135"/>
      <c r="K135"/>
      <c r="L135"/>
      <c r="N135" s="4">
        <f>SUBTOTAL(109,Tabla351018263641424445464748441424344454[COMISIONES])</f>
        <v>6611.57</v>
      </c>
      <c r="O135" s="4">
        <f>SUBTOTAL(109,Tabla351018263641424445464748441424344454[IVA 21])</f>
        <v>1388.4296999999999</v>
      </c>
      <c r="P135" s="4">
        <f>SUBTOTAL(109,Tabla351018263641424445464748441424344454[IVA 10,5])</f>
        <v>0</v>
      </c>
      <c r="Q135" s="4">
        <f>SUBTOTAL(109,Tabla351018263641424445464748441424344454[Ret IIBB Caba])</f>
        <v>85.73</v>
      </c>
      <c r="R135" s="4">
        <f>SUBTOTAL(109,Tabla351018263641424445464748441424344454[PERC IVA])</f>
        <v>198.35</v>
      </c>
      <c r="T135"/>
      <c r="U135" s="19">
        <f>Tabla612202833421020305060708090102030405060[[#This Row],[COMISIONES]]*0.21</f>
        <v>0</v>
      </c>
      <c r="V135"/>
      <c r="W135">
        <v>82.93</v>
      </c>
      <c r="X135"/>
      <c r="Z135" s="21"/>
      <c r="AA135" s="21">
        <f>Tabla35681321293971727475767778771727374757[[#This Row],[COMISIONES]]*0.21</f>
        <v>0</v>
      </c>
      <c r="AB135" s="21">
        <f>Tabla35681321293971727475767778771727374757[[#This Row],[COMISIONES]]*0.105</f>
        <v>0</v>
      </c>
      <c r="AC135" s="21"/>
      <c r="AD135" s="21"/>
      <c r="AF135"/>
      <c r="AG135"/>
      <c r="AH135"/>
      <c r="AI135"/>
      <c r="AJ135"/>
      <c r="AK135"/>
      <c r="AL135"/>
      <c r="AM135"/>
      <c r="AN135"/>
      <c r="AO135"/>
    </row>
    <row r="136" spans="1:41" s="6" customFormat="1" x14ac:dyDescent="0.25">
      <c r="A136"/>
      <c r="B136"/>
      <c r="C136"/>
      <c r="D136"/>
      <c r="E136"/>
      <c r="F136"/>
      <c r="H136"/>
      <c r="I136"/>
      <c r="J136"/>
      <c r="K136"/>
      <c r="L136"/>
      <c r="N136"/>
      <c r="O136"/>
      <c r="P136"/>
      <c r="Q136"/>
      <c r="R136"/>
      <c r="T136"/>
      <c r="U136" s="19">
        <f>Tabla612202833421020305060708090102030405060[[#This Row],[COMISIONES]]*0.21</f>
        <v>0</v>
      </c>
      <c r="V136"/>
      <c r="W136">
        <v>116.41</v>
      </c>
      <c r="X136"/>
      <c r="Z136" s="21"/>
      <c r="AA136" s="21">
        <f>Tabla35681321293971727475767778771727374757[[#This Row],[COMISIONES]]*0.21</f>
        <v>0</v>
      </c>
      <c r="AB136" s="21">
        <f>Tabla35681321293971727475767778771727374757[[#This Row],[COMISIONES]]*0.105</f>
        <v>0</v>
      </c>
      <c r="AC136" s="21"/>
      <c r="AD136" s="21"/>
      <c r="AF136"/>
      <c r="AG136"/>
      <c r="AH136"/>
      <c r="AI136"/>
      <c r="AJ136"/>
      <c r="AK136"/>
      <c r="AL136"/>
      <c r="AM136"/>
      <c r="AN136"/>
      <c r="AO136"/>
    </row>
    <row r="137" spans="1:41" s="6" customFormat="1" x14ac:dyDescent="0.25">
      <c r="A137"/>
      <c r="B137"/>
      <c r="C137"/>
      <c r="D137"/>
      <c r="E137"/>
      <c r="F137"/>
      <c r="H137"/>
      <c r="I137"/>
      <c r="J137"/>
      <c r="K137"/>
      <c r="L137"/>
      <c r="N137"/>
      <c r="O137"/>
      <c r="P137"/>
      <c r="Q137"/>
      <c r="R137"/>
      <c r="T137"/>
      <c r="U137" s="19">
        <f>Tabla612202833421020305060708090102030405060[[#This Row],[COMISIONES]]*0.21</f>
        <v>0</v>
      </c>
      <c r="V137"/>
      <c r="W137">
        <v>84</v>
      </c>
      <c r="X137"/>
      <c r="Z137" s="21"/>
      <c r="AA137" s="21">
        <f>Tabla35681321293971727475767778771727374757[[#This Row],[COMISIONES]]*0.21</f>
        <v>0</v>
      </c>
      <c r="AB137" s="21">
        <f>Tabla35681321293971727475767778771727374757[[#This Row],[COMISIONES]]*0.105</f>
        <v>0</v>
      </c>
      <c r="AC137" s="21"/>
      <c r="AD137" s="21"/>
      <c r="AF137"/>
      <c r="AG137"/>
      <c r="AH137"/>
      <c r="AI137"/>
      <c r="AJ137"/>
      <c r="AK137"/>
      <c r="AL137"/>
      <c r="AM137"/>
      <c r="AN137"/>
      <c r="AO137"/>
    </row>
    <row r="138" spans="1:41" s="6" customFormat="1" x14ac:dyDescent="0.25">
      <c r="A138"/>
      <c r="B138"/>
      <c r="C138"/>
      <c r="D138"/>
      <c r="E138"/>
      <c r="F138"/>
      <c r="H138"/>
      <c r="I138"/>
      <c r="J138"/>
      <c r="K138"/>
      <c r="L138"/>
      <c r="N138"/>
      <c r="O138"/>
      <c r="P138"/>
      <c r="Q138"/>
      <c r="R138"/>
      <c r="T138"/>
      <c r="U138" s="19">
        <f>Tabla612202833421020305060708090102030405060[[#This Row],[COMISIONES]]*0.21</f>
        <v>0</v>
      </c>
      <c r="V138"/>
      <c r="W138">
        <v>61.16</v>
      </c>
      <c r="X138"/>
      <c r="Z138" s="21"/>
      <c r="AA138" s="21">
        <f>Tabla35681321293971727475767778771727374757[[#This Row],[COMISIONES]]*0.21</f>
        <v>0</v>
      </c>
      <c r="AB138" s="21">
        <f>Tabla35681321293971727475767778771727374757[[#This Row],[COMISIONES]]*0.105</f>
        <v>0</v>
      </c>
      <c r="AC138" s="21"/>
      <c r="AD138" s="21"/>
      <c r="AF138"/>
      <c r="AG138"/>
      <c r="AH138"/>
      <c r="AI138"/>
      <c r="AJ138"/>
      <c r="AK138"/>
      <c r="AL138"/>
      <c r="AM138"/>
      <c r="AN138"/>
      <c r="AO138"/>
    </row>
    <row r="139" spans="1:41" s="6" customFormat="1" x14ac:dyDescent="0.25">
      <c r="A139"/>
      <c r="B139"/>
      <c r="C139"/>
      <c r="D139"/>
      <c r="E139"/>
      <c r="F139"/>
      <c r="H139"/>
      <c r="I139"/>
      <c r="J139"/>
      <c r="K139"/>
      <c r="L139"/>
      <c r="N139"/>
      <c r="O139"/>
      <c r="P139"/>
      <c r="Q139"/>
      <c r="R139"/>
      <c r="T139"/>
      <c r="U139" s="19">
        <f>Tabla612202833421020305060708090102030405060[[#This Row],[COMISIONES]]*0.21</f>
        <v>0</v>
      </c>
      <c r="V139"/>
      <c r="W139">
        <v>15.99</v>
      </c>
      <c r="X139"/>
      <c r="Z139" s="21"/>
      <c r="AA139" s="21">
        <f>Tabla35681321293971727475767778771727374757[[#This Row],[COMISIONES]]*0.21</f>
        <v>0</v>
      </c>
      <c r="AB139" s="21">
        <f>Tabla35681321293971727475767778771727374757[[#This Row],[COMISIONES]]*0.105</f>
        <v>0</v>
      </c>
      <c r="AC139" s="21"/>
      <c r="AD139" s="21"/>
      <c r="AF139"/>
      <c r="AG139"/>
      <c r="AH139"/>
      <c r="AI139"/>
      <c r="AJ139"/>
      <c r="AK139"/>
      <c r="AL139"/>
      <c r="AM139"/>
      <c r="AN139"/>
      <c r="AO139"/>
    </row>
    <row r="140" spans="1:41" s="6" customFormat="1" x14ac:dyDescent="0.25">
      <c r="A140"/>
      <c r="B140"/>
      <c r="C140"/>
      <c r="D140"/>
      <c r="E140"/>
      <c r="F140"/>
      <c r="H140"/>
      <c r="I140"/>
      <c r="J140"/>
      <c r="K140"/>
      <c r="L140"/>
      <c r="N140"/>
      <c r="O140"/>
      <c r="P140"/>
      <c r="Q140"/>
      <c r="R140"/>
      <c r="T140"/>
      <c r="U140" s="19">
        <f>Tabla612202833421020305060708090102030405060[[#This Row],[COMISIONES]]*0.21</f>
        <v>0</v>
      </c>
      <c r="V140"/>
      <c r="W140">
        <v>102.75</v>
      </c>
      <c r="X140"/>
      <c r="Z140" s="21"/>
      <c r="AA140" s="21">
        <f>Tabla35681321293971727475767778771727374757[[#This Row],[COMISIONES]]*0.21</f>
        <v>0</v>
      </c>
      <c r="AB140" s="21">
        <f>Tabla35681321293971727475767778771727374757[[#This Row],[COMISIONES]]*0.105</f>
        <v>0</v>
      </c>
      <c r="AC140" s="21"/>
      <c r="AD140" s="21"/>
      <c r="AF140"/>
      <c r="AG140"/>
      <c r="AH140"/>
      <c r="AI140"/>
      <c r="AJ140"/>
      <c r="AK140"/>
      <c r="AL140"/>
      <c r="AM140"/>
      <c r="AN140"/>
      <c r="AO140"/>
    </row>
    <row r="141" spans="1:41" s="6" customFormat="1" x14ac:dyDescent="0.25">
      <c r="A141"/>
      <c r="B141"/>
      <c r="C141"/>
      <c r="D141"/>
      <c r="E141"/>
      <c r="F141"/>
      <c r="H141"/>
      <c r="I141"/>
      <c r="J141"/>
      <c r="K141"/>
      <c r="L141"/>
      <c r="N141"/>
      <c r="O141"/>
      <c r="P141"/>
      <c r="Q141"/>
      <c r="R141"/>
      <c r="T141"/>
      <c r="U141" s="19">
        <f>Tabla612202833421020305060708090102030405060[[#This Row],[COMISIONES]]*0.21</f>
        <v>0</v>
      </c>
      <c r="V141"/>
      <c r="W141">
        <v>306.83999999999997</v>
      </c>
      <c r="X141"/>
      <c r="Z141" s="21"/>
      <c r="AA141" s="21">
        <f>Tabla35681321293971727475767778771727374757[[#This Row],[COMISIONES]]*0.21</f>
        <v>0</v>
      </c>
      <c r="AB141" s="21">
        <f>Tabla35681321293971727475767778771727374757[[#This Row],[COMISIONES]]*0.105</f>
        <v>0</v>
      </c>
      <c r="AC141" s="21"/>
      <c r="AD141" s="21"/>
      <c r="AF141"/>
      <c r="AG141"/>
      <c r="AH141"/>
      <c r="AI141"/>
      <c r="AJ141"/>
      <c r="AK141"/>
      <c r="AL141"/>
      <c r="AM141"/>
      <c r="AN141"/>
      <c r="AO141"/>
    </row>
    <row r="142" spans="1:41" s="6" customFormat="1" x14ac:dyDescent="0.25">
      <c r="A142"/>
      <c r="B142"/>
      <c r="C142"/>
      <c r="D142"/>
      <c r="E142"/>
      <c r="F142"/>
      <c r="H142"/>
      <c r="I142"/>
      <c r="J142"/>
      <c r="K142"/>
      <c r="L142"/>
      <c r="N142"/>
      <c r="O142"/>
      <c r="P142"/>
      <c r="Q142"/>
      <c r="R142"/>
      <c r="T142"/>
      <c r="U142" s="19">
        <f>Tabla612202833421020305060708090102030405060[[#This Row],[COMISIONES]]*0.21</f>
        <v>0</v>
      </c>
      <c r="V142"/>
      <c r="W142">
        <v>94.43</v>
      </c>
      <c r="X142"/>
      <c r="Z142" s="21"/>
      <c r="AA142" s="21">
        <f>Tabla35681321293971727475767778771727374757[[#This Row],[COMISIONES]]*0.21</f>
        <v>0</v>
      </c>
      <c r="AB142" s="21">
        <f>Tabla35681321293971727475767778771727374757[[#This Row],[COMISIONES]]*0.105</f>
        <v>0</v>
      </c>
      <c r="AC142" s="21"/>
      <c r="AD142" s="21"/>
      <c r="AF142"/>
      <c r="AG142"/>
      <c r="AH142"/>
      <c r="AI142"/>
      <c r="AJ142"/>
      <c r="AK142"/>
      <c r="AL142"/>
      <c r="AM142"/>
      <c r="AN142"/>
      <c r="AO142"/>
    </row>
    <row r="143" spans="1:41" s="6" customFormat="1" x14ac:dyDescent="0.25">
      <c r="A143"/>
      <c r="B143"/>
      <c r="C143"/>
      <c r="D143"/>
      <c r="E143"/>
      <c r="F143"/>
      <c r="H143"/>
      <c r="I143"/>
      <c r="J143"/>
      <c r="K143"/>
      <c r="L143"/>
      <c r="N143"/>
      <c r="O143"/>
      <c r="P143"/>
      <c r="Q143"/>
      <c r="R143"/>
      <c r="T143"/>
      <c r="U143" s="19">
        <f>Tabla612202833421020305060708090102030405060[[#This Row],[COMISIONES]]*0.21</f>
        <v>0</v>
      </c>
      <c r="V143"/>
      <c r="W143">
        <v>322.07</v>
      </c>
      <c r="X143"/>
      <c r="Z143" s="21"/>
      <c r="AA143" s="21">
        <f>Tabla35681321293971727475767778771727374757[[#This Row],[COMISIONES]]*0.21</f>
        <v>0</v>
      </c>
      <c r="AB143" s="21">
        <f>Tabla35681321293971727475767778771727374757[[#This Row],[COMISIONES]]*0.105</f>
        <v>0</v>
      </c>
      <c r="AC143" s="21"/>
      <c r="AD143" s="21"/>
      <c r="AF143"/>
      <c r="AG143"/>
      <c r="AH143"/>
      <c r="AI143"/>
      <c r="AJ143"/>
      <c r="AK143"/>
      <c r="AL143"/>
      <c r="AM143"/>
      <c r="AN143"/>
      <c r="AO143"/>
    </row>
    <row r="144" spans="1:41" s="6" customFormat="1" x14ac:dyDescent="0.25">
      <c r="A144"/>
      <c r="B144"/>
      <c r="C144"/>
      <c r="D144"/>
      <c r="E144"/>
      <c r="F144"/>
      <c r="H144"/>
      <c r="I144"/>
      <c r="J144"/>
      <c r="K144"/>
      <c r="L144"/>
      <c r="N144"/>
      <c r="O144"/>
      <c r="P144"/>
      <c r="Q144"/>
      <c r="R144"/>
      <c r="T144"/>
      <c r="U144" s="19">
        <f>Tabla612202833421020305060708090102030405060[[#This Row],[COMISIONES]]*0.21</f>
        <v>0</v>
      </c>
      <c r="V144"/>
      <c r="W144">
        <v>24.05</v>
      </c>
      <c r="X144"/>
      <c r="Z144" s="21"/>
      <c r="AA144" s="21">
        <f>Tabla35681321293971727475767778771727374757[[#This Row],[COMISIONES]]*0.21</f>
        <v>0</v>
      </c>
      <c r="AB144" s="21">
        <f>Tabla35681321293971727475767778771727374757[[#This Row],[COMISIONES]]*0.105</f>
        <v>0</v>
      </c>
      <c r="AC144" s="21"/>
      <c r="AD144" s="21"/>
      <c r="AF144"/>
      <c r="AG144"/>
      <c r="AH144"/>
      <c r="AI144"/>
      <c r="AJ144"/>
      <c r="AK144"/>
      <c r="AL144"/>
      <c r="AM144"/>
      <c r="AN144"/>
      <c r="AO144"/>
    </row>
    <row r="145" spans="1:41" s="6" customFormat="1" x14ac:dyDescent="0.25">
      <c r="A145"/>
      <c r="B145"/>
      <c r="C145"/>
      <c r="D145"/>
      <c r="E145"/>
      <c r="F145"/>
      <c r="H145"/>
      <c r="I145"/>
      <c r="J145"/>
      <c r="K145"/>
      <c r="L145"/>
      <c r="N145"/>
      <c r="O145"/>
      <c r="P145"/>
      <c r="Q145"/>
      <c r="R145"/>
      <c r="T145"/>
      <c r="U145" s="19">
        <f>Tabla612202833421020305060708090102030405060[[#This Row],[COMISIONES]]*0.21</f>
        <v>0</v>
      </c>
      <c r="V145"/>
      <c r="W145">
        <v>19.09</v>
      </c>
      <c r="X145"/>
      <c r="Z145" s="21"/>
      <c r="AA145" s="21">
        <f>Tabla35681321293971727475767778771727374757[[#This Row],[COMISIONES]]*0.21</f>
        <v>0</v>
      </c>
      <c r="AB145" s="21">
        <f>Tabla35681321293971727475767778771727374757[[#This Row],[COMISIONES]]*0.105</f>
        <v>0</v>
      </c>
      <c r="AC145" s="21"/>
      <c r="AD145" s="21"/>
      <c r="AF145"/>
      <c r="AG145"/>
      <c r="AH145"/>
      <c r="AI145"/>
      <c r="AJ145"/>
      <c r="AK145"/>
      <c r="AL145"/>
      <c r="AM145"/>
      <c r="AN145"/>
      <c r="AO145"/>
    </row>
    <row r="146" spans="1:41" s="6" customFormat="1" x14ac:dyDescent="0.25">
      <c r="A146"/>
      <c r="B146"/>
      <c r="C146"/>
      <c r="D146"/>
      <c r="E146"/>
      <c r="F146"/>
      <c r="H146"/>
      <c r="I146"/>
      <c r="J146"/>
      <c r="K146"/>
      <c r="L146"/>
      <c r="N146"/>
      <c r="O146"/>
      <c r="P146"/>
      <c r="Q146"/>
      <c r="R146"/>
      <c r="T146"/>
      <c r="U146" s="19">
        <f>Tabla612202833421020305060708090102030405060[[#This Row],[COMISIONES]]*0.21</f>
        <v>0</v>
      </c>
      <c r="V146"/>
      <c r="W146">
        <v>121.91</v>
      </c>
      <c r="X146"/>
      <c r="Z146" s="21"/>
      <c r="AA146" s="21">
        <f>Tabla35681321293971727475767778771727374757[[#This Row],[COMISIONES]]*0.21</f>
        <v>0</v>
      </c>
      <c r="AB146" s="21">
        <f>Tabla35681321293971727475767778771727374757[[#This Row],[COMISIONES]]*0.105</f>
        <v>0</v>
      </c>
      <c r="AC146" s="21"/>
      <c r="AD146" s="21"/>
      <c r="AF146"/>
      <c r="AG146"/>
      <c r="AH146"/>
      <c r="AI146"/>
      <c r="AJ146"/>
      <c r="AK146"/>
      <c r="AL146"/>
      <c r="AM146"/>
      <c r="AN146"/>
      <c r="AO146"/>
    </row>
    <row r="147" spans="1:41" s="6" customFormat="1" x14ac:dyDescent="0.25">
      <c r="A147"/>
      <c r="B147"/>
      <c r="C147"/>
      <c r="D147"/>
      <c r="E147"/>
      <c r="F147"/>
      <c r="H147"/>
      <c r="I147"/>
      <c r="J147"/>
      <c r="K147"/>
      <c r="L147"/>
      <c r="N147"/>
      <c r="O147"/>
      <c r="P147"/>
      <c r="Q147"/>
      <c r="R147"/>
      <c r="T147"/>
      <c r="U147" s="19">
        <f>Tabla612202833421020305060708090102030405060[[#This Row],[COMISIONES]]*0.21</f>
        <v>0</v>
      </c>
      <c r="V147"/>
      <c r="W147">
        <v>79.739999999999995</v>
      </c>
      <c r="X147"/>
      <c r="Z147" s="21"/>
      <c r="AA147" s="21">
        <f>Tabla35681321293971727475767778771727374757[[#This Row],[COMISIONES]]*0.21</f>
        <v>0</v>
      </c>
      <c r="AB147" s="21">
        <f>Tabla35681321293971727475767778771727374757[[#This Row],[COMISIONES]]*0.105</f>
        <v>0</v>
      </c>
      <c r="AC147" s="21"/>
      <c r="AD147" s="21"/>
      <c r="AF147"/>
      <c r="AG147"/>
      <c r="AH147"/>
      <c r="AI147"/>
      <c r="AJ147"/>
      <c r="AK147"/>
      <c r="AL147"/>
      <c r="AM147"/>
      <c r="AN147"/>
      <c r="AO147"/>
    </row>
    <row r="148" spans="1:41" s="6" customFormat="1" x14ac:dyDescent="0.25">
      <c r="A148"/>
      <c r="B148"/>
      <c r="C148"/>
      <c r="D148"/>
      <c r="E148"/>
      <c r="F148"/>
      <c r="H148"/>
      <c r="I148"/>
      <c r="J148"/>
      <c r="K148"/>
      <c r="L148"/>
      <c r="N148"/>
      <c r="O148"/>
      <c r="P148"/>
      <c r="Q148"/>
      <c r="R148"/>
      <c r="T148"/>
      <c r="U148" s="19">
        <f>Tabla612202833421020305060708090102030405060[[#This Row],[COMISIONES]]*0.21</f>
        <v>0</v>
      </c>
      <c r="V148"/>
      <c r="W148">
        <v>58.38</v>
      </c>
      <c r="X148"/>
      <c r="Z148" s="21"/>
      <c r="AA148" s="21">
        <f>Tabla35681321293971727475767778771727374757[[#This Row],[COMISIONES]]*0.21</f>
        <v>0</v>
      </c>
      <c r="AB148" s="21">
        <f>Tabla35681321293971727475767778771727374757[[#This Row],[COMISIONES]]*0.105</f>
        <v>0</v>
      </c>
      <c r="AC148" s="21"/>
      <c r="AD148" s="21"/>
      <c r="AF148"/>
      <c r="AG148"/>
      <c r="AH148"/>
      <c r="AI148"/>
      <c r="AJ148"/>
      <c r="AK148"/>
      <c r="AL148"/>
      <c r="AM148"/>
      <c r="AN148"/>
      <c r="AO148"/>
    </row>
    <row r="149" spans="1:41" s="6" customFormat="1" x14ac:dyDescent="0.25">
      <c r="A149"/>
      <c r="B149"/>
      <c r="C149"/>
      <c r="D149"/>
      <c r="E149"/>
      <c r="F149"/>
      <c r="H149"/>
      <c r="I149"/>
      <c r="J149"/>
      <c r="K149"/>
      <c r="L149"/>
      <c r="N149"/>
      <c r="O149"/>
      <c r="P149"/>
      <c r="Q149"/>
      <c r="R149"/>
      <c r="T149"/>
      <c r="U149" s="19">
        <f>Tabla612202833421020305060708090102030405060[[#This Row],[COMISIONES]]*0.21</f>
        <v>0</v>
      </c>
      <c r="V149"/>
      <c r="W149">
        <v>264.55</v>
      </c>
      <c r="X149"/>
      <c r="Z149" s="21"/>
      <c r="AA149" s="21">
        <f>Tabla35681321293971727475767778771727374757[[#This Row],[COMISIONES]]*0.21</f>
        <v>0</v>
      </c>
      <c r="AB149" s="21">
        <f>Tabla35681321293971727475767778771727374757[[#This Row],[COMISIONES]]*0.105</f>
        <v>0</v>
      </c>
      <c r="AC149" s="21"/>
      <c r="AD149" s="21"/>
      <c r="AF149"/>
      <c r="AG149"/>
      <c r="AH149"/>
      <c r="AI149"/>
      <c r="AJ149"/>
      <c r="AK149"/>
      <c r="AL149"/>
      <c r="AM149"/>
      <c r="AN149"/>
      <c r="AO149"/>
    </row>
    <row r="150" spans="1:41" s="6" customFormat="1" x14ac:dyDescent="0.25">
      <c r="A150"/>
      <c r="B150"/>
      <c r="C150"/>
      <c r="D150"/>
      <c r="E150"/>
      <c r="F150"/>
      <c r="H150"/>
      <c r="I150"/>
      <c r="J150"/>
      <c r="K150"/>
      <c r="L150"/>
      <c r="N150"/>
      <c r="O150"/>
      <c r="P150"/>
      <c r="Q150"/>
      <c r="R150"/>
      <c r="T150"/>
      <c r="U150" s="19">
        <f>Tabla612202833421020305060708090102030405060[[#This Row],[COMISIONES]]*0.21</f>
        <v>0</v>
      </c>
      <c r="V150"/>
      <c r="W150">
        <v>36.58</v>
      </c>
      <c r="X150"/>
      <c r="Z150" s="21"/>
      <c r="AA150" s="21">
        <f>Tabla35681321293971727475767778771727374757[[#This Row],[COMISIONES]]*0.21</f>
        <v>0</v>
      </c>
      <c r="AB150" s="21">
        <f>Tabla35681321293971727475767778771727374757[[#This Row],[COMISIONES]]*0.105</f>
        <v>0</v>
      </c>
      <c r="AC150" s="21"/>
      <c r="AD150" s="21"/>
      <c r="AF150"/>
      <c r="AG150"/>
      <c r="AH150"/>
      <c r="AI150"/>
      <c r="AJ150"/>
      <c r="AK150"/>
      <c r="AL150"/>
      <c r="AM150"/>
      <c r="AN150"/>
      <c r="AO150"/>
    </row>
    <row r="151" spans="1:41" s="6" customFormat="1" x14ac:dyDescent="0.25">
      <c r="A151"/>
      <c r="B151"/>
      <c r="C151"/>
      <c r="D151"/>
      <c r="E151"/>
      <c r="F151"/>
      <c r="H151"/>
      <c r="I151"/>
      <c r="J151"/>
      <c r="K151"/>
      <c r="L151"/>
      <c r="N151"/>
      <c r="O151"/>
      <c r="P151"/>
      <c r="Q151"/>
      <c r="R151"/>
      <c r="T151"/>
      <c r="U151" s="19">
        <f>Tabla612202833421020305060708090102030405060[[#This Row],[COMISIONES]]*0.21</f>
        <v>0</v>
      </c>
      <c r="V151"/>
      <c r="W151">
        <v>301.68</v>
      </c>
      <c r="X151"/>
      <c r="Z151" s="21"/>
      <c r="AA151" s="21">
        <f>Tabla35681321293971727475767778771727374757[[#This Row],[COMISIONES]]*0.21</f>
        <v>0</v>
      </c>
      <c r="AB151" s="21">
        <f>Tabla35681321293971727475767778771727374757[[#This Row],[COMISIONES]]*0.105</f>
        <v>0</v>
      </c>
      <c r="AC151" s="21"/>
      <c r="AD151" s="21"/>
      <c r="AF151"/>
      <c r="AG151"/>
      <c r="AH151"/>
      <c r="AI151"/>
      <c r="AJ151"/>
      <c r="AK151"/>
      <c r="AL151"/>
      <c r="AM151"/>
      <c r="AN151"/>
      <c r="AO151"/>
    </row>
    <row r="152" spans="1:41" s="6" customFormat="1" x14ac:dyDescent="0.25">
      <c r="A152"/>
      <c r="B152"/>
      <c r="C152"/>
      <c r="D152"/>
      <c r="E152"/>
      <c r="F152"/>
      <c r="H152"/>
      <c r="I152"/>
      <c r="J152"/>
      <c r="K152"/>
      <c r="L152"/>
      <c r="N152"/>
      <c r="O152"/>
      <c r="P152"/>
      <c r="Q152"/>
      <c r="R152"/>
      <c r="T152"/>
      <c r="U152" s="19">
        <f>Tabla612202833421020305060708090102030405060[[#This Row],[COMISIONES]]*0.21</f>
        <v>0</v>
      </c>
      <c r="V152"/>
      <c r="W152">
        <v>205.95</v>
      </c>
      <c r="X152"/>
      <c r="Z152" s="21"/>
      <c r="AA152" s="21">
        <f>Tabla35681321293971727475767778771727374757[[#This Row],[COMISIONES]]*0.21</f>
        <v>0</v>
      </c>
      <c r="AB152" s="21">
        <f>Tabla35681321293971727475767778771727374757[[#This Row],[COMISIONES]]*0.105</f>
        <v>0</v>
      </c>
      <c r="AC152" s="21"/>
      <c r="AD152" s="21"/>
      <c r="AF152"/>
      <c r="AG152"/>
      <c r="AH152"/>
      <c r="AI152"/>
      <c r="AJ152"/>
      <c r="AK152"/>
      <c r="AL152"/>
      <c r="AM152"/>
      <c r="AN152"/>
      <c r="AO152"/>
    </row>
    <row r="153" spans="1:41" s="6" customFormat="1" x14ac:dyDescent="0.25">
      <c r="A153"/>
      <c r="B153"/>
      <c r="C153"/>
      <c r="D153"/>
      <c r="E153"/>
      <c r="F153"/>
      <c r="H153"/>
      <c r="I153"/>
      <c r="J153"/>
      <c r="K153"/>
      <c r="L153"/>
      <c r="N153"/>
      <c r="O153"/>
      <c r="P153"/>
      <c r="Q153"/>
      <c r="R153"/>
      <c r="T153"/>
      <c r="U153" s="19">
        <f>Tabla612202833421020305060708090102030405060[[#This Row],[COMISIONES]]*0.21</f>
        <v>0</v>
      </c>
      <c r="V153"/>
      <c r="W153">
        <v>324.2</v>
      </c>
      <c r="X153"/>
      <c r="Z153" s="21"/>
      <c r="AA153" s="21">
        <f>Tabla35681321293971727475767778771727374757[[#This Row],[COMISIONES]]*0.21</f>
        <v>0</v>
      </c>
      <c r="AB153" s="21">
        <f>Tabla35681321293971727475767778771727374757[[#This Row],[COMISIONES]]*0.105</f>
        <v>0</v>
      </c>
      <c r="AC153" s="21"/>
      <c r="AD153" s="21"/>
      <c r="AF153"/>
      <c r="AG153"/>
      <c r="AH153"/>
      <c r="AI153"/>
      <c r="AJ153"/>
      <c r="AK153"/>
      <c r="AL153"/>
      <c r="AM153"/>
      <c r="AN153"/>
      <c r="AO153"/>
    </row>
    <row r="154" spans="1:41" s="6" customFormat="1" x14ac:dyDescent="0.25">
      <c r="A154"/>
      <c r="B154"/>
      <c r="C154"/>
      <c r="D154"/>
      <c r="E154"/>
      <c r="F154"/>
      <c r="H154"/>
      <c r="I154"/>
      <c r="J154"/>
      <c r="K154"/>
      <c r="L154"/>
      <c r="N154"/>
      <c r="O154"/>
      <c r="P154"/>
      <c r="Q154"/>
      <c r="R154"/>
      <c r="T154"/>
      <c r="U154" s="19">
        <f>Tabla612202833421020305060708090102030405060[[#This Row],[COMISIONES]]*0.21</f>
        <v>0</v>
      </c>
      <c r="V154"/>
      <c r="W154">
        <v>804.04</v>
      </c>
      <c r="X154"/>
      <c r="Z154" s="21"/>
      <c r="AA154" s="21">
        <f>Tabla35681321293971727475767778771727374757[[#This Row],[COMISIONES]]*0.21</f>
        <v>0</v>
      </c>
      <c r="AB154" s="21">
        <f>Tabla35681321293971727475767778771727374757[[#This Row],[COMISIONES]]*0.105</f>
        <v>0</v>
      </c>
      <c r="AC154" s="21"/>
      <c r="AD154" s="21"/>
      <c r="AF154"/>
      <c r="AG154"/>
      <c r="AH154"/>
      <c r="AI154"/>
      <c r="AJ154"/>
      <c r="AK154"/>
      <c r="AL154"/>
      <c r="AM154"/>
      <c r="AN154"/>
      <c r="AO154"/>
    </row>
    <row r="155" spans="1:41" s="6" customFormat="1" x14ac:dyDescent="0.25">
      <c r="A155"/>
      <c r="B155"/>
      <c r="C155"/>
      <c r="D155"/>
      <c r="E155"/>
      <c r="F155"/>
      <c r="H155"/>
      <c r="I155"/>
      <c r="J155"/>
      <c r="K155"/>
      <c r="L155"/>
      <c r="N155"/>
      <c r="O155"/>
      <c r="P155"/>
      <c r="Q155"/>
      <c r="R155"/>
      <c r="T155"/>
      <c r="U155" s="19">
        <f>Tabla612202833421020305060708090102030405060[[#This Row],[COMISIONES]]*0.21</f>
        <v>0</v>
      </c>
      <c r="V155"/>
      <c r="W155">
        <v>723.34</v>
      </c>
      <c r="X155"/>
      <c r="Z155" s="21"/>
      <c r="AA155" s="21">
        <f>Tabla35681321293971727475767778771727374757[[#This Row],[COMISIONES]]*0.21</f>
        <v>0</v>
      </c>
      <c r="AB155" s="21">
        <f>Tabla35681321293971727475767778771727374757[[#This Row],[COMISIONES]]*0.105</f>
        <v>0</v>
      </c>
      <c r="AC155" s="21"/>
      <c r="AD155" s="21"/>
      <c r="AF155"/>
      <c r="AG155"/>
      <c r="AH155"/>
      <c r="AI155"/>
      <c r="AJ155"/>
      <c r="AK155"/>
      <c r="AL155"/>
      <c r="AM155"/>
      <c r="AN155"/>
      <c r="AO155"/>
    </row>
    <row r="156" spans="1:41" s="6" customFormat="1" x14ac:dyDescent="0.25">
      <c r="A156"/>
      <c r="B156"/>
      <c r="C156"/>
      <c r="D156"/>
      <c r="E156"/>
      <c r="F156"/>
      <c r="H156"/>
      <c r="I156"/>
      <c r="J156"/>
      <c r="K156"/>
      <c r="L156"/>
      <c r="N156"/>
      <c r="O156"/>
      <c r="P156"/>
      <c r="Q156"/>
      <c r="R156"/>
      <c r="T156"/>
      <c r="U156" s="19">
        <f>Tabla612202833421020305060708090102030405060[[#This Row],[COMISIONES]]*0.21</f>
        <v>0</v>
      </c>
      <c r="V156"/>
      <c r="W156">
        <v>165.47</v>
      </c>
      <c r="X156"/>
      <c r="Z156" s="21"/>
      <c r="AA156" s="21">
        <f>Tabla35681321293971727475767778771727374757[[#This Row],[COMISIONES]]*0.21</f>
        <v>0</v>
      </c>
      <c r="AB156" s="21">
        <f>Tabla35681321293971727475767778771727374757[[#This Row],[COMISIONES]]*0.105</f>
        <v>0</v>
      </c>
      <c r="AC156" s="21"/>
      <c r="AD156" s="21"/>
      <c r="AF156"/>
      <c r="AG156"/>
      <c r="AH156"/>
      <c r="AI156"/>
      <c r="AJ156"/>
      <c r="AK156"/>
      <c r="AL156"/>
      <c r="AM156"/>
      <c r="AN156"/>
      <c r="AO156"/>
    </row>
    <row r="157" spans="1:41" s="6" customFormat="1" x14ac:dyDescent="0.25">
      <c r="A157"/>
      <c r="B157"/>
      <c r="C157"/>
      <c r="D157"/>
      <c r="E157"/>
      <c r="F157"/>
      <c r="H157"/>
      <c r="I157"/>
      <c r="J157"/>
      <c r="K157"/>
      <c r="L157"/>
      <c r="N157"/>
      <c r="O157"/>
      <c r="P157"/>
      <c r="Q157"/>
      <c r="R157"/>
      <c r="T157"/>
      <c r="U157" s="19">
        <f>Tabla612202833421020305060708090102030405060[[#This Row],[COMISIONES]]*0.21</f>
        <v>0</v>
      </c>
      <c r="V157"/>
      <c r="W157">
        <v>30.73</v>
      </c>
      <c r="X157"/>
      <c r="Z157" s="21"/>
      <c r="AA157" s="21">
        <f>Tabla35681321293971727475767778771727374757[[#This Row],[COMISIONES]]*0.21</f>
        <v>0</v>
      </c>
      <c r="AB157" s="21">
        <f>Tabla35681321293971727475767778771727374757[[#This Row],[COMISIONES]]*0.105</f>
        <v>0</v>
      </c>
      <c r="AC157" s="21"/>
      <c r="AD157" s="21"/>
      <c r="AF157"/>
      <c r="AG157"/>
      <c r="AH157"/>
      <c r="AI157"/>
      <c r="AJ157"/>
      <c r="AK157"/>
      <c r="AL157"/>
      <c r="AM157"/>
      <c r="AN157"/>
      <c r="AO157"/>
    </row>
    <row r="158" spans="1:41" s="6" customFormat="1" x14ac:dyDescent="0.25">
      <c r="A158"/>
      <c r="B158"/>
      <c r="C158"/>
      <c r="D158"/>
      <c r="E158"/>
      <c r="F158"/>
      <c r="H158"/>
      <c r="I158"/>
      <c r="J158"/>
      <c r="K158"/>
      <c r="L158"/>
      <c r="N158"/>
      <c r="O158"/>
      <c r="P158"/>
      <c r="Q158"/>
      <c r="R158"/>
      <c r="T158"/>
      <c r="U158" s="19">
        <f>Tabla612202833421020305060708090102030405060[[#This Row],[COMISIONES]]*0.21</f>
        <v>0</v>
      </c>
      <c r="V158"/>
      <c r="W158">
        <v>37.700000000000003</v>
      </c>
      <c r="X158"/>
      <c r="Z158" s="21"/>
      <c r="AA158" s="21">
        <f>Tabla35681321293971727475767778771727374757[[#This Row],[COMISIONES]]*0.21</f>
        <v>0</v>
      </c>
      <c r="AB158" s="21">
        <f>Tabla35681321293971727475767778771727374757[[#This Row],[COMISIONES]]*0.105</f>
        <v>0</v>
      </c>
      <c r="AC158" s="21"/>
      <c r="AD158" s="21"/>
      <c r="AF158"/>
      <c r="AG158"/>
      <c r="AH158"/>
      <c r="AI158"/>
      <c r="AJ158"/>
      <c r="AK158"/>
      <c r="AL158"/>
      <c r="AM158"/>
      <c r="AN158"/>
      <c r="AO158"/>
    </row>
    <row r="159" spans="1:41" s="6" customFormat="1" x14ac:dyDescent="0.25">
      <c r="A159"/>
      <c r="B159"/>
      <c r="C159"/>
      <c r="D159"/>
      <c r="E159"/>
      <c r="F159"/>
      <c r="H159"/>
      <c r="I159"/>
      <c r="J159"/>
      <c r="K159"/>
      <c r="L159"/>
      <c r="N159"/>
      <c r="O159"/>
      <c r="P159"/>
      <c r="Q159"/>
      <c r="R159"/>
      <c r="T159"/>
      <c r="U159" s="19">
        <f>Tabla612202833421020305060708090102030405060[[#This Row],[COMISIONES]]*0.21</f>
        <v>0</v>
      </c>
      <c r="V159"/>
      <c r="W159">
        <v>83.35</v>
      </c>
      <c r="X159"/>
      <c r="Z159" s="21"/>
      <c r="AA159" s="21">
        <f>Tabla35681321293971727475767778771727374757[[#This Row],[COMISIONES]]*0.21</f>
        <v>0</v>
      </c>
      <c r="AB159" s="21">
        <f>Tabla35681321293971727475767778771727374757[[#This Row],[COMISIONES]]*0.105</f>
        <v>0</v>
      </c>
      <c r="AC159" s="21"/>
      <c r="AD159" s="21"/>
      <c r="AF159"/>
      <c r="AG159"/>
      <c r="AH159"/>
      <c r="AI159"/>
      <c r="AJ159"/>
      <c r="AK159"/>
      <c r="AL159"/>
      <c r="AM159"/>
      <c r="AN159"/>
      <c r="AO159"/>
    </row>
    <row r="160" spans="1:41" s="6" customFormat="1" x14ac:dyDescent="0.25">
      <c r="A160"/>
      <c r="B160"/>
      <c r="C160"/>
      <c r="D160"/>
      <c r="E160"/>
      <c r="F160"/>
      <c r="H160"/>
      <c r="I160"/>
      <c r="J160"/>
      <c r="K160"/>
      <c r="L160"/>
      <c r="N160"/>
      <c r="O160"/>
      <c r="P160"/>
      <c r="Q160"/>
      <c r="R160"/>
      <c r="T160"/>
      <c r="U160" s="19">
        <f>Tabla612202833421020305060708090102030405060[[#This Row],[COMISIONES]]*0.21</f>
        <v>0</v>
      </c>
      <c r="V160"/>
      <c r="W160">
        <v>4.8099999999999996</v>
      </c>
      <c r="X160"/>
      <c r="Z160" s="21"/>
      <c r="AA160" s="21">
        <f>Tabla35681321293971727475767778771727374757[[#This Row],[COMISIONES]]*0.21</f>
        <v>0</v>
      </c>
      <c r="AB160" s="21">
        <f>Tabla35681321293971727475767778771727374757[[#This Row],[COMISIONES]]*0.105</f>
        <v>0</v>
      </c>
      <c r="AC160" s="21"/>
      <c r="AD160" s="21"/>
      <c r="AF160"/>
      <c r="AG160"/>
      <c r="AH160"/>
      <c r="AI160"/>
      <c r="AJ160"/>
      <c r="AK160"/>
      <c r="AL160"/>
      <c r="AM160"/>
      <c r="AN160"/>
      <c r="AO160"/>
    </row>
    <row r="161" spans="1:41" s="6" customFormat="1" x14ac:dyDescent="0.25">
      <c r="A161"/>
      <c r="B161"/>
      <c r="C161"/>
      <c r="D161"/>
      <c r="E161"/>
      <c r="F161"/>
      <c r="H161"/>
      <c r="I161"/>
      <c r="J161"/>
      <c r="K161"/>
      <c r="L161"/>
      <c r="N161"/>
      <c r="O161"/>
      <c r="P161"/>
      <c r="Q161"/>
      <c r="R161"/>
      <c r="T161"/>
      <c r="U161" s="19">
        <f>Tabla612202833421020305060708090102030405060[[#This Row],[COMISIONES]]*0.21</f>
        <v>0</v>
      </c>
      <c r="V161"/>
      <c r="W161">
        <v>1935.42</v>
      </c>
      <c r="X161"/>
      <c r="Z161" s="21"/>
      <c r="AA161" s="21">
        <f>Tabla35681321293971727475767778771727374757[[#This Row],[COMISIONES]]*0.21</f>
        <v>0</v>
      </c>
      <c r="AB161" s="21">
        <f>Tabla35681321293971727475767778771727374757[[#This Row],[COMISIONES]]*0.105</f>
        <v>0</v>
      </c>
      <c r="AC161" s="21"/>
      <c r="AD161" s="21"/>
      <c r="AF161"/>
      <c r="AG161"/>
      <c r="AH161"/>
      <c r="AI161"/>
      <c r="AJ161"/>
      <c r="AK161"/>
      <c r="AL161"/>
      <c r="AM161"/>
      <c r="AN161"/>
      <c r="AO161"/>
    </row>
    <row r="162" spans="1:41" s="6" customFormat="1" x14ac:dyDescent="0.25">
      <c r="A162"/>
      <c r="B162"/>
      <c r="C162"/>
      <c r="D162"/>
      <c r="E162"/>
      <c r="F162"/>
      <c r="H162"/>
      <c r="I162"/>
      <c r="J162"/>
      <c r="K162"/>
      <c r="L162"/>
      <c r="N162"/>
      <c r="O162"/>
      <c r="P162"/>
      <c r="Q162"/>
      <c r="R162"/>
      <c r="T162"/>
      <c r="U162" s="19">
        <f>Tabla612202833421020305060708090102030405060[[#This Row],[COMISIONES]]*0.21</f>
        <v>0</v>
      </c>
      <c r="V162"/>
      <c r="W162">
        <v>50.89</v>
      </c>
      <c r="X162"/>
      <c r="Z162" s="21"/>
      <c r="AA162" s="21">
        <f>Tabla35681321293971727475767778771727374757[[#This Row],[COMISIONES]]*0.21</f>
        <v>0</v>
      </c>
      <c r="AB162" s="21">
        <f>Tabla35681321293971727475767778771727374757[[#This Row],[COMISIONES]]*0.105</f>
        <v>0</v>
      </c>
      <c r="AC162" s="21"/>
      <c r="AD162" s="21"/>
      <c r="AF162"/>
      <c r="AG162"/>
      <c r="AH162"/>
      <c r="AI162"/>
      <c r="AJ162"/>
      <c r="AK162"/>
      <c r="AL162"/>
      <c r="AM162"/>
      <c r="AN162"/>
      <c r="AO162"/>
    </row>
    <row r="163" spans="1:41" s="6" customFormat="1" x14ac:dyDescent="0.25">
      <c r="A163"/>
      <c r="B163"/>
      <c r="C163"/>
      <c r="D163"/>
      <c r="E163"/>
      <c r="F163"/>
      <c r="H163"/>
      <c r="I163"/>
      <c r="J163"/>
      <c r="K163"/>
      <c r="L163"/>
      <c r="N163"/>
      <c r="O163"/>
      <c r="P163"/>
      <c r="Q163"/>
      <c r="R163"/>
      <c r="T163"/>
      <c r="U163" s="19">
        <f>Tabla612202833421020305060708090102030405060[[#This Row],[COMISIONES]]*0.21</f>
        <v>0</v>
      </c>
      <c r="V163"/>
      <c r="W163">
        <v>82.61</v>
      </c>
      <c r="X163"/>
      <c r="Z163" s="21"/>
      <c r="AA163" s="21">
        <f>Tabla35681321293971727475767778771727374757[[#This Row],[COMISIONES]]*0.21</f>
        <v>0</v>
      </c>
      <c r="AB163" s="21">
        <f>Tabla35681321293971727475767778771727374757[[#This Row],[COMISIONES]]*0.105</f>
        <v>0</v>
      </c>
      <c r="AC163" s="21"/>
      <c r="AD163" s="21"/>
      <c r="AF163"/>
      <c r="AG163"/>
      <c r="AH163"/>
      <c r="AI163"/>
      <c r="AJ163"/>
      <c r="AK163"/>
      <c r="AL163"/>
      <c r="AM163"/>
      <c r="AN163"/>
      <c r="AO163"/>
    </row>
    <row r="164" spans="1:41" s="6" customFormat="1" x14ac:dyDescent="0.25">
      <c r="A164"/>
      <c r="B164"/>
      <c r="C164"/>
      <c r="D164"/>
      <c r="E164"/>
      <c r="F164"/>
      <c r="H164"/>
      <c r="I164"/>
      <c r="J164"/>
      <c r="K164"/>
      <c r="L164"/>
      <c r="N164"/>
      <c r="O164"/>
      <c r="P164"/>
      <c r="Q164"/>
      <c r="R164"/>
      <c r="T164"/>
      <c r="U164" s="19">
        <f>Tabla612202833421020305060708090102030405060[[#This Row],[COMISIONES]]*0.21</f>
        <v>0</v>
      </c>
      <c r="V164"/>
      <c r="W164">
        <v>81.11</v>
      </c>
      <c r="X164"/>
      <c r="Z164" s="21"/>
      <c r="AA164" s="21">
        <f>Tabla35681321293971727475767778771727374757[[#This Row],[COMISIONES]]*0.21</f>
        <v>0</v>
      </c>
      <c r="AB164" s="21">
        <f>Tabla35681321293971727475767778771727374757[[#This Row],[COMISIONES]]*0.105</f>
        <v>0</v>
      </c>
      <c r="AC164" s="21"/>
      <c r="AD164" s="21"/>
      <c r="AF164"/>
      <c r="AG164"/>
      <c r="AH164"/>
      <c r="AI164"/>
      <c r="AJ164"/>
      <c r="AK164"/>
      <c r="AL164"/>
      <c r="AM164"/>
      <c r="AN164"/>
      <c r="AO164"/>
    </row>
    <row r="165" spans="1:41" s="6" customFormat="1" x14ac:dyDescent="0.25">
      <c r="A165"/>
      <c r="B165"/>
      <c r="C165"/>
      <c r="D165"/>
      <c r="E165"/>
      <c r="F165"/>
      <c r="H165"/>
      <c r="I165"/>
      <c r="J165"/>
      <c r="K165"/>
      <c r="L165"/>
      <c r="N165"/>
      <c r="O165"/>
      <c r="P165"/>
      <c r="Q165"/>
      <c r="R165"/>
      <c r="T165"/>
      <c r="U165" s="19">
        <f>Tabla612202833421020305060708090102030405060[[#This Row],[COMISIONES]]*0.21</f>
        <v>0</v>
      </c>
      <c r="V165"/>
      <c r="W165">
        <v>32.799999999999997</v>
      </c>
      <c r="X165"/>
      <c r="Z165" s="21"/>
      <c r="AA165" s="21">
        <f>Tabla35681321293971727475767778771727374757[[#This Row],[COMISIONES]]*0.21</f>
        <v>0</v>
      </c>
      <c r="AB165" s="21">
        <f>Tabla35681321293971727475767778771727374757[[#This Row],[COMISIONES]]*0.105</f>
        <v>0</v>
      </c>
      <c r="AC165" s="21"/>
      <c r="AD165" s="21"/>
      <c r="AF165"/>
      <c r="AG165"/>
      <c r="AH165"/>
      <c r="AI165"/>
      <c r="AJ165"/>
      <c r="AK165"/>
      <c r="AL165"/>
      <c r="AM165"/>
      <c r="AN165"/>
      <c r="AO165"/>
    </row>
    <row r="166" spans="1:41" s="6" customFormat="1" x14ac:dyDescent="0.25">
      <c r="A166"/>
      <c r="B166"/>
      <c r="C166"/>
      <c r="D166"/>
      <c r="E166"/>
      <c r="F166"/>
      <c r="H166"/>
      <c r="I166"/>
      <c r="J166"/>
      <c r="K166"/>
      <c r="L166"/>
      <c r="N166"/>
      <c r="O166"/>
      <c r="P166"/>
      <c r="Q166"/>
      <c r="R166"/>
      <c r="T166"/>
      <c r="U166" s="19">
        <f>Tabla612202833421020305060708090102030405060[[#This Row],[COMISIONES]]*0.21</f>
        <v>0</v>
      </c>
      <c r="V166"/>
      <c r="W166">
        <v>102.06</v>
      </c>
      <c r="X166"/>
      <c r="Z166" s="21"/>
      <c r="AA166" s="21">
        <f>Tabla35681321293971727475767778771727374757[[#This Row],[COMISIONES]]*0.21</f>
        <v>0</v>
      </c>
      <c r="AB166" s="21">
        <f>Tabla35681321293971727475767778771727374757[[#This Row],[COMISIONES]]*0.105</f>
        <v>0</v>
      </c>
      <c r="AC166" s="21"/>
      <c r="AD166" s="21"/>
      <c r="AF166"/>
      <c r="AG166"/>
      <c r="AH166"/>
      <c r="AI166"/>
      <c r="AJ166"/>
      <c r="AK166"/>
      <c r="AL166"/>
      <c r="AM166"/>
      <c r="AN166"/>
      <c r="AO166"/>
    </row>
    <row r="167" spans="1:41" s="6" customFormat="1" x14ac:dyDescent="0.25">
      <c r="A167"/>
      <c r="B167"/>
      <c r="C167"/>
      <c r="D167"/>
      <c r="E167"/>
      <c r="F167"/>
      <c r="H167"/>
      <c r="I167"/>
      <c r="J167"/>
      <c r="K167"/>
      <c r="L167"/>
      <c r="N167"/>
      <c r="O167"/>
      <c r="P167"/>
      <c r="Q167"/>
      <c r="R167"/>
      <c r="T167"/>
      <c r="U167" s="19">
        <f>Tabla612202833421020305060708090102030405060[[#This Row],[COMISIONES]]*0.21</f>
        <v>0</v>
      </c>
      <c r="V167"/>
      <c r="W167">
        <v>140.56</v>
      </c>
      <c r="X167"/>
      <c r="Z167" s="21"/>
      <c r="AA167" s="21">
        <f>Tabla35681321293971727475767778771727374757[[#This Row],[COMISIONES]]*0.21</f>
        <v>0</v>
      </c>
      <c r="AB167" s="21">
        <f>Tabla35681321293971727475767778771727374757[[#This Row],[COMISIONES]]*0.105</f>
        <v>0</v>
      </c>
      <c r="AC167" s="21"/>
      <c r="AD167" s="21"/>
      <c r="AF167"/>
      <c r="AG167"/>
      <c r="AH167"/>
      <c r="AI167"/>
      <c r="AJ167"/>
      <c r="AK167"/>
      <c r="AL167"/>
      <c r="AM167"/>
      <c r="AN167"/>
      <c r="AO167"/>
    </row>
    <row r="168" spans="1:41" s="6" customFormat="1" x14ac:dyDescent="0.25">
      <c r="A168"/>
      <c r="B168"/>
      <c r="C168"/>
      <c r="D168"/>
      <c r="E168"/>
      <c r="F168"/>
      <c r="H168"/>
      <c r="I168"/>
      <c r="J168"/>
      <c r="K168"/>
      <c r="L168"/>
      <c r="N168"/>
      <c r="O168"/>
      <c r="P168"/>
      <c r="Q168"/>
      <c r="R168"/>
      <c r="T168"/>
      <c r="U168" s="19">
        <f>Tabla612202833421020305060708090102030405060[[#This Row],[COMISIONES]]*0.21</f>
        <v>0</v>
      </c>
      <c r="V168"/>
      <c r="W168">
        <v>287.41000000000003</v>
      </c>
      <c r="X168"/>
      <c r="Z168" s="21"/>
      <c r="AA168" s="21">
        <f>Tabla35681321293971727475767778771727374757[[#This Row],[COMISIONES]]*0.21</f>
        <v>0</v>
      </c>
      <c r="AB168" s="21">
        <f>Tabla35681321293971727475767778771727374757[[#This Row],[COMISIONES]]*0.105</f>
        <v>0</v>
      </c>
      <c r="AC168" s="21"/>
      <c r="AD168" s="21"/>
      <c r="AF168"/>
      <c r="AG168"/>
      <c r="AH168"/>
      <c r="AI168"/>
      <c r="AJ168"/>
      <c r="AK168"/>
      <c r="AL168"/>
      <c r="AM168"/>
      <c r="AN168"/>
      <c r="AO168"/>
    </row>
    <row r="169" spans="1:41" s="6" customFormat="1" x14ac:dyDescent="0.25">
      <c r="A169"/>
      <c r="B169"/>
      <c r="C169"/>
      <c r="D169"/>
      <c r="E169"/>
      <c r="F169"/>
      <c r="H169"/>
      <c r="I169"/>
      <c r="J169"/>
      <c r="K169"/>
      <c r="L169"/>
      <c r="N169"/>
      <c r="O169"/>
      <c r="P169"/>
      <c r="Q169"/>
      <c r="R169"/>
      <c r="T169"/>
      <c r="U169" s="19">
        <f>Tabla612202833421020305060708090102030405060[[#This Row],[COMISIONES]]*0.21</f>
        <v>0</v>
      </c>
      <c r="V169"/>
      <c r="W169">
        <v>545.17999999999995</v>
      </c>
      <c r="X169"/>
      <c r="Z169" s="4">
        <f>SUBTOTAL(109,Tabla35681321293971727475767778771727374757[COMISIONES])</f>
        <v>0</v>
      </c>
      <c r="AA169" s="4">
        <f>SUBTOTAL(109,Tabla35681321293971727475767778771727374757[IVA 21])</f>
        <v>0</v>
      </c>
      <c r="AB169" s="4">
        <f>SUBTOTAL(109,Tabla35681321293971727475767778771727374757[IVA 10,5])</f>
        <v>0</v>
      </c>
      <c r="AC169" s="4">
        <f>SUBTOTAL(109,Tabla35681321293971727475767778771727374757[Ret IIBB Caba])</f>
        <v>0</v>
      </c>
      <c r="AD169" s="4">
        <f>SUBTOTAL(109,Tabla35681321293971727475767778771727374757[PERC IVA])</f>
        <v>0</v>
      </c>
      <c r="AF169"/>
      <c r="AG169"/>
      <c r="AH169"/>
      <c r="AI169"/>
      <c r="AJ169"/>
      <c r="AK169"/>
      <c r="AL169"/>
      <c r="AM169"/>
      <c r="AN169"/>
      <c r="AO169"/>
    </row>
    <row r="170" spans="1:41" x14ac:dyDescent="0.25">
      <c r="U170" s="19">
        <f>Tabla612202833421020305060708090102030405060[[#This Row],[COMISIONES]]*0.21</f>
        <v>0</v>
      </c>
      <c r="W170">
        <v>62.81</v>
      </c>
    </row>
    <row r="171" spans="1:41" x14ac:dyDescent="0.25">
      <c r="U171" s="19">
        <f>Tabla612202833421020305060708090102030405060[[#This Row],[COMISIONES]]*0.21</f>
        <v>0</v>
      </c>
      <c r="W171">
        <v>46.34</v>
      </c>
    </row>
    <row r="172" spans="1:41" x14ac:dyDescent="0.25">
      <c r="U172" s="19">
        <f>Tabla612202833421020305060708090102030405060[[#This Row],[COMISIONES]]*0.21</f>
        <v>0</v>
      </c>
      <c r="W172">
        <v>68.33</v>
      </c>
    </row>
    <row r="173" spans="1:41" x14ac:dyDescent="0.25">
      <c r="U173" s="19">
        <f>Tabla612202833421020305060708090102030405060[[#This Row],[COMISIONES]]*0.21</f>
        <v>0</v>
      </c>
      <c r="W173">
        <v>67.03</v>
      </c>
    </row>
    <row r="174" spans="1:41" x14ac:dyDescent="0.25">
      <c r="U174" s="19">
        <f>Tabla612202833421020305060708090102030405060[[#This Row],[COMISIONES]]*0.21</f>
        <v>0</v>
      </c>
      <c r="W174">
        <v>77.27</v>
      </c>
    </row>
    <row r="175" spans="1:41" x14ac:dyDescent="0.25">
      <c r="U175" s="19">
        <f>Tabla612202833421020305060708090102030405060[[#This Row],[COMISIONES]]*0.21</f>
        <v>0</v>
      </c>
      <c r="W175">
        <v>128.87</v>
      </c>
    </row>
    <row r="176" spans="1:41" x14ac:dyDescent="0.25">
      <c r="U176" s="19">
        <f>Tabla612202833421020305060708090102030405060[[#This Row],[COMISIONES]]*0.21</f>
        <v>0</v>
      </c>
      <c r="W176">
        <v>342.82</v>
      </c>
    </row>
    <row r="177" spans="21:23" x14ac:dyDescent="0.25">
      <c r="U177" s="19">
        <f>Tabla612202833421020305060708090102030405060[[#This Row],[COMISIONES]]*0.21</f>
        <v>0</v>
      </c>
      <c r="W177">
        <v>41.07</v>
      </c>
    </row>
    <row r="178" spans="21:23" x14ac:dyDescent="0.25">
      <c r="U178" s="19">
        <f>Tabla612202833421020305060708090102030405060[[#This Row],[COMISIONES]]*0.21</f>
        <v>0</v>
      </c>
      <c r="W178">
        <v>82.93</v>
      </c>
    </row>
    <row r="179" spans="21:23" x14ac:dyDescent="0.25">
      <c r="U179" s="19">
        <f>Tabla612202833421020305060708090102030405060[[#This Row],[COMISIONES]]*0.21</f>
        <v>0</v>
      </c>
      <c r="W179">
        <v>102.77</v>
      </c>
    </row>
    <row r="180" spans="21:23" x14ac:dyDescent="0.25">
      <c r="U180" s="19">
        <f>Tabla612202833421020305060708090102030405060[[#This Row],[COMISIONES]]*0.21</f>
        <v>0</v>
      </c>
      <c r="W180">
        <v>79.739999999999995</v>
      </c>
    </row>
    <row r="181" spans="21:23" x14ac:dyDescent="0.25">
      <c r="U181" s="19">
        <f>Tabla612202833421020305060708090102030405060[[#This Row],[COMISIONES]]*0.21</f>
        <v>0</v>
      </c>
      <c r="W181">
        <v>12.37</v>
      </c>
    </row>
    <row r="182" spans="21:23" x14ac:dyDescent="0.25">
      <c r="U182" s="19">
        <f>Tabla612202833421020305060708090102030405060[[#This Row],[COMISIONES]]*0.21</f>
        <v>0</v>
      </c>
      <c r="W182">
        <v>114.83</v>
      </c>
    </row>
    <row r="183" spans="21:23" x14ac:dyDescent="0.25">
      <c r="U183" s="19">
        <f>Tabla612202833421020305060708090102030405060[[#This Row],[COMISIONES]]*0.21</f>
        <v>0</v>
      </c>
      <c r="W183">
        <v>66.510000000000005</v>
      </c>
    </row>
    <row r="184" spans="21:23" x14ac:dyDescent="0.25">
      <c r="U184" s="19">
        <f>Tabla612202833421020305060708090102030405060[[#This Row],[COMISIONES]]*0.21</f>
        <v>0</v>
      </c>
      <c r="W184">
        <v>104.95</v>
      </c>
    </row>
    <row r="185" spans="21:23" x14ac:dyDescent="0.25">
      <c r="U185" s="19">
        <f>Tabla612202833421020305060708090102030405060[[#This Row],[COMISIONES]]*0.21</f>
        <v>0</v>
      </c>
      <c r="W185">
        <v>82.1</v>
      </c>
    </row>
    <row r="186" spans="21:23" x14ac:dyDescent="0.25">
      <c r="U186" s="19">
        <f>Tabla612202833421020305060708090102030405060[[#This Row],[COMISIONES]]*0.21</f>
        <v>0</v>
      </c>
      <c r="W186">
        <v>17.3</v>
      </c>
    </row>
    <row r="187" spans="21:23" x14ac:dyDescent="0.25">
      <c r="U187" s="19">
        <f>Tabla612202833421020305060708090102030405060[[#This Row],[COMISIONES]]*0.21</f>
        <v>0</v>
      </c>
      <c r="W187">
        <v>46.46</v>
      </c>
    </row>
    <row r="188" spans="21:23" x14ac:dyDescent="0.25">
      <c r="U188" s="19">
        <f>Tabla612202833421020305060708090102030405060[[#This Row],[COMISIONES]]*0.21</f>
        <v>0</v>
      </c>
      <c r="W188">
        <v>51.46</v>
      </c>
    </row>
    <row r="189" spans="21:23" x14ac:dyDescent="0.25">
      <c r="U189" s="19">
        <f>Tabla612202833421020305060708090102030405060[[#This Row],[COMISIONES]]*0.21</f>
        <v>0</v>
      </c>
      <c r="W189">
        <v>239.2</v>
      </c>
    </row>
    <row r="190" spans="21:23" x14ac:dyDescent="0.25">
      <c r="U190" s="19">
        <f>Tabla612202833421020305060708090102030405060[[#This Row],[COMISIONES]]*0.21</f>
        <v>0</v>
      </c>
      <c r="W190">
        <v>145.66</v>
      </c>
    </row>
    <row r="191" spans="21:23" x14ac:dyDescent="0.25">
      <c r="U191" s="19">
        <f>Tabla612202833421020305060708090102030405060[[#This Row],[COMISIONES]]*0.21</f>
        <v>0</v>
      </c>
      <c r="W191">
        <v>75.39</v>
      </c>
    </row>
    <row r="192" spans="21:23" x14ac:dyDescent="0.25">
      <c r="U192" s="19">
        <f>Tabla612202833421020305060708090102030405060[[#This Row],[COMISIONES]]*0.21</f>
        <v>0</v>
      </c>
      <c r="W192">
        <v>98.5</v>
      </c>
    </row>
    <row r="193" spans="21:23" x14ac:dyDescent="0.25">
      <c r="U193" s="19">
        <f>Tabla612202833421020305060708090102030405060[[#This Row],[COMISIONES]]*0.21</f>
        <v>0</v>
      </c>
      <c r="W193">
        <v>339.06</v>
      </c>
    </row>
    <row r="194" spans="21:23" x14ac:dyDescent="0.25">
      <c r="U194" s="19">
        <f>Tabla612202833421020305060708090102030405060[[#This Row],[COMISIONES]]*0.21</f>
        <v>0</v>
      </c>
      <c r="W194">
        <v>215.44</v>
      </c>
    </row>
    <row r="195" spans="21:23" x14ac:dyDescent="0.25">
      <c r="U195" s="19">
        <f>Tabla612202833421020305060708090102030405060[[#This Row],[COMISIONES]]*0.21</f>
        <v>0</v>
      </c>
      <c r="W195">
        <v>109.56</v>
      </c>
    </row>
    <row r="196" spans="21:23" x14ac:dyDescent="0.25">
      <c r="U196" s="19">
        <f>Tabla612202833421020305060708090102030405060[[#This Row],[COMISIONES]]*0.21</f>
        <v>0</v>
      </c>
      <c r="W196">
        <v>44.76</v>
      </c>
    </row>
    <row r="197" spans="21:23" x14ac:dyDescent="0.25">
      <c r="U197" s="19">
        <f>Tabla612202833421020305060708090102030405060[[#This Row],[COMISIONES]]*0.21</f>
        <v>0</v>
      </c>
      <c r="W197">
        <v>75.569999999999993</v>
      </c>
    </row>
    <row r="198" spans="21:23" x14ac:dyDescent="0.25">
      <c r="U198" s="19">
        <f>Tabla612202833421020305060708090102030405060[[#This Row],[COMISIONES]]*0.21</f>
        <v>0</v>
      </c>
      <c r="W198">
        <v>247.33</v>
      </c>
    </row>
    <row r="199" spans="21:23" x14ac:dyDescent="0.25">
      <c r="U199" s="19">
        <f>Tabla612202833421020305060708090102030405060[[#This Row],[COMISIONES]]*0.21</f>
        <v>0</v>
      </c>
      <c r="W199">
        <v>40.9</v>
      </c>
    </row>
    <row r="200" spans="21:23" x14ac:dyDescent="0.25">
      <c r="U200" s="19">
        <f>Tabla612202833421020305060708090102030405060[[#This Row],[COMISIONES]]*0.21</f>
        <v>0</v>
      </c>
      <c r="W200">
        <v>88.53</v>
      </c>
    </row>
    <row r="201" spans="21:23" x14ac:dyDescent="0.25">
      <c r="U201" s="19">
        <f>Tabla612202833421020305060708090102030405060[[#This Row],[COMISIONES]]*0.21</f>
        <v>0</v>
      </c>
      <c r="W201">
        <v>257.75</v>
      </c>
    </row>
    <row r="202" spans="21:23" x14ac:dyDescent="0.25">
      <c r="U202" s="19">
        <f>Tabla612202833421020305060708090102030405060[[#This Row],[COMISIONES]]*0.21</f>
        <v>0</v>
      </c>
      <c r="W202">
        <v>153.28</v>
      </c>
    </row>
    <row r="203" spans="21:23" x14ac:dyDescent="0.25">
      <c r="U203" s="19">
        <f>Tabla612202833421020305060708090102030405060[[#This Row],[COMISIONES]]*0.21</f>
        <v>0</v>
      </c>
      <c r="W203">
        <v>19.07</v>
      </c>
    </row>
    <row r="204" spans="21:23" x14ac:dyDescent="0.25">
      <c r="U204" s="19">
        <f>Tabla612202833421020305060708090102030405060[[#This Row],[COMISIONES]]*0.21</f>
        <v>0</v>
      </c>
      <c r="W204">
        <v>13.36</v>
      </c>
    </row>
    <row r="205" spans="21:23" x14ac:dyDescent="0.25">
      <c r="U205" s="19">
        <f>Tabla612202833421020305060708090102030405060[[#This Row],[COMISIONES]]*0.21</f>
        <v>0</v>
      </c>
      <c r="W205">
        <v>165.86</v>
      </c>
    </row>
    <row r="206" spans="21:23" x14ac:dyDescent="0.25">
      <c r="U206" s="19">
        <f>Tabla612202833421020305060708090102030405060[[#This Row],[COMISIONES]]*0.21</f>
        <v>0</v>
      </c>
      <c r="W206">
        <v>109.98</v>
      </c>
    </row>
    <row r="207" spans="21:23" x14ac:dyDescent="0.25">
      <c r="U207" s="19">
        <f>Tabla612202833421020305060708090102030405060[[#This Row],[COMISIONES]]*0.21</f>
        <v>0</v>
      </c>
      <c r="W207">
        <v>126.09</v>
      </c>
    </row>
    <row r="208" spans="21:23" x14ac:dyDescent="0.25">
      <c r="U208" s="19">
        <f>Tabla612202833421020305060708090102030405060[[#This Row],[COMISIONES]]*0.21</f>
        <v>0</v>
      </c>
      <c r="W208">
        <v>210.89</v>
      </c>
    </row>
    <row r="209" spans="21:23" x14ac:dyDescent="0.25">
      <c r="U209" s="19">
        <f>Tabla612202833421020305060708090102030405060[[#This Row],[COMISIONES]]*0.21</f>
        <v>0</v>
      </c>
      <c r="W209">
        <v>89.89</v>
      </c>
    </row>
    <row r="210" spans="21:23" x14ac:dyDescent="0.25">
      <c r="U210" s="19">
        <f>Tabla612202833421020305060708090102030405060[[#This Row],[COMISIONES]]*0.21</f>
        <v>0</v>
      </c>
      <c r="W210">
        <v>298.32</v>
      </c>
    </row>
    <row r="211" spans="21:23" x14ac:dyDescent="0.25">
      <c r="U211" s="19">
        <f>Tabla612202833421020305060708090102030405060[[#This Row],[COMISIONES]]*0.21</f>
        <v>0</v>
      </c>
      <c r="W211">
        <v>404.37</v>
      </c>
    </row>
    <row r="212" spans="21:23" x14ac:dyDescent="0.25">
      <c r="U212" s="19">
        <f>Tabla612202833421020305060708090102030405060[[#This Row],[COMISIONES]]*0.21</f>
        <v>0</v>
      </c>
      <c r="W212">
        <v>481.95</v>
      </c>
    </row>
    <row r="213" spans="21:23" x14ac:dyDescent="0.25">
      <c r="U213" s="19">
        <f>Tabla612202833421020305060708090102030405060[[#This Row],[COMISIONES]]*0.21</f>
        <v>0</v>
      </c>
      <c r="W213">
        <v>58</v>
      </c>
    </row>
    <row r="214" spans="21:23" x14ac:dyDescent="0.25">
      <c r="U214" s="19">
        <f>Tabla612202833421020305060708090102030405060[[#This Row],[COMISIONES]]*0.21</f>
        <v>0</v>
      </c>
      <c r="W214">
        <v>89.46</v>
      </c>
    </row>
    <row r="215" spans="21:23" x14ac:dyDescent="0.25">
      <c r="U215" s="19">
        <f>Tabla612202833421020305060708090102030405060[[#This Row],[COMISIONES]]*0.21</f>
        <v>0</v>
      </c>
      <c r="W215">
        <v>395.38</v>
      </c>
    </row>
    <row r="216" spans="21:23" x14ac:dyDescent="0.25">
      <c r="U216" s="19">
        <f>Tabla612202833421020305060708090102030405060[[#This Row],[COMISIONES]]*0.21</f>
        <v>0</v>
      </c>
      <c r="W216">
        <v>155.71</v>
      </c>
    </row>
    <row r="217" spans="21:23" x14ac:dyDescent="0.25">
      <c r="U217" s="19">
        <f>Tabla612202833421020305060708090102030405060[[#This Row],[COMISIONES]]*0.21</f>
        <v>0</v>
      </c>
      <c r="W217">
        <v>164.42</v>
      </c>
    </row>
    <row r="218" spans="21:23" x14ac:dyDescent="0.25">
      <c r="U218" s="19">
        <f>Tabla612202833421020305060708090102030405060[[#This Row],[COMISIONES]]*0.21</f>
        <v>0</v>
      </c>
      <c r="W218">
        <v>21.75</v>
      </c>
    </row>
    <row r="219" spans="21:23" x14ac:dyDescent="0.25">
      <c r="U219" s="19">
        <f>Tabla612202833421020305060708090102030405060[[#This Row],[COMISIONES]]*0.21</f>
        <v>0</v>
      </c>
      <c r="W219">
        <v>77.349999999999994</v>
      </c>
    </row>
    <row r="220" spans="21:23" x14ac:dyDescent="0.25">
      <c r="U220" s="19">
        <f>Tabla612202833421020305060708090102030405060[[#This Row],[COMISIONES]]*0.21</f>
        <v>0</v>
      </c>
      <c r="W220">
        <v>204.46</v>
      </c>
    </row>
    <row r="221" spans="21:23" x14ac:dyDescent="0.25">
      <c r="U221" s="19">
        <f>Tabla612202833421020305060708090102030405060[[#This Row],[COMISIONES]]*0.21</f>
        <v>0</v>
      </c>
      <c r="W221">
        <v>211.63</v>
      </c>
    </row>
    <row r="222" spans="21:23" x14ac:dyDescent="0.25">
      <c r="U222" s="19">
        <f>Tabla612202833421020305060708090102030405060[[#This Row],[COMISIONES]]*0.21</f>
        <v>0</v>
      </c>
      <c r="W222">
        <v>28.52</v>
      </c>
    </row>
    <row r="223" spans="21:23" x14ac:dyDescent="0.25">
      <c r="U223" s="19">
        <f>Tabla612202833421020305060708090102030405060[[#This Row],[COMISIONES]]*0.21</f>
        <v>0</v>
      </c>
      <c r="W223">
        <v>11.53</v>
      </c>
    </row>
    <row r="224" spans="21:23" x14ac:dyDescent="0.25">
      <c r="U224" s="19">
        <f>Tabla612202833421020305060708090102030405060[[#This Row],[COMISIONES]]*0.21</f>
        <v>0</v>
      </c>
      <c r="W224">
        <v>219.15</v>
      </c>
    </row>
    <row r="225" spans="21:23" x14ac:dyDescent="0.25">
      <c r="U225" s="19">
        <f>Tabla612202833421020305060708090102030405060[[#This Row],[COMISIONES]]*0.21</f>
        <v>0</v>
      </c>
      <c r="W225">
        <v>392.77</v>
      </c>
    </row>
    <row r="226" spans="21:23" x14ac:dyDescent="0.25">
      <c r="U226" s="19">
        <f>Tabla612202833421020305060708090102030405060[[#This Row],[COMISIONES]]*0.21</f>
        <v>0</v>
      </c>
      <c r="W226">
        <v>48.77</v>
      </c>
    </row>
    <row r="227" spans="21:23" x14ac:dyDescent="0.25">
      <c r="U227" s="19">
        <f>Tabla612202833421020305060708090102030405060[[#This Row],[COMISIONES]]*0.21</f>
        <v>0</v>
      </c>
      <c r="W227">
        <v>185.15</v>
      </c>
    </row>
    <row r="228" spans="21:23" x14ac:dyDescent="0.25">
      <c r="U228" s="19">
        <f>Tabla612202833421020305060708090102030405060[[#This Row],[COMISIONES]]*0.21</f>
        <v>0</v>
      </c>
      <c r="W228">
        <v>139.69</v>
      </c>
    </row>
    <row r="229" spans="21:23" x14ac:dyDescent="0.25">
      <c r="U229" s="19">
        <f>Tabla612202833421020305060708090102030405060[[#This Row],[COMISIONES]]*0.21</f>
        <v>0</v>
      </c>
      <c r="W229">
        <v>100.61</v>
      </c>
    </row>
    <row r="230" spans="21:23" x14ac:dyDescent="0.25">
      <c r="U230" s="19">
        <f>Tabla612202833421020305060708090102030405060[[#This Row],[COMISIONES]]*0.21</f>
        <v>0</v>
      </c>
      <c r="W230">
        <v>148.18</v>
      </c>
    </row>
    <row r="231" spans="21:23" x14ac:dyDescent="0.25">
      <c r="U231" s="19">
        <f>Tabla612202833421020305060708090102030405060[[#This Row],[COMISIONES]]*0.21</f>
        <v>0</v>
      </c>
      <c r="W231">
        <v>220.68</v>
      </c>
    </row>
    <row r="232" spans="21:23" x14ac:dyDescent="0.25">
      <c r="U232" s="19">
        <f>Tabla612202833421020305060708090102030405060[[#This Row],[COMISIONES]]*0.21</f>
        <v>0</v>
      </c>
      <c r="W232">
        <v>84.38</v>
      </c>
    </row>
    <row r="233" spans="21:23" x14ac:dyDescent="0.25">
      <c r="U233" s="19">
        <f>Tabla612202833421020305060708090102030405060[[#This Row],[COMISIONES]]*0.21</f>
        <v>0</v>
      </c>
      <c r="W233">
        <v>167.79</v>
      </c>
    </row>
    <row r="234" spans="21:23" x14ac:dyDescent="0.25">
      <c r="U234" s="19">
        <f>Tabla612202833421020305060708090102030405060[[#This Row],[COMISIONES]]*0.21</f>
        <v>0</v>
      </c>
      <c r="W234">
        <v>9.51</v>
      </c>
    </row>
    <row r="235" spans="21:23" x14ac:dyDescent="0.25">
      <c r="U235" s="19">
        <f>Tabla612202833421020305060708090102030405060[[#This Row],[COMISIONES]]*0.21</f>
        <v>0</v>
      </c>
      <c r="W235">
        <v>200.84</v>
      </c>
    </row>
    <row r="236" spans="21:23" x14ac:dyDescent="0.25">
      <c r="U236" s="19">
        <f>Tabla612202833421020305060708090102030405060[[#This Row],[COMISIONES]]*0.21</f>
        <v>0</v>
      </c>
      <c r="W236">
        <v>83.73</v>
      </c>
    </row>
    <row r="237" spans="21:23" x14ac:dyDescent="0.25">
      <c r="U237" s="19">
        <f>Tabla612202833421020305060708090102030405060[[#This Row],[COMISIONES]]*0.21</f>
        <v>0</v>
      </c>
      <c r="W237">
        <v>82.93</v>
      </c>
    </row>
    <row r="238" spans="21:23" x14ac:dyDescent="0.25">
      <c r="U238" s="19">
        <f>Tabla612202833421020305060708090102030405060[[#This Row],[COMISIONES]]*0.21</f>
        <v>0</v>
      </c>
      <c r="W238">
        <v>36.24</v>
      </c>
    </row>
    <row r="239" spans="21:23" x14ac:dyDescent="0.25">
      <c r="U239" s="19">
        <f>Tabla612202833421020305060708090102030405060[[#This Row],[COMISIONES]]*0.21</f>
        <v>0</v>
      </c>
      <c r="W239">
        <v>79.739999999999995</v>
      </c>
    </row>
    <row r="240" spans="21:23" x14ac:dyDescent="0.25">
      <c r="U240" s="19">
        <f>Tabla612202833421020305060708090102030405060[[#This Row],[COMISIONES]]*0.21</f>
        <v>0</v>
      </c>
      <c r="W240">
        <v>125</v>
      </c>
    </row>
    <row r="241" spans="20:24" x14ac:dyDescent="0.25">
      <c r="U241" s="19">
        <f>Tabla612202833421020305060708090102030405060[[#This Row],[COMISIONES]]*0.21</f>
        <v>0</v>
      </c>
      <c r="W241">
        <v>35.85</v>
      </c>
    </row>
    <row r="242" spans="20:24" x14ac:dyDescent="0.25">
      <c r="U242" s="19">
        <f>Tabla612202833421020305060708090102030405060[[#This Row],[COMISIONES]]*0.21</f>
        <v>0</v>
      </c>
      <c r="W242">
        <v>84</v>
      </c>
    </row>
    <row r="243" spans="20:24" x14ac:dyDescent="0.25">
      <c r="U243" s="19">
        <f>Tabla612202833421020305060708090102030405060[[#This Row],[COMISIONES]]*0.21</f>
        <v>0</v>
      </c>
      <c r="W243">
        <v>64.739999999999995</v>
      </c>
    </row>
    <row r="244" spans="20:24" x14ac:dyDescent="0.25">
      <c r="U244" s="19">
        <f>Tabla612202833421020305060708090102030405060[[#This Row],[COMISIONES]]*0.21</f>
        <v>0</v>
      </c>
      <c r="W244">
        <v>133.91</v>
      </c>
    </row>
    <row r="245" spans="20:24" x14ac:dyDescent="0.25">
      <c r="U245" s="19">
        <f>Tabla612202833421020305060708090102030405060[[#This Row],[COMISIONES]]*0.21</f>
        <v>0</v>
      </c>
      <c r="W245">
        <v>108.72</v>
      </c>
    </row>
    <row r="246" spans="20:24" x14ac:dyDescent="0.25">
      <c r="U246" s="19">
        <f>Tabla612202833421020305060708090102030405060[[#This Row],[COMISIONES]]*0.21</f>
        <v>0</v>
      </c>
    </row>
    <row r="247" spans="20:24" x14ac:dyDescent="0.25">
      <c r="U247" s="19">
        <f>Tabla612202833421020305060708090102030405060[[#This Row],[COMISIONES]]*0.21</f>
        <v>0</v>
      </c>
    </row>
    <row r="248" spans="20:24" x14ac:dyDescent="0.25">
      <c r="U248" s="19">
        <f>Tabla612202833421020305060708090102030405060[[#This Row],[COMISIONES]]*0.21</f>
        <v>0</v>
      </c>
    </row>
    <row r="249" spans="20:24" x14ac:dyDescent="0.25">
      <c r="U249" s="19">
        <f>Tabla612202833421020305060708090102030405060[[#This Row],[COMISIONES]]*0.21</f>
        <v>0</v>
      </c>
    </row>
    <row r="250" spans="20:24" x14ac:dyDescent="0.25">
      <c r="U250" s="19">
        <f>Tabla612202833421020305060708090102030405060[[#This Row],[COMISIONES]]*0.21</f>
        <v>0</v>
      </c>
    </row>
    <row r="251" spans="20:24" x14ac:dyDescent="0.25">
      <c r="U251" s="19">
        <f>Tabla612202833421020305060708090102030405060[[#This Row],[COMISIONES]]*0.21</f>
        <v>0</v>
      </c>
    </row>
    <row r="252" spans="20:24" x14ac:dyDescent="0.25">
      <c r="U252" s="19">
        <f>Tabla612202833421020305060708090102030405060[[#This Row],[COMISIONES]]*0.21</f>
        <v>0</v>
      </c>
    </row>
    <row r="253" spans="20:24" x14ac:dyDescent="0.25">
      <c r="T253" s="4">
        <f>SUBTOTAL(109,Tabla612202833421020305060708090102030405060[COMISIONES])</f>
        <v>48096.86</v>
      </c>
      <c r="U253" s="4">
        <f>SUBTOTAL(109,Tabla612202833421020305060708090102030405060[IVA 21])</f>
        <v>10080</v>
      </c>
      <c r="V253" s="4">
        <f>SUBTOTAL(109,Tabla612202833421020305060708090102030405060[IVA 10,5])</f>
        <v>10.170299999999999</v>
      </c>
      <c r="W253" s="4">
        <f>SUBTOTAL(109,Tabla612202833421020305060708090102030405060[Ret IIBB Caba])</f>
        <v>29724.830000000009</v>
      </c>
      <c r="X253" s="4">
        <f>SUBTOTAL(109,Tabla612202833421020305060708090102030405060[PERC IVA])</f>
        <v>1440</v>
      </c>
    </row>
  </sheetData>
  <mergeCells count="13">
    <mergeCell ref="N14:R14"/>
    <mergeCell ref="H54:L54"/>
    <mergeCell ref="G2:H2"/>
    <mergeCell ref="J2:K2"/>
    <mergeCell ref="G12:H12"/>
    <mergeCell ref="B14:F14"/>
    <mergeCell ref="H14:L14"/>
    <mergeCell ref="T64:X64"/>
    <mergeCell ref="T14:X14"/>
    <mergeCell ref="AF14:AJ14"/>
    <mergeCell ref="AK14:AO14"/>
    <mergeCell ref="T32:X32"/>
    <mergeCell ref="Z14:AD14"/>
  </mergeCells>
  <pageMargins left="0.7" right="0.7" top="0.75" bottom="0.75" header="0.3" footer="0.3"/>
  <pageSetup paperSize="9" orientation="portrait" horizontalDpi="300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18580-1CFB-4995-B472-A1AF7B4CEA54}">
  <dimension ref="A1:AE249"/>
  <sheetViews>
    <sheetView showGridLines="0" zoomScale="115" zoomScaleNormal="115" workbookViewId="0">
      <selection activeCell="F15" sqref="F15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4" bestFit="1" customWidth="1"/>
    <col min="4" max="4" width="12.140625" bestFit="1" customWidth="1"/>
    <col min="5" max="5" width="11.5703125" customWidth="1"/>
    <col min="6" max="6" width="13" bestFit="1" customWidth="1"/>
    <col min="7" max="7" width="13" customWidth="1"/>
    <col min="8" max="8" width="2.5703125" style="6" customWidth="1"/>
    <col min="9" max="9" width="12.7109375" customWidth="1"/>
    <col min="12" max="12" width="12.85546875" customWidth="1"/>
    <col min="14" max="14" width="2.5703125" style="6" customWidth="1"/>
    <col min="15" max="15" width="15.42578125" bestFit="1" customWidth="1"/>
    <col min="16" max="16" width="12.28515625" bestFit="1" customWidth="1"/>
    <col min="18" max="18" width="15.7109375" bestFit="1" customWidth="1"/>
    <col min="20" max="20" width="2.85546875" style="6" customWidth="1"/>
    <col min="26" max="26" width="3.140625" style="6" customWidth="1"/>
    <col min="27" max="27" width="13.85546875" customWidth="1"/>
    <col min="30" max="30" width="14" customWidth="1"/>
  </cols>
  <sheetData>
    <row r="1" spans="1:31" x14ac:dyDescent="0.25">
      <c r="H1"/>
      <c r="N1"/>
      <c r="T1" s="50"/>
      <c r="Z1" s="50"/>
    </row>
    <row r="2" spans="1:31" x14ac:dyDescent="0.25">
      <c r="C2" s="15" t="s">
        <v>2</v>
      </c>
      <c r="D2" s="16" t="s">
        <v>0</v>
      </c>
      <c r="E2" s="16" t="s">
        <v>1</v>
      </c>
      <c r="F2" s="16" t="s">
        <v>3</v>
      </c>
      <c r="G2" s="37" t="s">
        <v>20</v>
      </c>
      <c r="H2"/>
      <c r="N2"/>
      <c r="T2" s="50"/>
      <c r="Z2" s="50"/>
    </row>
    <row r="3" spans="1:31" x14ac:dyDescent="0.25">
      <c r="B3" s="25" t="str">
        <f>+B10</f>
        <v>Extracto Santander</v>
      </c>
      <c r="C3" s="14">
        <v>66803.72</v>
      </c>
      <c r="D3" s="14">
        <v>14026.95</v>
      </c>
      <c r="E3" s="14">
        <v>0.91560000000000008</v>
      </c>
      <c r="F3" s="14">
        <v>4007.7</v>
      </c>
      <c r="G3" s="38">
        <v>2003.85</v>
      </c>
      <c r="H3"/>
      <c r="I3" t="s">
        <v>5</v>
      </c>
      <c r="N3"/>
      <c r="T3" s="50"/>
      <c r="Z3" s="50"/>
    </row>
    <row r="4" spans="1:31" x14ac:dyDescent="0.25">
      <c r="B4" s="25" t="str">
        <f>+I10</f>
        <v>BBVA VISA</v>
      </c>
      <c r="C4" s="14">
        <v>8156.1299999999992</v>
      </c>
      <c r="D4" s="14">
        <v>1388.4296999999999</v>
      </c>
      <c r="E4" s="14">
        <v>162.1788</v>
      </c>
      <c r="F4" s="14">
        <v>4362.3900000000003</v>
      </c>
      <c r="G4" s="38">
        <v>198.35</v>
      </c>
      <c r="H4"/>
      <c r="N4"/>
      <c r="T4" s="50"/>
      <c r="Z4" s="50"/>
    </row>
    <row r="5" spans="1:31" x14ac:dyDescent="0.25">
      <c r="B5" s="25" t="s">
        <v>14</v>
      </c>
      <c r="C5" s="14">
        <v>87880.89</v>
      </c>
      <c r="D5" s="14">
        <v>17787</v>
      </c>
      <c r="E5" s="14">
        <v>333.99345</v>
      </c>
      <c r="F5" s="14">
        <v>4984.8500000000004</v>
      </c>
      <c r="G5" s="14">
        <v>2444.71</v>
      </c>
      <c r="H5"/>
      <c r="N5"/>
      <c r="T5" s="50"/>
      <c r="Z5" s="50"/>
    </row>
    <row r="6" spans="1:31" x14ac:dyDescent="0.25">
      <c r="B6" s="28" t="s">
        <v>22</v>
      </c>
      <c r="C6" s="14">
        <v>49109.81</v>
      </c>
      <c r="D6" s="14">
        <v>10080</v>
      </c>
      <c r="E6" s="14">
        <v>116.53004999999999</v>
      </c>
      <c r="F6" s="14">
        <v>2880</v>
      </c>
      <c r="G6" s="38">
        <v>1440</v>
      </c>
      <c r="H6"/>
      <c r="N6"/>
      <c r="T6" s="50"/>
      <c r="Z6" s="50"/>
    </row>
    <row r="7" spans="1:31" x14ac:dyDescent="0.25">
      <c r="B7" s="28" t="s">
        <v>13</v>
      </c>
      <c r="C7" s="14">
        <v>19172.669999999998</v>
      </c>
      <c r="D7" s="14">
        <v>4026.2606999999994</v>
      </c>
      <c r="E7" s="14"/>
      <c r="F7" s="14"/>
      <c r="G7" s="38">
        <v>575.17999999999995</v>
      </c>
      <c r="H7"/>
      <c r="N7"/>
      <c r="T7" s="50"/>
      <c r="Z7" s="50"/>
    </row>
    <row r="8" spans="1:31" x14ac:dyDescent="0.25">
      <c r="A8" s="26"/>
      <c r="B8" s="26"/>
      <c r="C8" s="27">
        <f>SUM(C3:C7)</f>
        <v>231123.21999999997</v>
      </c>
      <c r="D8" s="27">
        <f>SUM(D3:D7)</f>
        <v>47308.640400000004</v>
      </c>
      <c r="E8" s="27">
        <f>SUM(E3:E7)</f>
        <v>613.61789999999996</v>
      </c>
      <c r="F8" s="27">
        <f>SUM(F3:F7)</f>
        <v>16234.94</v>
      </c>
      <c r="G8" s="27"/>
      <c r="H8"/>
      <c r="N8"/>
      <c r="T8" s="50"/>
      <c r="Z8" s="50"/>
    </row>
    <row r="9" spans="1:31" x14ac:dyDescent="0.25">
      <c r="A9" s="26"/>
      <c r="B9" s="26"/>
      <c r="H9"/>
      <c r="N9"/>
      <c r="T9" s="50"/>
      <c r="Z9" s="50"/>
    </row>
    <row r="10" spans="1:31" ht="16.5" customHeight="1" x14ac:dyDescent="0.3">
      <c r="B10" s="52" t="s">
        <v>10</v>
      </c>
      <c r="C10" s="52"/>
      <c r="D10" s="52"/>
      <c r="E10" s="52"/>
      <c r="F10" s="52"/>
      <c r="G10" s="39"/>
      <c r="I10" s="52" t="s">
        <v>11</v>
      </c>
      <c r="J10" s="52"/>
      <c r="K10" s="52"/>
      <c r="L10" s="52"/>
      <c r="M10" s="52"/>
      <c r="O10" s="52" t="s">
        <v>21</v>
      </c>
      <c r="P10" s="52"/>
      <c r="Q10" s="52"/>
      <c r="R10" s="52"/>
      <c r="S10" s="52"/>
      <c r="T10" s="43"/>
      <c r="U10" s="52" t="s">
        <v>14</v>
      </c>
      <c r="V10" s="52"/>
      <c r="W10" s="52"/>
      <c r="X10" s="52"/>
      <c r="Y10" s="52"/>
      <c r="AA10" s="52" t="s">
        <v>13</v>
      </c>
      <c r="AB10" s="52"/>
      <c r="AC10" s="52"/>
      <c r="AD10" s="52"/>
      <c r="AE10" s="52"/>
    </row>
    <row r="11" spans="1:31" s="5" customFormat="1" x14ac:dyDescent="0.25">
      <c r="B11" s="10" t="s">
        <v>2</v>
      </c>
      <c r="C11" s="9" t="s">
        <v>0</v>
      </c>
      <c r="D11" s="9" t="s">
        <v>1</v>
      </c>
      <c r="E11" s="9" t="s">
        <v>3</v>
      </c>
      <c r="F11" s="9" t="s">
        <v>4</v>
      </c>
      <c r="G11" s="9"/>
      <c r="H11" s="7"/>
      <c r="I11" s="12" t="s">
        <v>2</v>
      </c>
      <c r="J11" s="13" t="s">
        <v>0</v>
      </c>
      <c r="K11" s="13" t="s">
        <v>1</v>
      </c>
      <c r="L11" s="13" t="s">
        <v>3</v>
      </c>
      <c r="M11" s="13" t="s">
        <v>4</v>
      </c>
      <c r="N11" s="7"/>
      <c r="O11" s="12" t="s">
        <v>2</v>
      </c>
      <c r="P11" s="13" t="s">
        <v>0</v>
      </c>
      <c r="Q11" s="13" t="s">
        <v>1</v>
      </c>
      <c r="R11" s="13" t="s">
        <v>3</v>
      </c>
      <c r="S11" s="13" t="s">
        <v>4</v>
      </c>
      <c r="T11" s="44"/>
      <c r="U11" s="12" t="s">
        <v>2</v>
      </c>
      <c r="V11" s="13" t="s">
        <v>0</v>
      </c>
      <c r="W11" s="13" t="s">
        <v>1</v>
      </c>
      <c r="X11" s="13" t="s">
        <v>3</v>
      </c>
      <c r="Y11" s="13" t="s">
        <v>4</v>
      </c>
      <c r="Z11" s="51"/>
      <c r="AA11" s="5" t="s">
        <v>2</v>
      </c>
      <c r="AB11" s="5" t="s">
        <v>0</v>
      </c>
      <c r="AC11" s="5" t="s">
        <v>1</v>
      </c>
      <c r="AD11" s="5" t="s">
        <v>3</v>
      </c>
      <c r="AE11" s="5" t="s">
        <v>4</v>
      </c>
    </row>
    <row r="12" spans="1:31" x14ac:dyDescent="0.25">
      <c r="B12" s="2">
        <v>53300</v>
      </c>
      <c r="C12" s="2">
        <f>Tabla131624322122233526272822122232425262[[#This Row],[COMISIONES]]*0.21</f>
        <v>11193</v>
      </c>
      <c r="D12" s="3" t="s">
        <v>18</v>
      </c>
      <c r="E12" s="3">
        <v>3198</v>
      </c>
      <c r="F12" s="1">
        <v>1599</v>
      </c>
      <c r="G12" s="1"/>
      <c r="H12" s="8"/>
      <c r="I12" s="3">
        <v>6611.57</v>
      </c>
      <c r="J12" s="11">
        <f>Tabla35101826364142444546474844142434445464[[#This Row],[COMISIONES]]*0.21</f>
        <v>1388.4296999999999</v>
      </c>
      <c r="K12" s="11"/>
      <c r="L12" s="1">
        <v>4150.79</v>
      </c>
      <c r="M12">
        <v>198.35</v>
      </c>
      <c r="N12" s="8"/>
      <c r="O12" s="3">
        <v>48000</v>
      </c>
      <c r="P12" s="11">
        <f>Tabla356813142230408182848586878888182838485868[[#This Row],[COMISIONES]]*0.21</f>
        <v>10080</v>
      </c>
      <c r="Q12" s="11"/>
      <c r="R12" s="1">
        <v>2880</v>
      </c>
      <c r="S12" s="11">
        <v>1440</v>
      </c>
      <c r="T12" s="45"/>
      <c r="U12" s="11">
        <v>3180.89</v>
      </c>
      <c r="V12" s="11" t="s">
        <v>18</v>
      </c>
      <c r="W12" s="11">
        <f>Tabla3561119273443112131516171819111213141516171[[#This Row],[COMISIONES]]*0.105</f>
        <v>333.99345</v>
      </c>
      <c r="X12" s="11">
        <v>190.85</v>
      </c>
      <c r="Y12" s="11">
        <v>47.71</v>
      </c>
      <c r="AA12" s="3">
        <v>19172.669999999998</v>
      </c>
      <c r="AB12" s="3">
        <f>Tabla73[[#This Row],[COMISIONES]]*0.21</f>
        <v>4026.2606999999994</v>
      </c>
      <c r="AC12" s="3"/>
      <c r="AD12" s="3"/>
      <c r="AE12" s="3">
        <v>575.17999999999995</v>
      </c>
    </row>
    <row r="13" spans="1:31" x14ac:dyDescent="0.25">
      <c r="B13" s="3">
        <v>13495</v>
      </c>
      <c r="C13" s="2">
        <f>Tabla131624322122233526272822122232425262[[#This Row],[COMISIONES]]*0.21</f>
        <v>2833.95</v>
      </c>
      <c r="D13" s="3" t="s">
        <v>18</v>
      </c>
      <c r="E13" s="3">
        <v>809.7</v>
      </c>
      <c r="F13" s="3">
        <v>404.85</v>
      </c>
      <c r="G13" s="3"/>
      <c r="H13" s="8"/>
      <c r="I13" s="11">
        <v>1544.56</v>
      </c>
      <c r="J13" s="11" t="s">
        <v>18</v>
      </c>
      <c r="K13" s="11">
        <f>Tabla35101826364142444546474844142434445464[[#This Row],[COMISIONES]]*0.105</f>
        <v>162.1788</v>
      </c>
      <c r="L13" s="1">
        <v>211.6</v>
      </c>
      <c r="N13" s="8"/>
      <c r="O13" s="11">
        <v>1109.81</v>
      </c>
      <c r="P13" s="11" t="s">
        <v>18</v>
      </c>
      <c r="Q13" s="11">
        <f>Tabla356813142230408182848586878888182838485868[[#This Row],[COMISIONES]]*0.105</f>
        <v>116.53004999999999</v>
      </c>
      <c r="R13" s="11"/>
      <c r="S13" s="11"/>
      <c r="T13" s="45"/>
      <c r="U13" s="11">
        <v>20900</v>
      </c>
      <c r="V13" s="11">
        <f>Tabla3561119273443112131516171819111213141516171[[#This Row],[COMISIONES]]*0.21</f>
        <v>4389</v>
      </c>
      <c r="W13" s="11" t="s">
        <v>18</v>
      </c>
      <c r="X13" s="11">
        <v>1254</v>
      </c>
      <c r="Y13" s="11">
        <v>627</v>
      </c>
      <c r="AA13" s="3"/>
      <c r="AB13" s="3">
        <f>Tabla73[[#This Row],[COMISIONES]]*0.21</f>
        <v>0</v>
      </c>
      <c r="AC13" s="3"/>
      <c r="AD13" s="3"/>
      <c r="AE13" s="3"/>
    </row>
    <row r="14" spans="1:31" x14ac:dyDescent="0.25">
      <c r="B14" s="3"/>
      <c r="C14" s="2">
        <f>Tabla131624322122233526272822122232425262[[#This Row],[COMISIONES]]*0.21</f>
        <v>0</v>
      </c>
      <c r="D14" s="3" t="s">
        <v>18</v>
      </c>
      <c r="E14" s="3"/>
      <c r="F14" s="3"/>
      <c r="G14" s="3"/>
      <c r="I14" s="1"/>
      <c r="J14" s="11">
        <f>Tabla35101826364142444546474844142434445464[[#This Row],[COMISIONES]]*0.21</f>
        <v>0</v>
      </c>
      <c r="K14" s="11"/>
      <c r="L14" s="11"/>
      <c r="M14" s="23"/>
      <c r="O14" s="11"/>
      <c r="P14" s="11">
        <f>Tabla356813142230408182848586878888182838485868[[#This Row],[COMISIONES]]*0.21</f>
        <v>0</v>
      </c>
      <c r="Q14" s="11"/>
      <c r="R14" s="11"/>
      <c r="S14" s="11"/>
      <c r="T14" s="45"/>
      <c r="U14" s="11">
        <v>59000</v>
      </c>
      <c r="V14" s="11">
        <f>Tabla3561119273443112131516171819111213141516171[[#This Row],[COMISIONES]]*0.21</f>
        <v>12390</v>
      </c>
      <c r="W14" s="11"/>
      <c r="X14" s="11">
        <v>3540</v>
      </c>
      <c r="Y14" s="11">
        <v>1770</v>
      </c>
      <c r="AA14" s="3"/>
      <c r="AB14" s="3">
        <f>Tabla73[[#This Row],[COMISIONES]]*0.21</f>
        <v>0</v>
      </c>
      <c r="AC14" s="3"/>
      <c r="AD14" s="3"/>
      <c r="AE14" s="3"/>
    </row>
    <row r="15" spans="1:31" x14ac:dyDescent="0.25">
      <c r="B15" s="3"/>
      <c r="C15" s="2">
        <f>Tabla131624322122233526272822122232425262[[#This Row],[COMISIONES]]*0.21</f>
        <v>0</v>
      </c>
      <c r="D15" s="3" t="s">
        <v>18</v>
      </c>
      <c r="E15" s="3"/>
      <c r="F15" s="3"/>
      <c r="G15" s="3"/>
      <c r="H15" s="8"/>
      <c r="I15" s="1"/>
      <c r="J15" s="11">
        <f>Tabla35101826364142444546474844142434445464[[#This Row],[COMISIONES]]*0.21</f>
        <v>0</v>
      </c>
      <c r="K15" s="11"/>
      <c r="L15" s="11"/>
      <c r="M15" s="23"/>
      <c r="N15" s="8"/>
      <c r="O15" s="11"/>
      <c r="P15" s="11">
        <f>Tabla356813142230408182848586878888182838485868[[#This Row],[COMISIONES]]*0.21</f>
        <v>0</v>
      </c>
      <c r="Q15" s="11"/>
      <c r="R15" s="11"/>
      <c r="S15" s="11"/>
      <c r="T15" s="45"/>
      <c r="U15" s="11">
        <v>300</v>
      </c>
      <c r="V15" s="11">
        <f>Tabla3561119273443112131516171819111213141516171[[#This Row],[COMISIONES]]*0.21</f>
        <v>63</v>
      </c>
      <c r="W15" s="11"/>
      <c r="X15" s="11"/>
      <c r="Y15" s="11"/>
      <c r="AA15" s="3"/>
      <c r="AB15" s="3">
        <f>Tabla73[[#This Row],[COMISIONES]]*0.21</f>
        <v>0</v>
      </c>
      <c r="AC15" s="3"/>
      <c r="AD15" s="3"/>
      <c r="AE15" s="3"/>
    </row>
    <row r="16" spans="1:31" x14ac:dyDescent="0.25">
      <c r="B16" s="3"/>
      <c r="C16" s="2">
        <f>Tabla131624322122233526272822122232425262[[#This Row],[COMISIONES]]*0.21</f>
        <v>0</v>
      </c>
      <c r="D16" s="3" t="s">
        <v>18</v>
      </c>
      <c r="E16" s="3"/>
      <c r="F16" s="3"/>
      <c r="G16" s="3"/>
      <c r="I16" s="1"/>
      <c r="J16" s="11">
        <f>Tabla35101826364142444546474844142434445464[[#This Row],[COMISIONES]]*0.21</f>
        <v>0</v>
      </c>
      <c r="K16" s="11"/>
      <c r="L16" s="11"/>
      <c r="M16" s="23"/>
      <c r="O16" s="11"/>
      <c r="P16" s="11">
        <f>Tabla356813142230408182848586878888182838485868[[#This Row],[COMISIONES]]*0.21</f>
        <v>0</v>
      </c>
      <c r="Q16" s="11"/>
      <c r="R16" s="11"/>
      <c r="S16" s="11"/>
      <c r="T16" s="45"/>
      <c r="U16" s="11">
        <v>300</v>
      </c>
      <c r="V16" s="11">
        <f>Tabla3561119273443112131516171819111213141516171[[#This Row],[COMISIONES]]*0.21</f>
        <v>63</v>
      </c>
      <c r="W16" s="11"/>
      <c r="X16" s="11"/>
      <c r="Y16" s="11"/>
      <c r="AA16" s="3"/>
      <c r="AB16" s="3">
        <f>Tabla73[[#This Row],[COMISIONES]]*0.21</f>
        <v>0</v>
      </c>
      <c r="AC16" s="3"/>
      <c r="AD16" s="3"/>
      <c r="AE16" s="3"/>
    </row>
    <row r="17" spans="2:31" x14ac:dyDescent="0.25">
      <c r="B17" s="3">
        <v>8.7200000000000006</v>
      </c>
      <c r="C17" s="2" t="s">
        <v>18</v>
      </c>
      <c r="D17" s="3">
        <f>Tabla131624322122233526272822122232425262[[#This Row],[COMISIONES]]*0.105</f>
        <v>0.91560000000000008</v>
      </c>
      <c r="E17" s="3"/>
      <c r="F17" s="3"/>
      <c r="G17" s="3"/>
      <c r="I17" s="11"/>
      <c r="J17" s="11">
        <f>Tabla35101826364142444546474844142434445464[[#This Row],[COMISIONES]]*0.21</f>
        <v>0</v>
      </c>
      <c r="K17" s="11"/>
      <c r="L17" s="11"/>
      <c r="M17" s="11"/>
      <c r="O17" s="11"/>
      <c r="P17" s="11">
        <f>Tabla356813142230408182848586878888182838485868[[#This Row],[COMISIONES]]*0.21</f>
        <v>0</v>
      </c>
      <c r="Q17" s="11"/>
      <c r="R17" s="11"/>
      <c r="S17" s="11"/>
      <c r="T17" s="45"/>
      <c r="U17" s="11">
        <v>300</v>
      </c>
      <c r="V17" s="11">
        <f>Tabla3561119273443112131516171819111213141516171[[#This Row],[COMISIONES]]*0.21</f>
        <v>63</v>
      </c>
      <c r="W17" s="11"/>
      <c r="X17" s="11"/>
      <c r="Y17" s="11"/>
      <c r="AA17" s="3"/>
      <c r="AB17" s="3">
        <f>Tabla73[[#This Row],[COMISIONES]]*0.21</f>
        <v>0</v>
      </c>
      <c r="AC17" s="3"/>
      <c r="AD17" s="3"/>
      <c r="AE17" s="3"/>
    </row>
    <row r="18" spans="2:31" x14ac:dyDescent="0.25">
      <c r="B18" s="3"/>
      <c r="C18" s="2">
        <f>Tabla131624322122233526272822122232425262[[#This Row],[COMISIONES]]*0.21</f>
        <v>0</v>
      </c>
      <c r="D18" s="3">
        <f>Tabla131624322122233526272822122232425262[[#This Row],[COMISIONES]]*0.105</f>
        <v>0</v>
      </c>
      <c r="E18" s="3"/>
      <c r="F18" s="3"/>
      <c r="G18" s="3"/>
      <c r="I18" s="11"/>
      <c r="J18" s="11">
        <f>Tabla35101826364142444546474844142434445464[[#This Row],[COMISIONES]]*0.21</f>
        <v>0</v>
      </c>
      <c r="K18" s="11"/>
      <c r="L18" s="11"/>
      <c r="M18" s="11"/>
      <c r="O18" s="11"/>
      <c r="P18" s="11">
        <f>Tabla356813142230408182848586878888182838485868[[#This Row],[COMISIONES]]*0.21</f>
        <v>0</v>
      </c>
      <c r="Q18" s="11"/>
      <c r="R18" s="11"/>
      <c r="S18" s="11"/>
      <c r="T18" s="45"/>
      <c r="U18" s="11">
        <v>300</v>
      </c>
      <c r="V18" s="11">
        <f>Tabla3561119273443112131516171819111213141516171[[#This Row],[COMISIONES]]*0.21</f>
        <v>63</v>
      </c>
      <c r="W18" s="11"/>
      <c r="X18" s="11"/>
      <c r="Y18" s="11"/>
      <c r="AA18" s="3"/>
      <c r="AB18" s="3">
        <f>Tabla73[[#This Row],[COMISIONES]]*0.21</f>
        <v>0</v>
      </c>
      <c r="AC18" s="3"/>
      <c r="AD18" s="3"/>
      <c r="AE18" s="3"/>
    </row>
    <row r="19" spans="2:31" x14ac:dyDescent="0.25">
      <c r="B19" s="3"/>
      <c r="C19" s="2">
        <f>Tabla131624322122233526272822122232425262[[#This Row],[COMISIONES]]*0.21</f>
        <v>0</v>
      </c>
      <c r="D19" s="3">
        <f>Tabla131624322122233526272822122232425262[[#This Row],[COMISIONES]]*0.105</f>
        <v>0</v>
      </c>
      <c r="E19" s="3"/>
      <c r="F19" s="3"/>
      <c r="G19" s="3"/>
      <c r="I19" s="11"/>
      <c r="J19" s="11">
        <f>Tabla35101826364142444546474844142434445464[[#This Row],[COMISIONES]]*0.21</f>
        <v>0</v>
      </c>
      <c r="K19" s="11"/>
      <c r="L19" s="11"/>
      <c r="M19" s="11"/>
      <c r="O19" s="11"/>
      <c r="P19" s="11">
        <f>Tabla356813142230408182848586878888182838485868[[#This Row],[COMISIONES]]*0.21</f>
        <v>0</v>
      </c>
      <c r="Q19" s="11"/>
      <c r="R19" s="11"/>
      <c r="S19" s="11"/>
      <c r="T19" s="45"/>
      <c r="U19" s="11">
        <v>300</v>
      </c>
      <c r="V19" s="11">
        <f>Tabla3561119273443112131516171819111213141516171[[#This Row],[COMISIONES]]*0.21</f>
        <v>63</v>
      </c>
      <c r="W19" s="11"/>
      <c r="X19" s="11"/>
      <c r="Y19" s="11"/>
      <c r="AA19" s="3"/>
      <c r="AB19" s="3">
        <f>Tabla73[[#This Row],[COMISIONES]]*0.21</f>
        <v>0</v>
      </c>
      <c r="AC19" s="3"/>
      <c r="AD19" s="3"/>
      <c r="AE19" s="3"/>
    </row>
    <row r="20" spans="2:31" x14ac:dyDescent="0.25">
      <c r="B20" s="3"/>
      <c r="C20" s="2">
        <f>Tabla131624322122233526272822122232425262[[#This Row],[COMISIONES]]*0.21</f>
        <v>0</v>
      </c>
      <c r="D20" s="3">
        <f>Tabla131624322122233526272822122232425262[[#This Row],[COMISIONES]]*0.105</f>
        <v>0</v>
      </c>
      <c r="E20" s="3"/>
      <c r="F20" s="3"/>
      <c r="G20" s="3"/>
      <c r="I20" s="11"/>
      <c r="J20" s="11">
        <f>Tabla35101826364142444546474844142434445464[[#This Row],[COMISIONES]]*0.21</f>
        <v>0</v>
      </c>
      <c r="K20" s="11"/>
      <c r="L20" s="11"/>
      <c r="M20" s="11"/>
      <c r="O20" s="11"/>
      <c r="P20" s="11">
        <f>Tabla356813142230408182848586878888182838485868[[#This Row],[COMISIONES]]*0.21</f>
        <v>0</v>
      </c>
      <c r="Q20" s="11"/>
      <c r="R20" s="11"/>
      <c r="S20" s="11"/>
      <c r="T20" s="45"/>
      <c r="U20" s="11">
        <v>300</v>
      </c>
      <c r="V20" s="11">
        <f>Tabla3561119273443112131516171819111213141516171[[#This Row],[COMISIONES]]*0.21</f>
        <v>63</v>
      </c>
      <c r="W20" s="11"/>
      <c r="X20" s="11"/>
      <c r="Y20" s="11"/>
      <c r="AA20" s="3"/>
      <c r="AB20" s="3">
        <f>Tabla73[[#This Row],[COMISIONES]]*0.21</f>
        <v>0</v>
      </c>
      <c r="AC20" s="3"/>
      <c r="AD20" s="3"/>
      <c r="AE20" s="3"/>
    </row>
    <row r="21" spans="2:31" x14ac:dyDescent="0.25">
      <c r="B21" s="3"/>
      <c r="C21" s="2">
        <f>Tabla131624322122233526272822122232425262[[#This Row],[COMISIONES]]*0.21</f>
        <v>0</v>
      </c>
      <c r="D21" s="3">
        <f>Tabla131624322122233526272822122232425262[[#This Row],[COMISIONES]]*0.105</f>
        <v>0</v>
      </c>
      <c r="E21" s="3"/>
      <c r="F21" s="3"/>
      <c r="G21" s="3"/>
      <c r="I21" s="11"/>
      <c r="J21" s="11">
        <f>Tabla35101826364142444546474844142434445464[[#This Row],[COMISIONES]]*0.21</f>
        <v>0</v>
      </c>
      <c r="K21" s="11"/>
      <c r="L21" s="11"/>
      <c r="M21" s="11"/>
      <c r="O21" s="11"/>
      <c r="P21" s="11">
        <f>Tabla356813142230408182848586878888182838485868[[#This Row],[COMISIONES]]*0.21</f>
        <v>0</v>
      </c>
      <c r="Q21" s="11"/>
      <c r="R21" s="11"/>
      <c r="S21" s="11"/>
      <c r="T21" s="45"/>
      <c r="U21" s="11">
        <v>300</v>
      </c>
      <c r="V21" s="11">
        <f>Tabla3561119273443112131516171819111213141516171[[#This Row],[COMISIONES]]*0.21</f>
        <v>63</v>
      </c>
      <c r="W21" s="11"/>
      <c r="X21" s="11"/>
      <c r="Y21" s="11"/>
      <c r="AA21" s="3"/>
      <c r="AB21" s="3">
        <f>Tabla73[[#This Row],[COMISIONES]]*0.21</f>
        <v>0</v>
      </c>
      <c r="AC21" s="3"/>
      <c r="AD21" s="3"/>
      <c r="AE21" s="3"/>
    </row>
    <row r="22" spans="2:31" x14ac:dyDescent="0.25">
      <c r="B22" s="3"/>
      <c r="C22" s="2">
        <f>Tabla131624322122233526272822122232425262[[#This Row],[COMISIONES]]*0.21</f>
        <v>0</v>
      </c>
      <c r="D22" s="3">
        <f>Tabla131624322122233526272822122232425262[[#This Row],[COMISIONES]]*0.105</f>
        <v>0</v>
      </c>
      <c r="E22" s="3"/>
      <c r="F22" s="3"/>
      <c r="G22" s="3"/>
      <c r="I22" s="11"/>
      <c r="J22" s="11">
        <f>Tabla35101826364142444546474844142434445464[[#This Row],[COMISIONES]]*0.21</f>
        <v>0</v>
      </c>
      <c r="K22" s="11"/>
      <c r="L22" s="11"/>
      <c r="M22" s="11"/>
      <c r="O22" s="40"/>
      <c r="P22" s="40">
        <f>Tabla356813142230408182848586878888182838485868[[#This Row],[COMISIONES]]*0.21</f>
        <v>0</v>
      </c>
      <c r="Q22" s="40"/>
      <c r="R22" s="40"/>
      <c r="S22" s="40"/>
      <c r="T22" s="46"/>
      <c r="U22" s="11">
        <v>300</v>
      </c>
      <c r="V22" s="11">
        <f>Tabla3561119273443112131516171819111213141516171[[#This Row],[COMISIONES]]*0.21</f>
        <v>63</v>
      </c>
      <c r="W22" s="11"/>
      <c r="X22" s="11"/>
      <c r="Y22" s="11"/>
      <c r="AA22" s="3"/>
      <c r="AB22" s="3">
        <f>Tabla73[[#This Row],[COMISIONES]]*0.21</f>
        <v>0</v>
      </c>
      <c r="AC22" s="3"/>
      <c r="AD22" s="3"/>
      <c r="AE22" s="3"/>
    </row>
    <row r="23" spans="2:31" x14ac:dyDescent="0.25">
      <c r="B23" s="3"/>
      <c r="C23" s="2">
        <f>Tabla131624322122233526272822122232425262[[#This Row],[COMISIONES]]*0.21</f>
        <v>0</v>
      </c>
      <c r="D23" s="3">
        <f>Tabla131624322122233526272822122232425262[[#This Row],[COMISIONES]]*0.105</f>
        <v>0</v>
      </c>
      <c r="E23" s="3"/>
      <c r="F23" s="3"/>
      <c r="G23" s="3"/>
      <c r="I23" s="11"/>
      <c r="J23" s="11">
        <f>Tabla35101826364142444546474844142434445464[[#This Row],[COMISIONES]]*0.21</f>
        <v>0</v>
      </c>
      <c r="K23" s="11"/>
      <c r="L23" s="11"/>
      <c r="M23" s="11"/>
      <c r="O23" s="40"/>
      <c r="P23" s="40">
        <f>Tabla356813142230408182848586878888182838485868[[#This Row],[COMISIONES]]*0.21</f>
        <v>0</v>
      </c>
      <c r="Q23" s="40"/>
      <c r="R23" s="40"/>
      <c r="S23" s="40"/>
      <c r="T23" s="46"/>
      <c r="U23" s="11">
        <v>300</v>
      </c>
      <c r="V23" s="11">
        <f>Tabla3561119273443112131516171819111213141516171[[#This Row],[COMISIONES]]*0.21</f>
        <v>63</v>
      </c>
      <c r="W23" s="11"/>
      <c r="X23" s="11"/>
      <c r="Y23" s="11"/>
      <c r="AA23" s="3"/>
      <c r="AB23" s="3">
        <f>Tabla73[[#This Row],[COMISIONES]]*0.21</f>
        <v>0</v>
      </c>
      <c r="AC23" s="3"/>
      <c r="AD23" s="3"/>
      <c r="AE23" s="3"/>
    </row>
    <row r="24" spans="2:31" x14ac:dyDescent="0.25">
      <c r="B24" s="3"/>
      <c r="C24" s="2">
        <f>Tabla131624322122233526272822122232425262[[#This Row],[COMISIONES]]*0.21</f>
        <v>0</v>
      </c>
      <c r="D24" s="3">
        <f>Tabla131624322122233526272822122232425262[[#This Row],[COMISIONES]]*0.105</f>
        <v>0</v>
      </c>
      <c r="E24" s="3"/>
      <c r="F24" s="3"/>
      <c r="G24" s="3"/>
      <c r="I24" s="11"/>
      <c r="J24" s="11">
        <f>Tabla35101826364142444546474844142434445464[[#This Row],[COMISIONES]]*0.21</f>
        <v>0</v>
      </c>
      <c r="K24" s="11"/>
      <c r="L24" s="11"/>
      <c r="M24" s="11"/>
      <c r="O24" s="40"/>
      <c r="P24" s="40">
        <f>Tabla356813142230408182848586878888182838485868[[#This Row],[COMISIONES]]*0.21</f>
        <v>0</v>
      </c>
      <c r="Q24" s="40"/>
      <c r="R24" s="40"/>
      <c r="S24" s="40"/>
      <c r="T24" s="46"/>
      <c r="U24" s="11">
        <v>300</v>
      </c>
      <c r="V24" s="11">
        <f>Tabla3561119273443112131516171819111213141516171[[#This Row],[COMISIONES]]*0.21</f>
        <v>63</v>
      </c>
      <c r="W24" s="11"/>
      <c r="X24" s="11"/>
      <c r="Y24" s="11"/>
      <c r="AA24" s="3"/>
      <c r="AB24" s="3">
        <f>Tabla73[[#This Row],[COMISIONES]]*0.21</f>
        <v>0</v>
      </c>
      <c r="AC24" s="3"/>
      <c r="AD24" s="3"/>
      <c r="AE24" s="3"/>
    </row>
    <row r="25" spans="2:31" x14ac:dyDescent="0.25">
      <c r="B25" s="3"/>
      <c r="C25" s="2">
        <f>Tabla131624322122233526272822122232425262[[#This Row],[COMISIONES]]*0.21</f>
        <v>0</v>
      </c>
      <c r="D25" s="3">
        <f>Tabla131624322122233526272822122232425262[[#This Row],[COMISIONES]]*0.105</f>
        <v>0</v>
      </c>
      <c r="E25" s="3"/>
      <c r="F25" s="3"/>
      <c r="G25" s="3"/>
      <c r="I25" s="11"/>
      <c r="J25" s="11">
        <f>Tabla35101826364142444546474844142434445464[[#This Row],[COMISIONES]]*0.21</f>
        <v>0</v>
      </c>
      <c r="K25" s="11"/>
      <c r="L25" s="11"/>
      <c r="M25" s="11"/>
      <c r="O25" s="41"/>
      <c r="P25" s="42">
        <f>Tabla356813142230408182848586878888182838485868[[#This Row],[COMISIONES]]*0.21</f>
        <v>0</v>
      </c>
      <c r="Q25" s="42"/>
      <c r="R25" s="42"/>
      <c r="S25" s="42"/>
      <c r="T25" s="47"/>
      <c r="U25" s="18">
        <v>300</v>
      </c>
      <c r="V25" s="18">
        <f>Tabla3561119273443112131516171819111213141516171[[#This Row],[COMISIONES]]*0.21</f>
        <v>63</v>
      </c>
      <c r="W25" s="18"/>
      <c r="X25" s="18"/>
      <c r="Y25" s="18"/>
      <c r="AA25" s="3"/>
      <c r="AB25" s="3">
        <f>Tabla73[[#This Row],[COMISIONES]]*0.21</f>
        <v>0</v>
      </c>
      <c r="AC25" s="3"/>
      <c r="AD25" s="3"/>
      <c r="AE25" s="3"/>
    </row>
    <row r="26" spans="2:31" x14ac:dyDescent="0.25">
      <c r="B26" s="3"/>
      <c r="C26" s="2">
        <f>Tabla131624322122233526272822122232425262[[#This Row],[COMISIONES]]*0.21</f>
        <v>0</v>
      </c>
      <c r="D26" s="3">
        <f>Tabla131624322122233526272822122232425262[[#This Row],[COMISIONES]]*0.105</f>
        <v>0</v>
      </c>
      <c r="E26" s="3"/>
      <c r="F26" s="3"/>
      <c r="G26" s="3"/>
      <c r="I26" s="11"/>
      <c r="J26" s="11">
        <f>Tabla35101826364142444546474844142434445464[[#This Row],[COMISIONES]]*0.21</f>
        <v>0</v>
      </c>
      <c r="K26" s="11"/>
      <c r="L26" s="11"/>
      <c r="M26" s="11"/>
      <c r="O26" s="40"/>
      <c r="P26" s="40">
        <f>Tabla356813142230408182848586878888182838485868[[#This Row],[COMISIONES]]*0.21</f>
        <v>0</v>
      </c>
      <c r="Q26" s="40"/>
      <c r="R26" s="40"/>
      <c r="S26" s="40"/>
      <c r="T26" s="46"/>
      <c r="U26" s="18">
        <v>300</v>
      </c>
      <c r="V26" s="18">
        <f>Tabla3561119273443112131516171819111213141516171[[#This Row],[COMISIONES]]*0.21</f>
        <v>63</v>
      </c>
      <c r="W26" s="18"/>
      <c r="X26" s="18"/>
      <c r="Y26" s="18"/>
      <c r="AA26" s="3"/>
      <c r="AB26" s="3">
        <f>Tabla73[[#This Row],[COMISIONES]]*0.21</f>
        <v>0</v>
      </c>
      <c r="AC26" s="3"/>
      <c r="AD26" s="3"/>
      <c r="AE26" s="3"/>
    </row>
    <row r="27" spans="2:31" x14ac:dyDescent="0.25">
      <c r="B27" s="3"/>
      <c r="C27" s="2">
        <f>Tabla131624322122233526272822122232425262[[#This Row],[COMISIONES]]*0.21</f>
        <v>0</v>
      </c>
      <c r="D27" s="3">
        <f>Tabla131624322122233526272822122232425262[[#This Row],[COMISIONES]]*0.105</f>
        <v>0</v>
      </c>
      <c r="E27" s="1"/>
      <c r="F27" s="3"/>
      <c r="G27" s="3"/>
      <c r="I27" s="11"/>
      <c r="J27" s="11">
        <f>Tabla35101826364142444546474844142434445464[[#This Row],[COMISIONES]]*0.21</f>
        <v>0</v>
      </c>
      <c r="K27" s="11"/>
      <c r="L27" s="11"/>
      <c r="M27" s="11"/>
      <c r="O27" s="40"/>
      <c r="P27" s="40">
        <f>Tabla356813142230408182848586878888182838485868[[#This Row],[COMISIONES]]*0.21</f>
        <v>0</v>
      </c>
      <c r="Q27" s="40"/>
      <c r="R27" s="40"/>
      <c r="S27" s="40"/>
      <c r="T27" s="46"/>
      <c r="U27" s="40">
        <v>300</v>
      </c>
      <c r="V27" s="40">
        <f>Tabla3561119273443112131516171819111213141516171[[#This Row],[COMISIONES]]*0.21</f>
        <v>63</v>
      </c>
      <c r="W27" s="40"/>
      <c r="X27" s="40"/>
      <c r="Y27" s="40"/>
      <c r="AA27" s="4">
        <f>SUM(Tabla73[COMISIONES])</f>
        <v>19172.669999999998</v>
      </c>
      <c r="AB27" s="4">
        <f>SUM(Tabla73[IVA 21])</f>
        <v>4026.2606999999994</v>
      </c>
      <c r="AC27" s="4">
        <f>SUM(Tabla73[IVA 10,5])</f>
        <v>0</v>
      </c>
      <c r="AD27" s="4">
        <f>SUM(Tabla73[Ret IIBB Caba])</f>
        <v>0</v>
      </c>
      <c r="AE27" s="4">
        <f>SUM(Tabla73[PERC IVA])</f>
        <v>575.17999999999995</v>
      </c>
    </row>
    <row r="28" spans="2:31" x14ac:dyDescent="0.25">
      <c r="B28" s="3"/>
      <c r="C28" s="2">
        <f>Tabla131624322122233526272822122232425262[[#This Row],[COMISIONES]]*0.21</f>
        <v>0</v>
      </c>
      <c r="D28" s="3">
        <f>Tabla131624322122233526272822122232425262[[#This Row],[COMISIONES]]*0.105</f>
        <v>0</v>
      </c>
      <c r="E28" s="3"/>
      <c r="F28" s="3"/>
      <c r="G28" s="3"/>
      <c r="I28" s="11"/>
      <c r="J28" s="11">
        <f>Tabla35101826364142444546474844142434445464[[#This Row],[COMISIONES]]*0.21</f>
        <v>0</v>
      </c>
      <c r="K28" s="11"/>
      <c r="L28" s="11"/>
      <c r="M28" s="11"/>
      <c r="O28" s="40"/>
      <c r="P28" s="40">
        <f>Tabla356813142230408182848586878888182838485868[[#This Row],[COMISIONES]]*0.21</f>
        <v>0</v>
      </c>
      <c r="Q28" s="40"/>
      <c r="R28" s="40"/>
      <c r="S28" s="40"/>
      <c r="T28" s="46"/>
      <c r="U28" s="40">
        <v>300</v>
      </c>
      <c r="V28" s="40">
        <f>Tabla3561119273443112131516171819111213141516171[[#This Row],[COMISIONES]]*0.21</f>
        <v>63</v>
      </c>
      <c r="W28" s="40"/>
      <c r="X28" s="40"/>
      <c r="Y28" s="40"/>
    </row>
    <row r="29" spans="2:31" x14ac:dyDescent="0.25">
      <c r="B29" s="3"/>
      <c r="C29" s="2">
        <f>Tabla131624322122233526272822122232425262[[#This Row],[COMISIONES]]*0.21</f>
        <v>0</v>
      </c>
      <c r="D29" s="3">
        <f>Tabla131624322122233526272822122232425262[[#This Row],[COMISIONES]]*0.105</f>
        <v>0</v>
      </c>
      <c r="E29" s="3"/>
      <c r="F29" s="3"/>
      <c r="G29" s="3"/>
      <c r="I29" s="11"/>
      <c r="J29" s="11">
        <f>Tabla35101826364142444546474844142434445464[[#This Row],[COMISIONES]]*0.21</f>
        <v>0</v>
      </c>
      <c r="K29" s="11"/>
      <c r="L29" s="11"/>
      <c r="M29" s="11"/>
      <c r="O29" s="40"/>
      <c r="P29" s="40">
        <f>Tabla356813142230408182848586878888182838485868[[#This Row],[COMISIONES]]*0.21</f>
        <v>0</v>
      </c>
      <c r="Q29" s="40"/>
      <c r="R29" s="40"/>
      <c r="S29" s="40"/>
      <c r="T29" s="46"/>
      <c r="U29" s="40">
        <v>300</v>
      </c>
      <c r="V29" s="40">
        <f>Tabla3561119273443112131516171819111213141516171[[#This Row],[COMISIONES]]*0.21</f>
        <v>63</v>
      </c>
      <c r="W29" s="40"/>
      <c r="X29" s="40"/>
      <c r="Y29" s="40"/>
    </row>
    <row r="30" spans="2:31" x14ac:dyDescent="0.25">
      <c r="B30" s="3"/>
      <c r="C30" s="2">
        <f>Tabla131624322122233526272822122232425262[[#This Row],[COMISIONES]]*0.21</f>
        <v>0</v>
      </c>
      <c r="D30" s="3">
        <f>Tabla131624322122233526272822122232425262[[#This Row],[COMISIONES]]*0.105</f>
        <v>0</v>
      </c>
      <c r="E30" s="3"/>
      <c r="F30" s="3"/>
      <c r="G30" s="3"/>
      <c r="I30" s="11"/>
      <c r="J30" s="11">
        <f>Tabla35101826364142444546474844142434445464[[#This Row],[COMISIONES]]*0.21</f>
        <v>0</v>
      </c>
      <c r="K30" s="11"/>
      <c r="L30" s="11"/>
      <c r="M30" s="11"/>
      <c r="O30" s="40"/>
      <c r="P30" s="40">
        <f>Tabla356813142230408182848586878888182838485868[[#This Row],[COMISIONES]]*0.21</f>
        <v>0</v>
      </c>
      <c r="Q30" s="40"/>
      <c r="R30" s="40"/>
      <c r="S30" s="40"/>
      <c r="T30" s="46"/>
      <c r="U30" s="40">
        <v>300</v>
      </c>
      <c r="V30" s="40">
        <f>Tabla3561119273443112131516171819111213141516171[[#This Row],[COMISIONES]]*0.21</f>
        <v>63</v>
      </c>
      <c r="W30" s="40"/>
      <c r="X30" s="40"/>
      <c r="Y30" s="40"/>
    </row>
    <row r="31" spans="2:31" x14ac:dyDescent="0.25">
      <c r="B31" s="3"/>
      <c r="C31" s="2">
        <f>Tabla131624322122233526272822122232425262[[#This Row],[COMISIONES]]*0.21</f>
        <v>0</v>
      </c>
      <c r="D31" s="3">
        <f>Tabla131624322122233526272822122232425262[[#This Row],[COMISIONES]]*0.105</f>
        <v>0</v>
      </c>
      <c r="E31" s="3"/>
      <c r="F31" s="3"/>
      <c r="G31" s="3"/>
      <c r="I31" s="11"/>
      <c r="J31" s="11">
        <f>Tabla35101826364142444546474844142434445464[[#This Row],[COMISIONES]]*0.21</f>
        <v>0</v>
      </c>
      <c r="K31" s="11"/>
      <c r="L31" s="11"/>
      <c r="M31" s="11"/>
      <c r="O31" s="40"/>
      <c r="P31" s="40">
        <f>Tabla356813142230408182848586878888182838485868[[#This Row],[COMISIONES]]*0.21</f>
        <v>0</v>
      </c>
      <c r="Q31" s="40"/>
      <c r="R31" s="40"/>
      <c r="S31" s="40"/>
      <c r="T31" s="46"/>
      <c r="U31" s="40"/>
      <c r="V31" s="40">
        <f>Tabla3561119273443112131516171819111213141516171[[#This Row],[COMISIONES]]*0.21</f>
        <v>0</v>
      </c>
      <c r="W31" s="40"/>
      <c r="X31" s="40"/>
      <c r="Y31" s="40"/>
    </row>
    <row r="32" spans="2:31" x14ac:dyDescent="0.25">
      <c r="B32" s="3"/>
      <c r="C32" s="2">
        <f>Tabla131624322122233526272822122232425262[[#This Row],[COMISIONES]]*0.21</f>
        <v>0</v>
      </c>
      <c r="D32" s="3">
        <f>Tabla131624322122233526272822122232425262[[#This Row],[COMISIONES]]*0.105</f>
        <v>0</v>
      </c>
      <c r="E32" s="3"/>
      <c r="F32" s="3"/>
      <c r="G32" s="3"/>
      <c r="I32" s="11"/>
      <c r="J32" s="11">
        <f>Tabla35101826364142444546474844142434445464[[#This Row],[COMISIONES]]*0.21</f>
        <v>0</v>
      </c>
      <c r="K32" s="11"/>
      <c r="L32" s="11"/>
      <c r="M32" s="11"/>
      <c r="O32" s="40"/>
      <c r="P32" s="40">
        <f>Tabla356813142230408182848586878888182838485868[[#This Row],[COMISIONES]]*0.21</f>
        <v>0</v>
      </c>
      <c r="Q32" s="40"/>
      <c r="R32" s="40"/>
      <c r="S32" s="40"/>
      <c r="T32" s="46"/>
      <c r="U32" s="40"/>
      <c r="V32" s="40">
        <f>Tabla3561119273443112131516171819111213141516171[[#This Row],[COMISIONES]]*0.21</f>
        <v>0</v>
      </c>
      <c r="W32" s="40"/>
      <c r="X32" s="40"/>
      <c r="Y32" s="40"/>
    </row>
    <row r="33" spans="1:25" x14ac:dyDescent="0.25">
      <c r="B33" s="3"/>
      <c r="C33" s="2">
        <f>Tabla131624322122233526272822122232425262[[#This Row],[COMISIONES]]*0.21</f>
        <v>0</v>
      </c>
      <c r="D33" s="3">
        <f>Tabla131624322122233526272822122232425262[[#This Row],[COMISIONES]]*0.105</f>
        <v>0</v>
      </c>
      <c r="E33" s="3"/>
      <c r="F33" s="3"/>
      <c r="G33" s="3"/>
      <c r="I33" s="11"/>
      <c r="J33" s="11">
        <f>Tabla35101826364142444546474844142434445464[[#This Row],[COMISIONES]]*0.21</f>
        <v>0</v>
      </c>
      <c r="K33" s="11"/>
      <c r="L33" s="11"/>
      <c r="M33" s="11"/>
      <c r="O33" s="40"/>
      <c r="P33" s="40">
        <f>Tabla356813142230408182848586878888182838485868[[#This Row],[COMISIONES]]*0.21</f>
        <v>0</v>
      </c>
      <c r="Q33" s="40"/>
      <c r="R33" s="40"/>
      <c r="S33" s="40"/>
      <c r="T33" s="46"/>
      <c r="U33" s="40"/>
      <c r="V33" s="40">
        <f>Tabla3561119273443112131516171819111213141516171[[#This Row],[COMISIONES]]*0.21</f>
        <v>0</v>
      </c>
      <c r="W33" s="40"/>
      <c r="X33" s="40"/>
      <c r="Y33" s="40"/>
    </row>
    <row r="34" spans="1:25" x14ac:dyDescent="0.25">
      <c r="B34" s="3"/>
      <c r="C34" s="2">
        <f>Tabla131624322122233526272822122232425262[[#This Row],[COMISIONES]]*0.21</f>
        <v>0</v>
      </c>
      <c r="D34" s="3">
        <f>Tabla131624322122233526272822122232425262[[#This Row],[COMISIONES]]*0.105</f>
        <v>0</v>
      </c>
      <c r="E34" s="3"/>
      <c r="F34" s="3"/>
      <c r="G34" s="3"/>
      <c r="I34" s="11"/>
      <c r="J34" s="11">
        <f>Tabla35101826364142444546474844142434445464[[#This Row],[COMISIONES]]*0.21</f>
        <v>0</v>
      </c>
      <c r="K34" s="11"/>
      <c r="L34" s="11"/>
      <c r="M34" s="11"/>
      <c r="O34" s="40"/>
      <c r="P34" s="40">
        <f>Tabla356813142230408182848586878888182838485868[[#This Row],[COMISIONES]]*0.21</f>
        <v>0</v>
      </c>
      <c r="Q34" s="40"/>
      <c r="R34" s="40"/>
      <c r="S34" s="40"/>
      <c r="T34" s="46"/>
      <c r="U34" s="40"/>
      <c r="V34" s="40">
        <f>Tabla3561119273443112131516171819111213141516171[[#This Row],[COMISIONES]]*0.21</f>
        <v>0</v>
      </c>
      <c r="W34" s="40"/>
      <c r="X34" s="40"/>
      <c r="Y34" s="40"/>
    </row>
    <row r="35" spans="1:25" x14ac:dyDescent="0.25">
      <c r="B35" s="3"/>
      <c r="C35" s="2">
        <f>Tabla131624322122233526272822122232425262[[#This Row],[COMISIONES]]*0.21</f>
        <v>0</v>
      </c>
      <c r="D35" s="3">
        <f>Tabla131624322122233526272822122232425262[[#This Row],[COMISIONES]]*0.105</f>
        <v>0</v>
      </c>
      <c r="E35" s="3"/>
      <c r="F35" s="3"/>
      <c r="G35" s="3"/>
      <c r="I35" s="11"/>
      <c r="J35" s="11">
        <f>Tabla35101826364142444546474844142434445464[[#This Row],[COMISIONES]]*0.21</f>
        <v>0</v>
      </c>
      <c r="K35" s="11"/>
      <c r="L35" s="11"/>
      <c r="M35" s="11"/>
      <c r="O35" s="40"/>
      <c r="P35" s="40">
        <f>Tabla356813142230408182848586878888182838485868[[#This Row],[COMISIONES]]*0.21</f>
        <v>0</v>
      </c>
      <c r="Q35" s="40"/>
      <c r="R35" s="40"/>
      <c r="S35" s="40"/>
      <c r="T35" s="46"/>
      <c r="U35" s="40"/>
      <c r="V35" s="40">
        <f>Tabla3561119273443112131516171819111213141516171[[#This Row],[COMISIONES]]*0.21</f>
        <v>0</v>
      </c>
      <c r="W35" s="40"/>
      <c r="X35" s="40"/>
      <c r="Y35" s="40"/>
    </row>
    <row r="36" spans="1:25" x14ac:dyDescent="0.25">
      <c r="B36" s="3"/>
      <c r="C36" s="2">
        <f>Tabla131624322122233526272822122232425262[[#This Row],[COMISIONES]]*0.21</f>
        <v>0</v>
      </c>
      <c r="D36" s="3">
        <f>Tabla131624322122233526272822122232425262[[#This Row],[COMISIONES]]*0.105</f>
        <v>0</v>
      </c>
      <c r="E36" s="3"/>
      <c r="F36" s="3"/>
      <c r="G36" s="3"/>
      <c r="I36" s="11"/>
      <c r="J36" s="11">
        <f>Tabla35101826364142444546474844142434445464[[#This Row],[COMISIONES]]*0.21</f>
        <v>0</v>
      </c>
      <c r="K36" s="11"/>
      <c r="L36" s="11"/>
      <c r="M36" s="11"/>
      <c r="O36" s="40"/>
      <c r="P36" s="40">
        <f>Tabla356813142230408182848586878888182838485868[[#This Row],[COMISIONES]]*0.21</f>
        <v>0</v>
      </c>
      <c r="Q36" s="40"/>
      <c r="R36" s="40"/>
      <c r="S36" s="40"/>
      <c r="T36" s="46"/>
      <c r="U36" s="40"/>
      <c r="V36" s="40">
        <f>Tabla3561119273443112131516171819111213141516171[[#This Row],[COMISIONES]]*0.21</f>
        <v>0</v>
      </c>
      <c r="W36" s="40"/>
      <c r="X36" s="40"/>
      <c r="Y36" s="40"/>
    </row>
    <row r="37" spans="1:25" x14ac:dyDescent="0.25">
      <c r="B37" s="3"/>
      <c r="C37" s="2">
        <f>Tabla131624322122233526272822122232425262[[#This Row],[COMISIONES]]*0.21</f>
        <v>0</v>
      </c>
      <c r="D37" s="3">
        <f>Tabla131624322122233526272822122232425262[[#This Row],[COMISIONES]]*0.105</f>
        <v>0</v>
      </c>
      <c r="E37" s="3"/>
      <c r="F37" s="3"/>
      <c r="G37" s="3"/>
      <c r="I37" s="11"/>
      <c r="J37" s="11">
        <f>Tabla35101826364142444546474844142434445464[[#This Row],[COMISIONES]]*0.21</f>
        <v>0</v>
      </c>
      <c r="K37" s="11"/>
      <c r="L37" s="11"/>
      <c r="M37" s="11"/>
      <c r="O37" s="40"/>
      <c r="P37" s="40">
        <f>Tabla356813142230408182848586878888182838485868[[#This Row],[COMISIONES]]*0.21</f>
        <v>0</v>
      </c>
      <c r="Q37" s="40"/>
      <c r="R37" s="40"/>
      <c r="S37" s="40"/>
      <c r="T37" s="46"/>
      <c r="U37" s="40"/>
      <c r="V37" s="40">
        <f>Tabla3561119273443112131516171819111213141516171[[#This Row],[COMISIONES]]*0.21</f>
        <v>0</v>
      </c>
      <c r="W37" s="40"/>
      <c r="X37" s="40"/>
      <c r="Y37" s="40"/>
    </row>
    <row r="38" spans="1:25" x14ac:dyDescent="0.25">
      <c r="B38" s="3"/>
      <c r="C38" s="2">
        <f>Tabla131624322122233526272822122232425262[[#This Row],[COMISIONES]]*0.21</f>
        <v>0</v>
      </c>
      <c r="D38" s="3">
        <f>Tabla131624322122233526272822122232425262[[#This Row],[COMISIONES]]*0.105</f>
        <v>0</v>
      </c>
      <c r="E38" s="3"/>
      <c r="F38" s="3"/>
      <c r="G38" s="3"/>
      <c r="I38" s="11"/>
      <c r="J38" s="11">
        <f>Tabla35101826364142444546474844142434445464[[#This Row],[COMISIONES]]*0.21</f>
        <v>0</v>
      </c>
      <c r="K38" s="11"/>
      <c r="L38" s="11"/>
      <c r="M38" s="11"/>
      <c r="O38" s="40"/>
      <c r="P38" s="40">
        <f>Tabla356813142230408182848586878888182838485868[[#This Row],[COMISIONES]]*0.21</f>
        <v>0</v>
      </c>
      <c r="Q38" s="40"/>
      <c r="R38" s="40"/>
      <c r="S38" s="40"/>
      <c r="T38" s="46"/>
      <c r="U38" s="40"/>
      <c r="V38" s="40">
        <f>Tabla3561119273443112131516171819111213141516171[[#This Row],[COMISIONES]]*0.21</f>
        <v>0</v>
      </c>
      <c r="W38" s="40"/>
      <c r="X38" s="40"/>
      <c r="Y38" s="40"/>
    </row>
    <row r="39" spans="1:25" x14ac:dyDescent="0.25">
      <c r="B39" s="3"/>
      <c r="C39" s="2">
        <f>Tabla131624322122233526272822122232425262[[#This Row],[COMISIONES]]*0.21</f>
        <v>0</v>
      </c>
      <c r="D39" s="3">
        <f>Tabla131624322122233526272822122232425262[[#This Row],[COMISIONES]]*0.105</f>
        <v>0</v>
      </c>
      <c r="E39" s="3"/>
      <c r="F39" s="3"/>
      <c r="G39" s="3"/>
      <c r="H39" s="8"/>
      <c r="I39" s="11"/>
      <c r="J39" s="11">
        <f>Tabla35101826364142444546474844142434445464[[#This Row],[COMISIONES]]*0.21</f>
        <v>0</v>
      </c>
      <c r="K39" s="11"/>
      <c r="L39" s="11"/>
      <c r="M39" s="11"/>
      <c r="N39" s="8"/>
      <c r="O39" s="40"/>
      <c r="P39" s="40">
        <f>Tabla356813142230408182848586878888182838485868[[#This Row],[COMISIONES]]*0.21</f>
        <v>0</v>
      </c>
      <c r="Q39" s="40"/>
      <c r="R39" s="40"/>
      <c r="S39" s="40"/>
      <c r="T39" s="46"/>
      <c r="U39" s="40"/>
      <c r="V39" s="40">
        <f>Tabla3561119273443112131516171819111213141516171[[#This Row],[COMISIONES]]*0.21</f>
        <v>0</v>
      </c>
      <c r="W39" s="40"/>
      <c r="X39" s="40"/>
      <c r="Y39" s="40"/>
    </row>
    <row r="40" spans="1:25" x14ac:dyDescent="0.25">
      <c r="B40" s="3"/>
      <c r="C40" s="2">
        <f>Tabla131624322122233526272822122232425262[[#This Row],[COMISIONES]]*0.21</f>
        <v>0</v>
      </c>
      <c r="D40" s="3">
        <f>Tabla131624322122233526272822122232425262[[#This Row],[COMISIONES]]*0.105</f>
        <v>0</v>
      </c>
      <c r="E40" s="3"/>
      <c r="F40" s="3"/>
      <c r="G40" s="3"/>
      <c r="I40" s="11"/>
      <c r="J40" s="11">
        <f>Tabla35101826364142444546474844142434445464[[#This Row],[COMISIONES]]*0.21</f>
        <v>0</v>
      </c>
      <c r="K40" s="11"/>
      <c r="L40" s="11"/>
      <c r="M40" s="11"/>
      <c r="O40" s="40"/>
      <c r="P40" s="40">
        <f>Tabla356813142230408182848586878888182838485868[[#This Row],[COMISIONES]]*0.21</f>
        <v>0</v>
      </c>
      <c r="Q40" s="40"/>
      <c r="R40" s="40"/>
      <c r="S40" s="40"/>
      <c r="T40" s="46"/>
      <c r="U40" s="40"/>
      <c r="V40" s="40">
        <f>Tabla3561119273443112131516171819111213141516171[[#This Row],[COMISIONES]]*0.21</f>
        <v>0</v>
      </c>
      <c r="W40" s="40"/>
      <c r="X40" s="40"/>
      <c r="Y40" s="40"/>
    </row>
    <row r="41" spans="1:25" x14ac:dyDescent="0.25">
      <c r="B41" s="3"/>
      <c r="C41" s="2">
        <f>Tabla131624322122233526272822122232425262[[#This Row],[COMISIONES]]*0.21</f>
        <v>0</v>
      </c>
      <c r="D41" s="3">
        <f>Tabla131624322122233526272822122232425262[[#This Row],[COMISIONES]]*0.105</f>
        <v>0</v>
      </c>
      <c r="E41" s="3"/>
      <c r="F41" s="3"/>
      <c r="G41" s="3"/>
      <c r="I41" s="11"/>
      <c r="J41" s="11">
        <f>Tabla35101826364142444546474844142434445464[[#This Row],[COMISIONES]]*0.21</f>
        <v>0</v>
      </c>
      <c r="K41" s="11"/>
      <c r="L41" s="11"/>
      <c r="M41" s="11"/>
      <c r="O41" s="40"/>
      <c r="P41" s="40">
        <f>Tabla356813142230408182848586878888182838485868[[#This Row],[COMISIONES]]*0.21</f>
        <v>0</v>
      </c>
      <c r="Q41" s="40"/>
      <c r="R41" s="40"/>
      <c r="S41" s="40"/>
      <c r="T41" s="46"/>
      <c r="U41" s="40"/>
      <c r="V41" s="40">
        <f>Tabla3561119273443112131516171819111213141516171[[#This Row],[COMISIONES]]*0.21</f>
        <v>0</v>
      </c>
      <c r="W41" s="40"/>
      <c r="X41" s="40"/>
      <c r="Y41" s="40"/>
    </row>
    <row r="42" spans="1:25" x14ac:dyDescent="0.25">
      <c r="B42" s="3"/>
      <c r="C42" s="2">
        <f>Tabla131624322122233526272822122232425262[[#This Row],[COMISIONES]]*0.21</f>
        <v>0</v>
      </c>
      <c r="D42" s="3">
        <f>Tabla131624322122233526272822122232425262[[#This Row],[COMISIONES]]*0.105</f>
        <v>0</v>
      </c>
      <c r="E42" s="3"/>
      <c r="F42" s="3"/>
      <c r="G42" s="3"/>
      <c r="I42" s="11"/>
      <c r="J42" s="11">
        <f>Tabla35101826364142444546474844142434445464[[#This Row],[COMISIONES]]*0.21</f>
        <v>0</v>
      </c>
      <c r="K42" s="11"/>
      <c r="L42" s="11"/>
      <c r="M42" s="11"/>
      <c r="O42" s="40"/>
      <c r="P42" s="40">
        <f>Tabla356813142230408182848586878888182838485868[[#This Row],[COMISIONES]]*0.21</f>
        <v>0</v>
      </c>
      <c r="Q42" s="40"/>
      <c r="R42" s="40"/>
      <c r="S42" s="40"/>
      <c r="T42" s="46"/>
      <c r="U42" s="40"/>
      <c r="V42" s="40">
        <f>Tabla3561119273443112131516171819111213141516171[[#This Row],[COMISIONES]]*0.21</f>
        <v>0</v>
      </c>
      <c r="W42" s="40"/>
      <c r="X42" s="40"/>
      <c r="Y42" s="40"/>
    </row>
    <row r="43" spans="1:25" x14ac:dyDescent="0.25">
      <c r="B43" s="3"/>
      <c r="C43" s="2">
        <f>Tabla131624322122233526272822122232425262[[#This Row],[COMISIONES]]*0.21</f>
        <v>0</v>
      </c>
      <c r="D43" s="3">
        <f>Tabla131624322122233526272822122232425262[[#This Row],[COMISIONES]]*0.105</f>
        <v>0</v>
      </c>
      <c r="E43" s="3"/>
      <c r="F43" s="3"/>
      <c r="G43" s="3"/>
      <c r="I43" s="11"/>
      <c r="J43" s="11">
        <f>Tabla35101826364142444546474844142434445464[[#This Row],[COMISIONES]]*0.21</f>
        <v>0</v>
      </c>
      <c r="K43" s="11"/>
      <c r="L43" s="11"/>
      <c r="M43" s="11"/>
      <c r="O43" s="40"/>
      <c r="P43" s="40">
        <f>Tabla356813142230408182848586878888182838485868[[#This Row],[COMISIONES]]*0.21</f>
        <v>0</v>
      </c>
      <c r="Q43" s="40"/>
      <c r="R43" s="40"/>
      <c r="S43" s="40"/>
      <c r="T43" s="46"/>
      <c r="U43" s="40"/>
      <c r="V43" s="40">
        <f>Tabla3561119273443112131516171819111213141516171[[#This Row],[COMISIONES]]*0.21</f>
        <v>0</v>
      </c>
      <c r="W43" s="40"/>
      <c r="X43" s="40"/>
      <c r="Y43" s="40"/>
    </row>
    <row r="44" spans="1:25" x14ac:dyDescent="0.25">
      <c r="B44" s="3"/>
      <c r="C44" s="2">
        <f>Tabla131624322122233526272822122232425262[[#This Row],[COMISIONES]]*0.21</f>
        <v>0</v>
      </c>
      <c r="D44" s="3">
        <f>Tabla131624322122233526272822122232425262[[#This Row],[COMISIONES]]*0.105</f>
        <v>0</v>
      </c>
      <c r="E44" s="3"/>
      <c r="F44" s="3"/>
      <c r="G44" s="3"/>
      <c r="I44" s="11"/>
      <c r="J44" s="11">
        <f>Tabla35101826364142444546474844142434445464[[#This Row],[COMISIONES]]*0.21</f>
        <v>0</v>
      </c>
      <c r="K44" s="11"/>
      <c r="L44" s="11"/>
      <c r="M44" s="11"/>
      <c r="O44" s="40"/>
      <c r="P44" s="40">
        <f>Tabla356813142230408182848586878888182838485868[[#This Row],[COMISIONES]]*0.21</f>
        <v>0</v>
      </c>
      <c r="Q44" s="40"/>
      <c r="R44" s="40"/>
      <c r="S44" s="40"/>
      <c r="T44" s="46"/>
      <c r="U44" s="40"/>
      <c r="V44" s="40">
        <f>Tabla3561119273443112131516171819111213141516171[[#This Row],[COMISIONES]]*0.21</f>
        <v>0</v>
      </c>
      <c r="W44" s="40"/>
      <c r="X44" s="40"/>
      <c r="Y44" s="40"/>
    </row>
    <row r="45" spans="1:25" x14ac:dyDescent="0.25">
      <c r="B45" s="3"/>
      <c r="C45" s="2">
        <f>Tabla131624322122233526272822122232425262[[#This Row],[COMISIONES]]*0.21</f>
        <v>0</v>
      </c>
      <c r="D45" s="3">
        <f>Tabla131624322122233526272822122232425262[[#This Row],[COMISIONES]]*0.105</f>
        <v>0</v>
      </c>
      <c r="E45" s="3"/>
      <c r="F45" s="3"/>
      <c r="G45" s="3"/>
      <c r="I45" s="11"/>
      <c r="J45" s="11">
        <f>Tabla35101826364142444546474844142434445464[[#This Row],[COMISIONES]]*0.21</f>
        <v>0</v>
      </c>
      <c r="K45" s="11"/>
      <c r="L45" s="11"/>
      <c r="M45" s="11"/>
      <c r="O45" s="40"/>
      <c r="P45" s="40">
        <f>Tabla356813142230408182848586878888182838485868[[#This Row],[COMISIONES]]*0.21</f>
        <v>0</v>
      </c>
      <c r="Q45" s="40"/>
      <c r="R45" s="40"/>
      <c r="S45" s="40"/>
      <c r="T45" s="46"/>
      <c r="U45" s="40"/>
      <c r="V45" s="40">
        <f>Tabla3561119273443112131516171819111213141516171[[#This Row],[COMISIONES]]*0.21</f>
        <v>0</v>
      </c>
      <c r="W45" s="40"/>
      <c r="X45" s="40"/>
      <c r="Y45" s="40"/>
    </row>
    <row r="46" spans="1:25" s="6" customFormat="1" x14ac:dyDescent="0.25">
      <c r="A46"/>
      <c r="B46" s="3"/>
      <c r="C46" s="2">
        <f>Tabla131624322122233526272822122232425262[[#This Row],[COMISIONES]]*0.21</f>
        <v>0</v>
      </c>
      <c r="D46" s="3">
        <f>Tabla131624322122233526272822122232425262[[#This Row],[COMISIONES]]*0.105</f>
        <v>0</v>
      </c>
      <c r="E46" s="3"/>
      <c r="F46" s="3"/>
      <c r="G46" s="3"/>
      <c r="I46" s="11"/>
      <c r="J46" s="11">
        <f>Tabla35101826364142444546474844142434445464[[#This Row],[COMISIONES]]*0.21</f>
        <v>0</v>
      </c>
      <c r="K46" s="11"/>
      <c r="L46" s="11"/>
      <c r="M46" s="11"/>
      <c r="O46" s="40"/>
      <c r="P46" s="40">
        <f>Tabla356813142230408182848586878888182838485868[[#This Row],[COMISIONES]]*0.21</f>
        <v>0</v>
      </c>
      <c r="Q46" s="40"/>
      <c r="R46" s="40"/>
      <c r="S46" s="40"/>
      <c r="T46" s="46"/>
      <c r="U46" s="40"/>
      <c r="V46" s="40">
        <f>Tabla3561119273443112131516171819111213141516171[[#This Row],[COMISIONES]]*0.21</f>
        <v>0</v>
      </c>
      <c r="W46" s="40"/>
      <c r="X46" s="40"/>
      <c r="Y46" s="40"/>
    </row>
    <row r="47" spans="1:25" s="6" customFormat="1" x14ac:dyDescent="0.25">
      <c r="A47"/>
      <c r="B47" s="2"/>
      <c r="C47" s="2">
        <f>Tabla131624322122233526272822122232425262[[#This Row],[COMISIONES]]*0.21</f>
        <v>0</v>
      </c>
      <c r="D47" s="2">
        <f>Tabla131624322122233526272822122232425262[[#This Row],[COMISIONES]]*0.105</f>
        <v>0</v>
      </c>
      <c r="E47" s="2"/>
      <c r="F47"/>
      <c r="G47"/>
      <c r="I47" s="11"/>
      <c r="J47" s="11">
        <f>Tabla35101826364142444546474844142434445464[[#This Row],[COMISIONES]]*0.21</f>
        <v>0</v>
      </c>
      <c r="K47" s="11"/>
      <c r="L47" s="11"/>
      <c r="M47" s="11"/>
      <c r="O47" s="40"/>
      <c r="P47" s="40">
        <f>Tabla356813142230408182848586878888182838485868[[#This Row],[COMISIONES]]*0.21</f>
        <v>0</v>
      </c>
      <c r="Q47" s="40"/>
      <c r="R47" s="40"/>
      <c r="S47" s="40"/>
      <c r="T47" s="46"/>
      <c r="U47" s="40"/>
      <c r="V47" s="40">
        <f>Tabla3561119273443112131516171819111213141516171[[#This Row],[COMISIONES]]*0.21</f>
        <v>0</v>
      </c>
      <c r="W47" s="40"/>
      <c r="X47" s="40"/>
      <c r="Y47" s="40"/>
    </row>
    <row r="48" spans="1:25" s="6" customFormat="1" x14ac:dyDescent="0.25">
      <c r="A48"/>
      <c r="B48" s="2"/>
      <c r="C48" s="2">
        <f>Tabla131624322122233526272822122232425262[[#This Row],[COMISIONES]]*0.21</f>
        <v>0</v>
      </c>
      <c r="D48" s="2">
        <f>Tabla131624322122233526272822122232425262[[#This Row],[COMISIONES]]*0.105</f>
        <v>0</v>
      </c>
      <c r="E48" s="2"/>
      <c r="F48"/>
      <c r="G48"/>
      <c r="I48" s="11"/>
      <c r="J48" s="11">
        <f>Tabla35101826364142444546474844142434445464[[#This Row],[COMISIONES]]*0.21</f>
        <v>0</v>
      </c>
      <c r="K48" s="11"/>
      <c r="L48" s="11"/>
      <c r="M48" s="11"/>
      <c r="O48" s="40"/>
      <c r="P48" s="40">
        <f>Tabla356813142230408182848586878888182838485868[[#This Row],[COMISIONES]]*0.21</f>
        <v>0</v>
      </c>
      <c r="Q48" s="40"/>
      <c r="R48" s="40"/>
      <c r="S48" s="40"/>
      <c r="T48" s="46"/>
      <c r="U48" s="40"/>
      <c r="V48" s="40">
        <f>Tabla3561119273443112131516171819111213141516171[[#This Row],[COMISIONES]]*0.21</f>
        <v>0</v>
      </c>
      <c r="W48" s="40"/>
      <c r="X48" s="40"/>
      <c r="Y48" s="40"/>
    </row>
    <row r="49" spans="1:25" s="6" customFormat="1" x14ac:dyDescent="0.25">
      <c r="A49"/>
      <c r="B49" s="2"/>
      <c r="C49" s="2">
        <f>Tabla131624322122233526272822122232425262[[#This Row],[COMISIONES]]*0.21</f>
        <v>0</v>
      </c>
      <c r="D49" s="2">
        <f>Tabla131624322122233526272822122232425262[[#This Row],[COMISIONES]]*0.105</f>
        <v>0</v>
      </c>
      <c r="E49" s="2"/>
      <c r="F49"/>
      <c r="G49"/>
      <c r="I49" s="11"/>
      <c r="J49" s="11">
        <f>Tabla35101826364142444546474844142434445464[[#This Row],[COMISIONES]]*0.21</f>
        <v>0</v>
      </c>
      <c r="K49" s="11"/>
      <c r="L49" s="11"/>
      <c r="M49" s="11"/>
      <c r="O49" s="40"/>
      <c r="P49" s="40">
        <f>Tabla356813142230408182848586878888182838485868[[#This Row],[COMISIONES]]*0.21</f>
        <v>0</v>
      </c>
      <c r="Q49" s="40"/>
      <c r="R49" s="40"/>
      <c r="S49" s="40"/>
      <c r="T49" s="46"/>
      <c r="U49" s="40"/>
      <c r="V49" s="40">
        <f>Tabla3561119273443112131516171819111213141516171[[#This Row],[COMISIONES]]*0.21</f>
        <v>0</v>
      </c>
      <c r="W49" s="40"/>
      <c r="X49" s="40"/>
      <c r="Y49" s="40"/>
    </row>
    <row r="50" spans="1:25" s="6" customFormat="1" x14ac:dyDescent="0.25">
      <c r="A50"/>
      <c r="B50" s="2"/>
      <c r="C50" s="2">
        <f>Tabla131624322122233526272822122232425262[[#This Row],[COMISIONES]]*0.21</f>
        <v>0</v>
      </c>
      <c r="D50" s="2">
        <f>Tabla131624322122233526272822122232425262[[#This Row],[COMISIONES]]*0.105</f>
        <v>0</v>
      </c>
      <c r="E50" s="2"/>
      <c r="F50"/>
      <c r="G50"/>
      <c r="I50" s="11"/>
      <c r="J50" s="11">
        <f>Tabla35101826364142444546474844142434445464[[#This Row],[COMISIONES]]*0.21</f>
        <v>0</v>
      </c>
      <c r="K50" s="11"/>
      <c r="L50" s="11"/>
      <c r="M50" s="11"/>
      <c r="O50" s="40"/>
      <c r="P50" s="40">
        <f>Tabla356813142230408182848586878888182838485868[[#This Row],[COMISIONES]]*0.21</f>
        <v>0</v>
      </c>
      <c r="Q50" s="40"/>
      <c r="R50" s="40"/>
      <c r="S50" s="40"/>
      <c r="T50" s="46"/>
      <c r="U50" s="40"/>
      <c r="V50" s="40">
        <f>Tabla3561119273443112131516171819111213141516171[[#This Row],[COMISIONES]]*0.21</f>
        <v>0</v>
      </c>
      <c r="W50" s="40"/>
      <c r="X50" s="40"/>
      <c r="Y50" s="40"/>
    </row>
    <row r="51" spans="1:25" s="6" customFormat="1" x14ac:dyDescent="0.25">
      <c r="A51"/>
      <c r="B51" s="2"/>
      <c r="C51" s="2">
        <f>Tabla131624322122233526272822122232425262[[#This Row],[COMISIONES]]*0.21</f>
        <v>0</v>
      </c>
      <c r="D51" s="2">
        <f>Tabla131624322122233526272822122232425262[[#This Row],[COMISIONES]]*0.105</f>
        <v>0</v>
      </c>
      <c r="E51" s="2"/>
      <c r="F51"/>
      <c r="G51"/>
      <c r="I51" s="11"/>
      <c r="J51" s="11">
        <f>Tabla35101826364142444546474844142434445464[[#This Row],[COMISIONES]]*0.21</f>
        <v>0</v>
      </c>
      <c r="K51" s="11"/>
      <c r="L51" s="11"/>
      <c r="M51" s="11"/>
      <c r="O51" s="40"/>
      <c r="P51" s="40">
        <f>Tabla356813142230408182848586878888182838485868[[#This Row],[COMISIONES]]*0.21</f>
        <v>0</v>
      </c>
      <c r="Q51" s="40"/>
      <c r="R51" s="40"/>
      <c r="S51" s="40"/>
      <c r="T51" s="48"/>
      <c r="U51" s="4">
        <f>SUBTOTAL(109,Tabla3561119273443112131516171819111213141516171[COMISIONES])</f>
        <v>87880.89</v>
      </c>
      <c r="V51" s="4">
        <f>SUBTOTAL(109,Tabla3561119273443112131516171819111213141516171[IVA 21])</f>
        <v>17787</v>
      </c>
      <c r="W51" s="4">
        <f>SUBTOTAL(109,Tabla3561119273443112131516171819111213141516171[IVA 10,5])</f>
        <v>333.99345</v>
      </c>
      <c r="X51" s="4">
        <f>SUBTOTAL(109,Tabla3561119273443112131516171819111213141516171[Ret IIBB Caba])</f>
        <v>4984.8500000000004</v>
      </c>
      <c r="Y51" s="4">
        <f>SUBTOTAL(109,Tabla3561119273443112131516171819111213141516171[PERC IVA])</f>
        <v>2444.71</v>
      </c>
    </row>
    <row r="52" spans="1:25" s="6" customFormat="1" x14ac:dyDescent="0.25">
      <c r="A52"/>
      <c r="B52" s="2"/>
      <c r="C52" s="2">
        <f>Tabla131624322122233526272822122232425262[[#This Row],[COMISIONES]]*0.21</f>
        <v>0</v>
      </c>
      <c r="D52" s="2">
        <f>Tabla131624322122233526272822122232425262[[#This Row],[COMISIONES]]*0.105</f>
        <v>0</v>
      </c>
      <c r="E52" s="2"/>
      <c r="F52"/>
      <c r="G52"/>
      <c r="I52" s="11"/>
      <c r="J52" s="11">
        <f>Tabla35101826364142444546474844142434445464[[#This Row],[COMISIONES]]*0.21</f>
        <v>0</v>
      </c>
      <c r="K52" s="11"/>
      <c r="L52" s="11"/>
      <c r="M52" s="11"/>
      <c r="O52" s="40"/>
      <c r="P52" s="40">
        <f>Tabla356813142230408182848586878888182838485868[[#This Row],[COMISIONES]]*0.21</f>
        <v>0</v>
      </c>
      <c r="Q52" s="40"/>
      <c r="R52" s="40"/>
      <c r="S52" s="40"/>
      <c r="T52" s="48"/>
      <c r="U52"/>
      <c r="V52"/>
      <c r="W52"/>
      <c r="X52"/>
      <c r="Y52"/>
    </row>
    <row r="53" spans="1:25" s="6" customFormat="1" x14ac:dyDescent="0.25">
      <c r="A53"/>
      <c r="B53" s="2"/>
      <c r="C53" s="2">
        <f>Tabla131624322122233526272822122232425262[[#This Row],[COMISIONES]]*0.21</f>
        <v>0</v>
      </c>
      <c r="D53" s="2">
        <f>Tabla131624322122233526272822122232425262[[#This Row],[COMISIONES]]*0.105</f>
        <v>0</v>
      </c>
      <c r="E53" s="2"/>
      <c r="F53"/>
      <c r="G53"/>
      <c r="I53" s="11"/>
      <c r="J53" s="11">
        <f>Tabla35101826364142444546474844142434445464[[#This Row],[COMISIONES]]*0.21</f>
        <v>0</v>
      </c>
      <c r="K53" s="11"/>
      <c r="L53" s="11"/>
      <c r="M53" s="11"/>
      <c r="O53" s="40"/>
      <c r="P53" s="40">
        <f>Tabla356813142230408182848586878888182838485868[[#This Row],[COMISIONES]]*0.21</f>
        <v>0</v>
      </c>
      <c r="Q53" s="40"/>
      <c r="R53" s="40"/>
      <c r="S53" s="40"/>
      <c r="T53" s="48"/>
      <c r="U53"/>
      <c r="V53"/>
      <c r="W53"/>
      <c r="X53"/>
      <c r="Y53"/>
    </row>
    <row r="54" spans="1:25" s="6" customFormat="1" x14ac:dyDescent="0.25">
      <c r="A54"/>
      <c r="B54" s="2"/>
      <c r="C54" s="2">
        <f>Tabla131624322122233526272822122232425262[[#This Row],[COMISIONES]]*0.21</f>
        <v>0</v>
      </c>
      <c r="D54" s="1">
        <f>Tabla131624322122233526272822122232425262[[#This Row],[COMISIONES]]*0.105</f>
        <v>0</v>
      </c>
      <c r="E54" s="2"/>
      <c r="F54"/>
      <c r="G54"/>
      <c r="I54" s="11"/>
      <c r="J54" s="11">
        <f>Tabla35101826364142444546474844142434445464[[#This Row],[COMISIONES]]*0.21</f>
        <v>0</v>
      </c>
      <c r="K54" s="11"/>
      <c r="L54" s="11"/>
      <c r="M54" s="11"/>
      <c r="O54" s="40"/>
      <c r="P54" s="40">
        <f>Tabla356813142230408182848586878888182838485868[[#This Row],[COMISIONES]]*0.21</f>
        <v>0</v>
      </c>
      <c r="Q54" s="40"/>
      <c r="R54" s="40"/>
      <c r="S54" s="40"/>
      <c r="T54" s="48"/>
      <c r="U54"/>
      <c r="V54"/>
      <c r="W54"/>
      <c r="X54"/>
      <c r="Y54"/>
    </row>
    <row r="55" spans="1:25" s="6" customFormat="1" x14ac:dyDescent="0.25">
      <c r="A55"/>
      <c r="B55" s="2"/>
      <c r="C55" s="2">
        <f>Tabla131624322122233526272822122232425262[[#This Row],[COMISIONES]]*0.21</f>
        <v>0</v>
      </c>
      <c r="D55" s="2">
        <f>Tabla131624322122233526272822122232425262[[#This Row],[COMISIONES]]*0.105</f>
        <v>0</v>
      </c>
      <c r="E55" s="2"/>
      <c r="F55"/>
      <c r="G55"/>
      <c r="I55" s="11"/>
      <c r="J55" s="11">
        <f>Tabla35101826364142444546474844142434445464[[#This Row],[COMISIONES]]*0.21</f>
        <v>0</v>
      </c>
      <c r="K55" s="11"/>
      <c r="L55" s="11"/>
      <c r="M55" s="11"/>
      <c r="O55" s="40"/>
      <c r="P55" s="40">
        <f>Tabla356813142230408182848586878888182838485868[[#This Row],[COMISIONES]]*0.21</f>
        <v>0</v>
      </c>
      <c r="Q55" s="40"/>
      <c r="R55" s="40"/>
      <c r="S55" s="40"/>
      <c r="T55" s="48"/>
      <c r="U55"/>
      <c r="V55"/>
      <c r="W55"/>
      <c r="X55"/>
      <c r="Y55"/>
    </row>
    <row r="56" spans="1:25" s="6" customFormat="1" x14ac:dyDescent="0.25">
      <c r="A56"/>
      <c r="B56" s="2"/>
      <c r="C56" s="2">
        <f>Tabla131624322122233526272822122232425262[[#This Row],[COMISIONES]]*0.21</f>
        <v>0</v>
      </c>
      <c r="D56" s="2">
        <f>Tabla131624322122233526272822122232425262[[#This Row],[COMISIONES]]*0.105</f>
        <v>0</v>
      </c>
      <c r="E56" s="2"/>
      <c r="F56"/>
      <c r="G56"/>
      <c r="I56" s="11"/>
      <c r="J56" s="11">
        <f>Tabla35101826364142444546474844142434445464[[#This Row],[COMISIONES]]*0.21</f>
        <v>0</v>
      </c>
      <c r="K56" s="11"/>
      <c r="L56" s="11"/>
      <c r="M56" s="11"/>
      <c r="O56" s="40"/>
      <c r="P56" s="40">
        <f>Tabla356813142230408182848586878888182838485868[[#This Row],[COMISIONES]]*0.21</f>
        <v>0</v>
      </c>
      <c r="Q56" s="40"/>
      <c r="R56" s="40"/>
      <c r="S56" s="40"/>
      <c r="T56" s="48"/>
      <c r="U56"/>
      <c r="V56"/>
      <c r="W56"/>
      <c r="X56"/>
      <c r="Y56"/>
    </row>
    <row r="57" spans="1:25" s="6" customFormat="1" x14ac:dyDescent="0.25">
      <c r="A57"/>
      <c r="B57" s="4">
        <f>SUBTOTAL(109,Tabla131624322122233526272822122232425262[COMISIONES])</f>
        <v>66803.72</v>
      </c>
      <c r="C57" s="4">
        <f>SUBTOTAL(109,Tabla131624322122233526272822122232425262[IVA 21])</f>
        <v>14026.95</v>
      </c>
      <c r="D57" s="4">
        <f>SUBTOTAL(109,Tabla131624322122233526272822122232425262[IVA 10,5])</f>
        <v>0.91560000000000008</v>
      </c>
      <c r="E57" s="4">
        <f>SUBTOTAL(109,Tabla131624322122233526272822122232425262[Ret IIBB Caba])</f>
        <v>4007.7</v>
      </c>
      <c r="F57" s="4">
        <f>SUBTOTAL(109,Tabla131624322122233526272822122232425262[PERC IVA])</f>
        <v>2003.85</v>
      </c>
      <c r="G57" s="4"/>
      <c r="I57" s="11"/>
      <c r="J57" s="11">
        <f>Tabla35101826364142444546474844142434445464[[#This Row],[COMISIONES]]*0.21</f>
        <v>0</v>
      </c>
      <c r="K57" s="11"/>
      <c r="L57" s="11"/>
      <c r="M57" s="11"/>
      <c r="O57" s="40"/>
      <c r="P57" s="40">
        <f>Tabla356813142230408182848586878888182838485868[[#This Row],[COMISIONES]]*0.21</f>
        <v>0</v>
      </c>
      <c r="Q57" s="40"/>
      <c r="R57" s="40"/>
      <c r="S57" s="40"/>
      <c r="T57" s="48"/>
      <c r="U57"/>
      <c r="V57"/>
      <c r="W57"/>
      <c r="X57"/>
      <c r="Y57"/>
    </row>
    <row r="58" spans="1:25" s="6" customFormat="1" x14ac:dyDescent="0.25">
      <c r="A58"/>
      <c r="B58"/>
      <c r="C58"/>
      <c r="D58"/>
      <c r="E58"/>
      <c r="F58"/>
      <c r="G58"/>
      <c r="I58" s="11"/>
      <c r="J58" s="11">
        <f>Tabla35101826364142444546474844142434445464[[#This Row],[COMISIONES]]*0.21</f>
        <v>0</v>
      </c>
      <c r="K58" s="11"/>
      <c r="L58" s="11"/>
      <c r="M58" s="11"/>
      <c r="O58" s="40"/>
      <c r="P58" s="40">
        <f>Tabla356813142230408182848586878888182838485868[[#This Row],[COMISIONES]]*0.21</f>
        <v>0</v>
      </c>
      <c r="Q58" s="40"/>
      <c r="R58" s="40"/>
      <c r="S58" s="40"/>
      <c r="T58" s="48"/>
      <c r="U58"/>
      <c r="V58"/>
      <c r="W58"/>
      <c r="X58"/>
      <c r="Y58"/>
    </row>
    <row r="59" spans="1:25" s="6" customFormat="1" x14ac:dyDescent="0.25">
      <c r="A59"/>
      <c r="B59"/>
      <c r="C59"/>
      <c r="D59"/>
      <c r="E59"/>
      <c r="F59"/>
      <c r="G59"/>
      <c r="I59" s="11"/>
      <c r="J59" s="11">
        <f>Tabla35101826364142444546474844142434445464[[#This Row],[COMISIONES]]*0.21</f>
        <v>0</v>
      </c>
      <c r="K59" s="11"/>
      <c r="L59" s="11"/>
      <c r="M59" s="11"/>
      <c r="O59" s="40"/>
      <c r="P59" s="40">
        <f>Tabla356813142230408182848586878888182838485868[[#This Row],[COMISIONES]]*0.21</f>
        <v>0</v>
      </c>
      <c r="Q59" s="40"/>
      <c r="R59" s="40"/>
      <c r="S59" s="40"/>
      <c r="T59" s="48"/>
      <c r="U59"/>
      <c r="V59"/>
      <c r="W59"/>
      <c r="X59"/>
      <c r="Y59"/>
    </row>
    <row r="60" spans="1:25" s="6" customFormat="1" x14ac:dyDescent="0.25">
      <c r="A60"/>
      <c r="B60"/>
      <c r="C60"/>
      <c r="D60"/>
      <c r="E60"/>
      <c r="F60"/>
      <c r="G60"/>
      <c r="I60" s="11"/>
      <c r="J60" s="11">
        <f>Tabla35101826364142444546474844142434445464[[#This Row],[COMISIONES]]*0.21</f>
        <v>0</v>
      </c>
      <c r="K60" s="11"/>
      <c r="L60" s="11"/>
      <c r="M60" s="11"/>
      <c r="O60" s="40"/>
      <c r="P60" s="40">
        <f>Tabla356813142230408182848586878888182838485868[[#This Row],[COMISIONES]]*0.21</f>
        <v>0</v>
      </c>
      <c r="Q60" s="40"/>
      <c r="R60" s="40"/>
      <c r="S60" s="40"/>
      <c r="T60" s="48"/>
      <c r="U60"/>
      <c r="V60"/>
      <c r="W60"/>
      <c r="X60"/>
      <c r="Y60"/>
    </row>
    <row r="61" spans="1:25" s="6" customFormat="1" x14ac:dyDescent="0.25">
      <c r="A61"/>
      <c r="B61"/>
      <c r="C61"/>
      <c r="D61"/>
      <c r="E61"/>
      <c r="F61"/>
      <c r="G61"/>
      <c r="I61" s="11"/>
      <c r="J61" s="11">
        <f>Tabla35101826364142444546474844142434445464[[#This Row],[COMISIONES]]*0.21</f>
        <v>0</v>
      </c>
      <c r="K61" s="11"/>
      <c r="L61" s="11"/>
      <c r="M61" s="11"/>
      <c r="O61" s="40"/>
      <c r="P61" s="40">
        <f>Tabla356813142230408182848586878888182838485868[[#This Row],[COMISIONES]]*0.21</f>
        <v>0</v>
      </c>
      <c r="Q61" s="40"/>
      <c r="R61" s="40"/>
      <c r="S61" s="40"/>
      <c r="T61" s="48"/>
      <c r="U61"/>
      <c r="V61"/>
      <c r="W61"/>
      <c r="X61"/>
      <c r="Y61"/>
    </row>
    <row r="62" spans="1:25" s="6" customFormat="1" x14ac:dyDescent="0.25">
      <c r="A62"/>
      <c r="B62"/>
      <c r="C62"/>
      <c r="D62"/>
      <c r="E62"/>
      <c r="F62"/>
      <c r="G62"/>
      <c r="I62" s="11"/>
      <c r="J62" s="11">
        <f>Tabla35101826364142444546474844142434445464[[#This Row],[COMISIONES]]*0.21</f>
        <v>0</v>
      </c>
      <c r="K62" s="11"/>
      <c r="L62" s="11"/>
      <c r="M62" s="11"/>
      <c r="O62" s="40"/>
      <c r="P62" s="40">
        <f>Tabla356813142230408182848586878888182838485868[[#This Row],[COMISIONES]]*0.21</f>
        <v>0</v>
      </c>
      <c r="Q62" s="40"/>
      <c r="R62" s="40"/>
      <c r="S62" s="40"/>
      <c r="T62" s="48"/>
      <c r="U62"/>
      <c r="V62"/>
      <c r="W62"/>
      <c r="X62"/>
      <c r="Y62"/>
    </row>
    <row r="63" spans="1:25" s="6" customFormat="1" x14ac:dyDescent="0.25">
      <c r="A63"/>
      <c r="B63"/>
      <c r="C63"/>
      <c r="D63"/>
      <c r="E63"/>
      <c r="F63"/>
      <c r="G63"/>
      <c r="I63" s="18"/>
      <c r="J63" s="11">
        <f>Tabla35101826364142444546474844142434445464[[#This Row],[COMISIONES]]*0.21</f>
        <v>0</v>
      </c>
      <c r="K63" s="18"/>
      <c r="L63" s="18"/>
      <c r="M63" s="18"/>
      <c r="O63" s="40"/>
      <c r="P63" s="40">
        <f>Tabla356813142230408182848586878888182838485868[[#This Row],[COMISIONES]]*0.21</f>
        <v>0</v>
      </c>
      <c r="Q63" s="40"/>
      <c r="R63" s="40"/>
      <c r="S63" s="40"/>
      <c r="T63" s="48"/>
      <c r="U63"/>
      <c r="V63"/>
      <c r="W63"/>
      <c r="X63"/>
      <c r="Y63"/>
    </row>
    <row r="64" spans="1:25" s="6" customFormat="1" x14ac:dyDescent="0.25">
      <c r="A64"/>
      <c r="B64"/>
      <c r="C64"/>
      <c r="D64"/>
      <c r="E64"/>
      <c r="F64"/>
      <c r="G64"/>
      <c r="I64" s="18"/>
      <c r="J64" s="11">
        <f>Tabla35101826364142444546474844142434445464[[#This Row],[COMISIONES]]*0.21</f>
        <v>0</v>
      </c>
      <c r="K64" s="18"/>
      <c r="L64" s="18"/>
      <c r="M64" s="18"/>
      <c r="O64" s="4">
        <f>SUBTOTAL(109,Tabla356813142230408182848586878888182838485868[COMISIONES])</f>
        <v>49109.81</v>
      </c>
      <c r="P64" s="4">
        <f>SUBTOTAL(109,Tabla356813142230408182848586878888182838485868[IVA 21])</f>
        <v>10080</v>
      </c>
      <c r="Q64" s="4">
        <f>SUBTOTAL(109,Tabla356813142230408182848586878888182838485868[IVA 10,5])</f>
        <v>116.53004999999999</v>
      </c>
      <c r="R64" s="4">
        <f>SUBTOTAL(109,Tabla356813142230408182848586878888182838485868[Ret IIBB Caba])</f>
        <v>2880</v>
      </c>
      <c r="S64" s="4">
        <f>SUBTOTAL(109,Tabla356813142230408182848586878888182838485868[PERC IVA])</f>
        <v>1440</v>
      </c>
      <c r="T64" s="49"/>
      <c r="U64"/>
      <c r="V64"/>
      <c r="W64"/>
      <c r="X64"/>
      <c r="Y64"/>
    </row>
    <row r="65" spans="1:25" s="6" customFormat="1" x14ac:dyDescent="0.25">
      <c r="A65"/>
      <c r="B65"/>
      <c r="C65"/>
      <c r="D65"/>
      <c r="E65"/>
      <c r="F65"/>
      <c r="G65"/>
      <c r="I65" s="18"/>
      <c r="J65" s="11">
        <f>Tabla35101826364142444546474844142434445464[[#This Row],[COMISIONES]]*0.21</f>
        <v>0</v>
      </c>
      <c r="K65" s="18"/>
      <c r="L65" s="18"/>
      <c r="M65" s="18"/>
      <c r="O65"/>
      <c r="P65"/>
      <c r="Q65"/>
      <c r="R65"/>
      <c r="S65"/>
      <c r="U65"/>
      <c r="V65"/>
      <c r="W65"/>
      <c r="X65"/>
      <c r="Y65"/>
    </row>
    <row r="66" spans="1:25" s="6" customFormat="1" x14ac:dyDescent="0.25">
      <c r="A66"/>
      <c r="B66"/>
      <c r="C66"/>
      <c r="D66"/>
      <c r="E66"/>
      <c r="F66"/>
      <c r="G66"/>
      <c r="I66" s="18"/>
      <c r="J66" s="11">
        <f>Tabla35101826364142444546474844142434445464[[#This Row],[COMISIONES]]*0.21</f>
        <v>0</v>
      </c>
      <c r="K66" s="18"/>
      <c r="L66" s="18"/>
      <c r="M66" s="18"/>
      <c r="O66"/>
      <c r="P66"/>
      <c r="Q66"/>
      <c r="R66"/>
      <c r="S66"/>
      <c r="U66"/>
      <c r="V66"/>
      <c r="W66"/>
      <c r="X66"/>
      <c r="Y66"/>
    </row>
    <row r="67" spans="1:25" s="6" customFormat="1" x14ac:dyDescent="0.25">
      <c r="A67"/>
      <c r="B67"/>
      <c r="C67"/>
      <c r="D67"/>
      <c r="E67"/>
      <c r="F67"/>
      <c r="G67"/>
      <c r="I67" s="18"/>
      <c r="J67" s="11">
        <f>Tabla35101826364142444546474844142434445464[[#This Row],[COMISIONES]]*0.21</f>
        <v>0</v>
      </c>
      <c r="K67" s="18"/>
      <c r="L67" s="18"/>
      <c r="M67" s="18"/>
      <c r="O67"/>
      <c r="P67"/>
      <c r="Q67"/>
      <c r="R67"/>
      <c r="S67"/>
      <c r="U67"/>
      <c r="V67"/>
      <c r="W67"/>
      <c r="X67"/>
      <c r="Y67"/>
    </row>
    <row r="68" spans="1:25" s="6" customFormat="1" x14ac:dyDescent="0.25">
      <c r="A68"/>
      <c r="B68"/>
      <c r="C68"/>
      <c r="D68"/>
      <c r="E68"/>
      <c r="F68"/>
      <c r="G68"/>
      <c r="I68" s="18"/>
      <c r="J68" s="11">
        <f>Tabla35101826364142444546474844142434445464[[#This Row],[COMISIONES]]*0.21</f>
        <v>0</v>
      </c>
      <c r="K68" s="18"/>
      <c r="L68" s="18"/>
      <c r="M68" s="18"/>
      <c r="O68"/>
      <c r="P68"/>
      <c r="Q68"/>
      <c r="R68"/>
      <c r="S68"/>
      <c r="U68"/>
      <c r="V68"/>
      <c r="W68"/>
      <c r="X68"/>
      <c r="Y68"/>
    </row>
    <row r="69" spans="1:25" s="6" customFormat="1" x14ac:dyDescent="0.25">
      <c r="A69"/>
      <c r="B69"/>
      <c r="C69"/>
      <c r="D69"/>
      <c r="E69"/>
      <c r="F69"/>
      <c r="G69"/>
      <c r="I69" s="18"/>
      <c r="J69" s="11">
        <f>Tabla35101826364142444546474844142434445464[[#This Row],[COMISIONES]]*0.21</f>
        <v>0</v>
      </c>
      <c r="K69" s="18"/>
      <c r="L69" s="18"/>
      <c r="M69" s="18"/>
      <c r="O69"/>
      <c r="P69"/>
      <c r="Q69"/>
      <c r="R69"/>
      <c r="S69"/>
      <c r="U69"/>
      <c r="V69"/>
      <c r="W69"/>
      <c r="X69"/>
      <c r="Y69"/>
    </row>
    <row r="70" spans="1:25" s="6" customFormat="1" x14ac:dyDescent="0.25">
      <c r="A70"/>
      <c r="B70"/>
      <c r="C70"/>
      <c r="D70"/>
      <c r="E70"/>
      <c r="F70"/>
      <c r="G70"/>
      <c r="I70" s="18"/>
      <c r="J70" s="11">
        <f>Tabla35101826364142444546474844142434445464[[#This Row],[COMISIONES]]*0.21</f>
        <v>0</v>
      </c>
      <c r="K70" s="18"/>
      <c r="L70" s="18"/>
      <c r="M70" s="18"/>
      <c r="O70"/>
      <c r="P70"/>
      <c r="Q70"/>
      <c r="R70"/>
      <c r="S70"/>
      <c r="U70"/>
      <c r="V70"/>
      <c r="W70"/>
      <c r="X70"/>
      <c r="Y70"/>
    </row>
    <row r="71" spans="1:25" s="6" customFormat="1" x14ac:dyDescent="0.25">
      <c r="A71"/>
      <c r="B71"/>
      <c r="C71"/>
      <c r="D71"/>
      <c r="E71"/>
      <c r="F71"/>
      <c r="G71"/>
      <c r="I71" s="18"/>
      <c r="J71" s="11">
        <f>Tabla35101826364142444546474844142434445464[[#This Row],[COMISIONES]]*0.21</f>
        <v>0</v>
      </c>
      <c r="K71" s="18"/>
      <c r="L71" s="18"/>
      <c r="M71" s="18"/>
      <c r="O71"/>
      <c r="P71"/>
      <c r="Q71"/>
      <c r="R71"/>
      <c r="S71"/>
      <c r="U71"/>
      <c r="V71"/>
      <c r="W71"/>
      <c r="X71"/>
      <c r="Y71"/>
    </row>
    <row r="72" spans="1:25" s="6" customFormat="1" x14ac:dyDescent="0.25">
      <c r="A72"/>
      <c r="B72"/>
      <c r="C72"/>
      <c r="D72"/>
      <c r="E72"/>
      <c r="F72"/>
      <c r="G72"/>
      <c r="I72" s="18"/>
      <c r="J72" s="11">
        <f>Tabla35101826364142444546474844142434445464[[#This Row],[COMISIONES]]*0.21</f>
        <v>0</v>
      </c>
      <c r="K72" s="18"/>
      <c r="L72" s="18"/>
      <c r="M72" s="18"/>
      <c r="O72"/>
      <c r="P72"/>
      <c r="Q72"/>
      <c r="R72"/>
      <c r="S72"/>
      <c r="U72"/>
      <c r="V72"/>
      <c r="W72"/>
      <c r="X72"/>
      <c r="Y72"/>
    </row>
    <row r="73" spans="1:25" s="6" customFormat="1" x14ac:dyDescent="0.25">
      <c r="A73"/>
      <c r="B73"/>
      <c r="C73"/>
      <c r="D73"/>
      <c r="E73"/>
      <c r="F73"/>
      <c r="G73"/>
      <c r="I73" s="18"/>
      <c r="J73" s="11">
        <f>Tabla35101826364142444546474844142434445464[[#This Row],[COMISIONES]]*0.21</f>
        <v>0</v>
      </c>
      <c r="K73" s="18"/>
      <c r="L73" s="18"/>
      <c r="M73" s="18"/>
      <c r="O73"/>
      <c r="P73"/>
      <c r="Q73"/>
      <c r="R73"/>
      <c r="S73"/>
      <c r="U73"/>
      <c r="V73"/>
      <c r="W73"/>
      <c r="X73"/>
      <c r="Y73"/>
    </row>
    <row r="74" spans="1:25" s="6" customFormat="1" x14ac:dyDescent="0.25">
      <c r="A74"/>
      <c r="B74"/>
      <c r="C74"/>
      <c r="D74"/>
      <c r="E74"/>
      <c r="F74"/>
      <c r="G74"/>
      <c r="I74" s="18"/>
      <c r="J74" s="11">
        <f>Tabla35101826364142444546474844142434445464[[#This Row],[COMISIONES]]*0.21</f>
        <v>0</v>
      </c>
      <c r="K74" s="18"/>
      <c r="L74" s="18"/>
      <c r="M74" s="18"/>
      <c r="O74"/>
      <c r="P74"/>
      <c r="Q74"/>
      <c r="R74"/>
      <c r="S74"/>
      <c r="U74"/>
      <c r="V74"/>
      <c r="W74"/>
      <c r="X74"/>
      <c r="Y74"/>
    </row>
    <row r="75" spans="1:25" s="6" customFormat="1" x14ac:dyDescent="0.25">
      <c r="A75"/>
      <c r="B75"/>
      <c r="C75"/>
      <c r="D75"/>
      <c r="E75"/>
      <c r="F75"/>
      <c r="G75"/>
      <c r="I75" s="18"/>
      <c r="J75" s="11">
        <f>Tabla35101826364142444546474844142434445464[[#This Row],[COMISIONES]]*0.21</f>
        <v>0</v>
      </c>
      <c r="K75" s="18"/>
      <c r="L75" s="18"/>
      <c r="M75" s="18"/>
      <c r="O75"/>
      <c r="P75"/>
      <c r="Q75"/>
      <c r="R75"/>
      <c r="S75"/>
      <c r="U75"/>
      <c r="V75"/>
      <c r="W75"/>
      <c r="X75"/>
      <c r="Y75"/>
    </row>
    <row r="76" spans="1:25" s="6" customFormat="1" x14ac:dyDescent="0.25">
      <c r="A76"/>
      <c r="B76"/>
      <c r="C76"/>
      <c r="D76"/>
      <c r="E76"/>
      <c r="F76"/>
      <c r="G76"/>
      <c r="I76" s="18"/>
      <c r="J76" s="11">
        <f>Tabla35101826364142444546474844142434445464[[#This Row],[COMISIONES]]*0.21</f>
        <v>0</v>
      </c>
      <c r="K76" s="18"/>
      <c r="L76" s="18"/>
      <c r="M76" s="18"/>
      <c r="O76"/>
      <c r="P76"/>
      <c r="Q76"/>
      <c r="R76"/>
      <c r="S76"/>
      <c r="U76"/>
      <c r="V76"/>
      <c r="W76"/>
      <c r="X76"/>
      <c r="Y76"/>
    </row>
    <row r="77" spans="1:25" s="6" customFormat="1" x14ac:dyDescent="0.25">
      <c r="A77"/>
      <c r="B77"/>
      <c r="C77"/>
      <c r="D77"/>
      <c r="E77"/>
      <c r="F77"/>
      <c r="G77"/>
      <c r="I77" s="18"/>
      <c r="J77" s="11">
        <f>Tabla35101826364142444546474844142434445464[[#This Row],[COMISIONES]]*0.21</f>
        <v>0</v>
      </c>
      <c r="K77" s="18"/>
      <c r="L77" s="18"/>
      <c r="M77" s="18"/>
      <c r="O77"/>
      <c r="P77"/>
      <c r="Q77"/>
      <c r="R77"/>
      <c r="S77"/>
      <c r="U77"/>
      <c r="V77"/>
      <c r="W77"/>
      <c r="X77"/>
      <c r="Y77"/>
    </row>
    <row r="78" spans="1:25" s="6" customFormat="1" x14ac:dyDescent="0.25">
      <c r="A78"/>
      <c r="B78"/>
      <c r="C78"/>
      <c r="D78"/>
      <c r="E78"/>
      <c r="F78"/>
      <c r="G78"/>
      <c r="I78" s="18"/>
      <c r="J78" s="11">
        <f>Tabla35101826364142444546474844142434445464[[#This Row],[COMISIONES]]*0.21</f>
        <v>0</v>
      </c>
      <c r="K78" s="18"/>
      <c r="L78" s="18"/>
      <c r="M78" s="18"/>
      <c r="O78"/>
      <c r="P78"/>
      <c r="Q78"/>
      <c r="R78"/>
      <c r="S78"/>
      <c r="U78"/>
      <c r="V78"/>
      <c r="W78"/>
      <c r="X78"/>
      <c r="Y78"/>
    </row>
    <row r="79" spans="1:25" s="6" customFormat="1" x14ac:dyDescent="0.25">
      <c r="A79"/>
      <c r="B79"/>
      <c r="C79"/>
      <c r="D79"/>
      <c r="E79"/>
      <c r="F79"/>
      <c r="G79"/>
      <c r="I79" s="18"/>
      <c r="J79" s="11">
        <f>Tabla35101826364142444546474844142434445464[[#This Row],[COMISIONES]]*0.21</f>
        <v>0</v>
      </c>
      <c r="K79" s="18"/>
      <c r="L79" s="18"/>
      <c r="M79" s="18"/>
      <c r="O79"/>
      <c r="P79"/>
      <c r="Q79"/>
      <c r="R79"/>
      <c r="S79"/>
      <c r="U79"/>
      <c r="V79"/>
      <c r="W79"/>
      <c r="X79"/>
      <c r="Y79"/>
    </row>
    <row r="80" spans="1:25" s="6" customFormat="1" x14ac:dyDescent="0.25">
      <c r="A80"/>
      <c r="B80"/>
      <c r="C80"/>
      <c r="D80"/>
      <c r="E80"/>
      <c r="F80"/>
      <c r="G80"/>
      <c r="I80" s="18"/>
      <c r="J80" s="11">
        <f>Tabla35101826364142444546474844142434445464[[#This Row],[COMISIONES]]*0.21</f>
        <v>0</v>
      </c>
      <c r="K80" s="18"/>
      <c r="L80" s="18"/>
      <c r="M80" s="18"/>
      <c r="O80"/>
      <c r="P80"/>
      <c r="Q80"/>
      <c r="R80"/>
      <c r="S80"/>
      <c r="U80"/>
      <c r="V80"/>
      <c r="W80"/>
      <c r="X80"/>
      <c r="Y80"/>
    </row>
    <row r="81" spans="1:25" s="6" customFormat="1" x14ac:dyDescent="0.25">
      <c r="A81"/>
      <c r="B81"/>
      <c r="C81"/>
      <c r="D81"/>
      <c r="E81"/>
      <c r="F81"/>
      <c r="G81"/>
      <c r="I81" s="18"/>
      <c r="J81" s="11">
        <f>Tabla35101826364142444546474844142434445464[[#This Row],[COMISIONES]]*0.21</f>
        <v>0</v>
      </c>
      <c r="K81" s="18"/>
      <c r="L81" s="18"/>
      <c r="M81" s="18"/>
      <c r="O81"/>
      <c r="P81"/>
      <c r="Q81"/>
      <c r="R81"/>
      <c r="S81"/>
      <c r="U81"/>
      <c r="V81"/>
      <c r="W81"/>
      <c r="X81"/>
      <c r="Y81"/>
    </row>
    <row r="82" spans="1:25" s="6" customFormat="1" x14ac:dyDescent="0.25">
      <c r="A82"/>
      <c r="B82"/>
      <c r="C82"/>
      <c r="D82"/>
      <c r="E82"/>
      <c r="F82"/>
      <c r="G82"/>
      <c r="I82" s="18"/>
      <c r="J82" s="11">
        <f>Tabla35101826364142444546474844142434445464[[#This Row],[COMISIONES]]*0.21</f>
        <v>0</v>
      </c>
      <c r="K82" s="18"/>
      <c r="L82" s="18"/>
      <c r="M82" s="18"/>
      <c r="O82"/>
      <c r="P82"/>
      <c r="Q82"/>
      <c r="R82"/>
      <c r="S82"/>
      <c r="U82"/>
      <c r="V82"/>
      <c r="W82"/>
      <c r="X82"/>
      <c r="Y82"/>
    </row>
    <row r="83" spans="1:25" s="6" customFormat="1" x14ac:dyDescent="0.25">
      <c r="A83"/>
      <c r="B83"/>
      <c r="C83"/>
      <c r="D83"/>
      <c r="E83"/>
      <c r="F83"/>
      <c r="G83"/>
      <c r="I83" s="18"/>
      <c r="J83" s="11">
        <f>Tabla35101826364142444546474844142434445464[[#This Row],[COMISIONES]]*0.21</f>
        <v>0</v>
      </c>
      <c r="K83" s="18"/>
      <c r="L83" s="18"/>
      <c r="M83" s="18"/>
      <c r="O83"/>
      <c r="P83"/>
      <c r="Q83"/>
      <c r="R83"/>
      <c r="S83"/>
      <c r="U83"/>
      <c r="V83"/>
      <c r="W83"/>
      <c r="X83"/>
      <c r="Y83"/>
    </row>
    <row r="84" spans="1:25" s="6" customFormat="1" x14ac:dyDescent="0.25">
      <c r="A84"/>
      <c r="B84"/>
      <c r="C84"/>
      <c r="D84"/>
      <c r="E84"/>
      <c r="F84"/>
      <c r="G84"/>
      <c r="I84" s="18"/>
      <c r="J84" s="11">
        <f>Tabla35101826364142444546474844142434445464[[#This Row],[COMISIONES]]*0.21</f>
        <v>0</v>
      </c>
      <c r="K84" s="18"/>
      <c r="L84" s="18"/>
      <c r="M84" s="18"/>
      <c r="O84"/>
      <c r="P84"/>
      <c r="Q84"/>
      <c r="R84"/>
      <c r="S84"/>
      <c r="U84"/>
      <c r="V84"/>
      <c r="W84"/>
      <c r="X84"/>
      <c r="Y84"/>
    </row>
    <row r="85" spans="1:25" s="6" customFormat="1" x14ac:dyDescent="0.25">
      <c r="A85"/>
      <c r="B85"/>
      <c r="C85"/>
      <c r="D85"/>
      <c r="E85"/>
      <c r="F85"/>
      <c r="G85"/>
      <c r="I85" s="18"/>
      <c r="J85" s="11">
        <f>Tabla35101826364142444546474844142434445464[[#This Row],[COMISIONES]]*0.21</f>
        <v>0</v>
      </c>
      <c r="K85" s="18"/>
      <c r="L85" s="18"/>
      <c r="M85" s="18"/>
      <c r="O85"/>
      <c r="P85"/>
      <c r="Q85"/>
      <c r="R85"/>
      <c r="S85"/>
      <c r="U85"/>
      <c r="V85"/>
      <c r="W85"/>
      <c r="X85"/>
      <c r="Y85"/>
    </row>
    <row r="86" spans="1:25" s="6" customFormat="1" x14ac:dyDescent="0.25">
      <c r="A86"/>
      <c r="B86"/>
      <c r="C86"/>
      <c r="D86"/>
      <c r="E86"/>
      <c r="F86"/>
      <c r="G86"/>
      <c r="I86" s="18"/>
      <c r="J86" s="11">
        <f>Tabla35101826364142444546474844142434445464[[#This Row],[COMISIONES]]*0.21</f>
        <v>0</v>
      </c>
      <c r="K86" s="18"/>
      <c r="L86" s="18"/>
      <c r="M86" s="18"/>
      <c r="O86"/>
      <c r="P86"/>
      <c r="Q86"/>
      <c r="R86"/>
      <c r="S86"/>
      <c r="U86"/>
      <c r="V86"/>
      <c r="W86"/>
      <c r="X86"/>
      <c r="Y86"/>
    </row>
    <row r="87" spans="1:25" s="6" customFormat="1" x14ac:dyDescent="0.25">
      <c r="A87"/>
      <c r="B87"/>
      <c r="C87"/>
      <c r="D87"/>
      <c r="E87"/>
      <c r="F87"/>
      <c r="G87"/>
      <c r="I87" s="18"/>
      <c r="J87" s="11">
        <f>Tabla35101826364142444546474844142434445464[[#This Row],[COMISIONES]]*0.21</f>
        <v>0</v>
      </c>
      <c r="K87" s="18"/>
      <c r="L87" s="18"/>
      <c r="M87" s="18"/>
      <c r="O87"/>
      <c r="P87"/>
      <c r="Q87"/>
      <c r="R87"/>
      <c r="S87"/>
      <c r="U87"/>
      <c r="V87"/>
      <c r="W87"/>
      <c r="X87"/>
      <c r="Y87"/>
    </row>
    <row r="88" spans="1:25" s="6" customFormat="1" x14ac:dyDescent="0.25">
      <c r="A88"/>
      <c r="B88"/>
      <c r="C88"/>
      <c r="D88"/>
      <c r="E88"/>
      <c r="F88"/>
      <c r="G88"/>
      <c r="I88" s="18"/>
      <c r="J88" s="11">
        <f>Tabla35101826364142444546474844142434445464[[#This Row],[COMISIONES]]*0.21</f>
        <v>0</v>
      </c>
      <c r="K88" s="18"/>
      <c r="L88" s="18"/>
      <c r="M88" s="18"/>
      <c r="O88"/>
      <c r="P88"/>
      <c r="Q88"/>
      <c r="R88"/>
      <c r="S88"/>
      <c r="U88"/>
      <c r="V88"/>
      <c r="W88"/>
      <c r="X88"/>
      <c r="Y88"/>
    </row>
    <row r="89" spans="1:25" s="6" customFormat="1" x14ac:dyDescent="0.25">
      <c r="A89"/>
      <c r="B89"/>
      <c r="C89"/>
      <c r="D89"/>
      <c r="E89"/>
      <c r="F89"/>
      <c r="G89"/>
      <c r="I89" s="18"/>
      <c r="J89" s="11">
        <f>Tabla35101826364142444546474844142434445464[[#This Row],[COMISIONES]]*0.21</f>
        <v>0</v>
      </c>
      <c r="K89" s="18"/>
      <c r="L89" s="18"/>
      <c r="M89" s="18"/>
      <c r="O89"/>
      <c r="P89"/>
      <c r="Q89"/>
      <c r="R89"/>
      <c r="S89"/>
      <c r="U89"/>
      <c r="V89"/>
      <c r="W89"/>
      <c r="X89"/>
      <c r="Y89"/>
    </row>
    <row r="90" spans="1:25" s="6" customFormat="1" x14ac:dyDescent="0.25">
      <c r="A90"/>
      <c r="B90"/>
      <c r="C90"/>
      <c r="D90"/>
      <c r="E90"/>
      <c r="F90"/>
      <c r="G90"/>
      <c r="I90" s="18"/>
      <c r="J90" s="11">
        <f>Tabla35101826364142444546474844142434445464[[#This Row],[COMISIONES]]*0.21</f>
        <v>0</v>
      </c>
      <c r="K90" s="18"/>
      <c r="L90" s="18"/>
      <c r="M90" s="18"/>
      <c r="O90"/>
      <c r="P90"/>
      <c r="Q90"/>
      <c r="R90"/>
      <c r="S90"/>
      <c r="U90"/>
      <c r="V90"/>
      <c r="W90"/>
      <c r="X90"/>
      <c r="Y90"/>
    </row>
    <row r="91" spans="1:25" s="6" customFormat="1" x14ac:dyDescent="0.25">
      <c r="A91"/>
      <c r="B91"/>
      <c r="C91"/>
      <c r="D91"/>
      <c r="E91"/>
      <c r="F91"/>
      <c r="G91"/>
      <c r="I91" s="18"/>
      <c r="J91" s="11">
        <f>Tabla35101826364142444546474844142434445464[[#This Row],[COMISIONES]]*0.21</f>
        <v>0</v>
      </c>
      <c r="K91" s="18"/>
      <c r="L91" s="18"/>
      <c r="M91" s="18"/>
      <c r="O91"/>
      <c r="P91"/>
      <c r="Q91"/>
      <c r="R91"/>
      <c r="S91"/>
      <c r="U91"/>
      <c r="V91"/>
      <c r="W91"/>
      <c r="X91"/>
      <c r="Y91"/>
    </row>
    <row r="92" spans="1:25" s="6" customFormat="1" x14ac:dyDescent="0.25">
      <c r="A92"/>
      <c r="B92"/>
      <c r="C92"/>
      <c r="D92"/>
      <c r="E92"/>
      <c r="F92"/>
      <c r="G92"/>
      <c r="I92" s="18"/>
      <c r="J92" s="11">
        <f>Tabla35101826364142444546474844142434445464[[#This Row],[COMISIONES]]*0.21</f>
        <v>0</v>
      </c>
      <c r="K92" s="18"/>
      <c r="L92" s="18"/>
      <c r="M92" s="18"/>
      <c r="O92"/>
      <c r="P92"/>
      <c r="Q92"/>
      <c r="R92"/>
      <c r="S92"/>
      <c r="U92"/>
      <c r="V92"/>
      <c r="W92"/>
      <c r="X92"/>
      <c r="Y92"/>
    </row>
    <row r="93" spans="1:25" s="6" customFormat="1" x14ac:dyDescent="0.25">
      <c r="A93"/>
      <c r="B93"/>
      <c r="C93"/>
      <c r="D93"/>
      <c r="E93"/>
      <c r="F93"/>
      <c r="G93"/>
      <c r="I93" s="18"/>
      <c r="J93" s="11">
        <f>Tabla35101826364142444546474844142434445464[[#This Row],[COMISIONES]]*0.21</f>
        <v>0</v>
      </c>
      <c r="K93" s="18"/>
      <c r="L93" s="18"/>
      <c r="M93" s="18"/>
      <c r="O93"/>
      <c r="P93"/>
      <c r="Q93"/>
      <c r="R93"/>
      <c r="S93"/>
      <c r="U93"/>
      <c r="V93"/>
      <c r="W93"/>
      <c r="X93"/>
      <c r="Y93"/>
    </row>
    <row r="94" spans="1:25" s="6" customFormat="1" x14ac:dyDescent="0.25">
      <c r="A94"/>
      <c r="B94"/>
      <c r="C94"/>
      <c r="D94"/>
      <c r="E94"/>
      <c r="F94"/>
      <c r="G94"/>
      <c r="I94" s="18"/>
      <c r="J94" s="11">
        <f>Tabla35101826364142444546474844142434445464[[#This Row],[COMISIONES]]*0.21</f>
        <v>0</v>
      </c>
      <c r="K94" s="18"/>
      <c r="L94" s="18"/>
      <c r="M94" s="18"/>
      <c r="O94"/>
      <c r="P94"/>
      <c r="Q94"/>
      <c r="R94"/>
      <c r="S94"/>
      <c r="U94"/>
      <c r="V94"/>
      <c r="W94"/>
      <c r="X94"/>
      <c r="Y94"/>
    </row>
    <row r="95" spans="1:25" s="6" customFormat="1" x14ac:dyDescent="0.25">
      <c r="A95"/>
      <c r="B95"/>
      <c r="C95"/>
      <c r="D95"/>
      <c r="E95"/>
      <c r="F95"/>
      <c r="G95"/>
      <c r="I95" s="18"/>
      <c r="J95" s="11">
        <f>Tabla35101826364142444546474844142434445464[[#This Row],[COMISIONES]]*0.21</f>
        <v>0</v>
      </c>
      <c r="K95" s="18"/>
      <c r="L95" s="18"/>
      <c r="M95" s="18"/>
      <c r="O95"/>
      <c r="P95"/>
      <c r="Q95"/>
      <c r="R95"/>
      <c r="S95"/>
      <c r="U95"/>
      <c r="V95"/>
      <c r="W95"/>
      <c r="X95"/>
      <c r="Y95"/>
    </row>
    <row r="96" spans="1:25" s="6" customFormat="1" x14ac:dyDescent="0.25">
      <c r="A96"/>
      <c r="B96"/>
      <c r="C96"/>
      <c r="D96"/>
      <c r="E96"/>
      <c r="F96"/>
      <c r="G96"/>
      <c r="I96" s="18"/>
      <c r="J96" s="11">
        <f>Tabla35101826364142444546474844142434445464[[#This Row],[COMISIONES]]*0.21</f>
        <v>0</v>
      </c>
      <c r="K96" s="18"/>
      <c r="L96" s="18"/>
      <c r="M96" s="18"/>
      <c r="O96"/>
      <c r="P96"/>
      <c r="Q96"/>
      <c r="R96"/>
      <c r="S96"/>
      <c r="U96"/>
      <c r="V96"/>
      <c r="W96"/>
      <c r="X96"/>
      <c r="Y96"/>
    </row>
    <row r="97" spans="1:25" s="6" customFormat="1" x14ac:dyDescent="0.25">
      <c r="A97"/>
      <c r="B97"/>
      <c r="C97"/>
      <c r="D97"/>
      <c r="E97"/>
      <c r="F97"/>
      <c r="G97"/>
      <c r="I97" s="18"/>
      <c r="J97" s="11">
        <f>Tabla35101826364142444546474844142434445464[[#This Row],[COMISIONES]]*0.21</f>
        <v>0</v>
      </c>
      <c r="K97" s="18"/>
      <c r="L97" s="18"/>
      <c r="M97" s="18"/>
      <c r="O97"/>
      <c r="P97"/>
      <c r="Q97"/>
      <c r="R97"/>
      <c r="S97"/>
      <c r="U97"/>
      <c r="V97"/>
      <c r="W97"/>
      <c r="X97"/>
      <c r="Y97"/>
    </row>
    <row r="98" spans="1:25" s="6" customFormat="1" x14ac:dyDescent="0.25">
      <c r="A98"/>
      <c r="B98"/>
      <c r="C98"/>
      <c r="D98"/>
      <c r="E98"/>
      <c r="F98"/>
      <c r="G98"/>
      <c r="I98" s="18"/>
      <c r="J98" s="11">
        <f>Tabla35101826364142444546474844142434445464[[#This Row],[COMISIONES]]*0.21</f>
        <v>0</v>
      </c>
      <c r="K98" s="18"/>
      <c r="L98" s="18"/>
      <c r="M98" s="18"/>
      <c r="O98"/>
      <c r="P98"/>
      <c r="Q98"/>
      <c r="R98"/>
      <c r="S98"/>
      <c r="U98"/>
      <c r="V98"/>
      <c r="W98"/>
      <c r="X98"/>
      <c r="Y98"/>
    </row>
    <row r="99" spans="1:25" s="6" customFormat="1" x14ac:dyDescent="0.25">
      <c r="A99"/>
      <c r="B99"/>
      <c r="C99"/>
      <c r="D99"/>
      <c r="E99"/>
      <c r="F99"/>
      <c r="G99"/>
      <c r="I99" s="18"/>
      <c r="J99" s="11">
        <f>Tabla35101826364142444546474844142434445464[[#This Row],[COMISIONES]]*0.21</f>
        <v>0</v>
      </c>
      <c r="K99" s="18"/>
      <c r="L99" s="18"/>
      <c r="M99" s="18"/>
      <c r="O99"/>
      <c r="P99"/>
      <c r="Q99"/>
      <c r="R99"/>
      <c r="S99"/>
      <c r="U99"/>
      <c r="V99"/>
      <c r="W99"/>
      <c r="X99"/>
      <c r="Y99"/>
    </row>
    <row r="100" spans="1:25" s="6" customFormat="1" x14ac:dyDescent="0.25">
      <c r="A100"/>
      <c r="B100"/>
      <c r="C100"/>
      <c r="D100"/>
      <c r="E100"/>
      <c r="F100"/>
      <c r="G100"/>
      <c r="I100" s="18"/>
      <c r="J100" s="11">
        <f>Tabla35101826364142444546474844142434445464[[#This Row],[COMISIONES]]*0.21</f>
        <v>0</v>
      </c>
      <c r="K100" s="18"/>
      <c r="L100" s="18"/>
      <c r="M100" s="18"/>
      <c r="O100"/>
      <c r="P100"/>
      <c r="Q100"/>
      <c r="R100"/>
      <c r="S100"/>
      <c r="U100"/>
      <c r="V100"/>
      <c r="W100"/>
      <c r="X100"/>
      <c r="Y100"/>
    </row>
    <row r="101" spans="1:25" s="6" customFormat="1" x14ac:dyDescent="0.25">
      <c r="A101"/>
      <c r="B101"/>
      <c r="C101"/>
      <c r="D101"/>
      <c r="E101"/>
      <c r="F101"/>
      <c r="G101"/>
      <c r="I101" s="18"/>
      <c r="J101" s="11">
        <f>Tabla35101826364142444546474844142434445464[[#This Row],[COMISIONES]]*0.21</f>
        <v>0</v>
      </c>
      <c r="K101" s="18"/>
      <c r="L101" s="18"/>
      <c r="M101" s="18"/>
      <c r="O101"/>
      <c r="P101"/>
      <c r="Q101"/>
      <c r="R101"/>
      <c r="S101"/>
      <c r="U101"/>
      <c r="V101"/>
      <c r="W101"/>
      <c r="X101"/>
      <c r="Y101"/>
    </row>
    <row r="102" spans="1:25" s="6" customFormat="1" x14ac:dyDescent="0.25">
      <c r="A102"/>
      <c r="B102"/>
      <c r="C102"/>
      <c r="D102"/>
      <c r="E102"/>
      <c r="F102"/>
      <c r="G102"/>
      <c r="I102" s="18"/>
      <c r="J102" s="11">
        <f>Tabla35101826364142444546474844142434445464[[#This Row],[COMISIONES]]*0.21</f>
        <v>0</v>
      </c>
      <c r="K102" s="18"/>
      <c r="L102" s="18"/>
      <c r="M102" s="18"/>
      <c r="O102"/>
      <c r="P102"/>
      <c r="Q102"/>
      <c r="R102"/>
      <c r="S102"/>
      <c r="U102"/>
      <c r="V102"/>
      <c r="W102"/>
      <c r="X102"/>
      <c r="Y102"/>
    </row>
    <row r="103" spans="1:25" s="6" customFormat="1" x14ac:dyDescent="0.25">
      <c r="A103"/>
      <c r="B103"/>
      <c r="C103"/>
      <c r="D103"/>
      <c r="E103"/>
      <c r="F103"/>
      <c r="G103"/>
      <c r="I103" s="18"/>
      <c r="J103" s="11">
        <f>Tabla35101826364142444546474844142434445464[[#This Row],[COMISIONES]]*0.21</f>
        <v>0</v>
      </c>
      <c r="K103" s="18"/>
      <c r="L103" s="18"/>
      <c r="M103" s="18"/>
      <c r="O103"/>
      <c r="P103"/>
      <c r="Q103"/>
      <c r="R103"/>
      <c r="S103"/>
      <c r="U103"/>
      <c r="V103"/>
      <c r="W103"/>
      <c r="X103"/>
      <c r="Y103"/>
    </row>
    <row r="104" spans="1:25" s="6" customFormat="1" x14ac:dyDescent="0.25">
      <c r="A104"/>
      <c r="B104"/>
      <c r="C104"/>
      <c r="D104"/>
      <c r="E104"/>
      <c r="F104"/>
      <c r="G104"/>
      <c r="I104" s="18"/>
      <c r="J104" s="11">
        <f>Tabla35101826364142444546474844142434445464[[#This Row],[COMISIONES]]*0.21</f>
        <v>0</v>
      </c>
      <c r="K104" s="18"/>
      <c r="L104" s="18"/>
      <c r="M104" s="18"/>
      <c r="O104"/>
      <c r="P104"/>
      <c r="Q104"/>
      <c r="R104"/>
      <c r="S104"/>
      <c r="U104"/>
      <c r="V104"/>
      <c r="W104"/>
      <c r="X104"/>
      <c r="Y104"/>
    </row>
    <row r="105" spans="1:25" s="6" customFormat="1" x14ac:dyDescent="0.25">
      <c r="A105"/>
      <c r="B105"/>
      <c r="C105"/>
      <c r="D105"/>
      <c r="E105"/>
      <c r="F105"/>
      <c r="G105"/>
      <c r="I105" s="18"/>
      <c r="J105" s="11">
        <f>Tabla35101826364142444546474844142434445464[[#This Row],[COMISIONES]]*0.21</f>
        <v>0</v>
      </c>
      <c r="K105" s="18"/>
      <c r="L105" s="18"/>
      <c r="M105" s="18"/>
      <c r="O105"/>
      <c r="P105"/>
      <c r="Q105"/>
      <c r="R105"/>
      <c r="S105"/>
      <c r="U105"/>
      <c r="V105"/>
      <c r="W105"/>
      <c r="X105"/>
      <c r="Y105"/>
    </row>
    <row r="106" spans="1:25" s="6" customFormat="1" x14ac:dyDescent="0.25">
      <c r="A106"/>
      <c r="B106"/>
      <c r="C106"/>
      <c r="D106"/>
      <c r="E106"/>
      <c r="F106"/>
      <c r="G106"/>
      <c r="I106" s="18"/>
      <c r="J106" s="11">
        <f>Tabla35101826364142444546474844142434445464[[#This Row],[COMISIONES]]*0.21</f>
        <v>0</v>
      </c>
      <c r="K106" s="18"/>
      <c r="L106" s="18"/>
      <c r="M106" s="18"/>
      <c r="O106"/>
      <c r="P106"/>
      <c r="Q106"/>
      <c r="R106"/>
      <c r="S106"/>
      <c r="U106"/>
      <c r="V106"/>
      <c r="W106"/>
      <c r="X106"/>
      <c r="Y106"/>
    </row>
    <row r="107" spans="1:25" s="6" customFormat="1" x14ac:dyDescent="0.25">
      <c r="A107"/>
      <c r="B107"/>
      <c r="C107"/>
      <c r="D107"/>
      <c r="E107"/>
      <c r="F107"/>
      <c r="G107"/>
      <c r="I107" s="18"/>
      <c r="J107" s="11">
        <f>Tabla35101826364142444546474844142434445464[[#This Row],[COMISIONES]]*0.21</f>
        <v>0</v>
      </c>
      <c r="K107" s="18"/>
      <c r="L107" s="18"/>
      <c r="M107" s="18"/>
      <c r="O107"/>
      <c r="P107"/>
      <c r="Q107"/>
      <c r="R107"/>
      <c r="S107"/>
      <c r="U107"/>
      <c r="V107"/>
      <c r="W107"/>
      <c r="X107"/>
      <c r="Y107"/>
    </row>
    <row r="108" spans="1:25" s="6" customFormat="1" x14ac:dyDescent="0.25">
      <c r="A108"/>
      <c r="B108"/>
      <c r="C108"/>
      <c r="D108"/>
      <c r="E108"/>
      <c r="F108"/>
      <c r="G108"/>
      <c r="I108" s="18"/>
      <c r="J108" s="11">
        <f>Tabla35101826364142444546474844142434445464[[#This Row],[COMISIONES]]*0.21</f>
        <v>0</v>
      </c>
      <c r="K108" s="18"/>
      <c r="L108" s="18"/>
      <c r="M108" s="18"/>
      <c r="O108"/>
      <c r="P108"/>
      <c r="Q108"/>
      <c r="R108"/>
      <c r="S108"/>
      <c r="U108"/>
      <c r="V108"/>
      <c r="W108"/>
      <c r="X108"/>
      <c r="Y108"/>
    </row>
    <row r="109" spans="1:25" s="6" customFormat="1" x14ac:dyDescent="0.25">
      <c r="A109"/>
      <c r="B109"/>
      <c r="C109"/>
      <c r="D109"/>
      <c r="E109"/>
      <c r="F109"/>
      <c r="G109"/>
      <c r="I109" s="18"/>
      <c r="J109" s="11">
        <f>Tabla35101826364142444546474844142434445464[[#This Row],[COMISIONES]]*0.21</f>
        <v>0</v>
      </c>
      <c r="K109" s="18"/>
      <c r="L109" s="18"/>
      <c r="M109" s="18"/>
      <c r="O109"/>
      <c r="P109"/>
      <c r="Q109"/>
      <c r="R109"/>
      <c r="S109"/>
      <c r="U109"/>
      <c r="V109"/>
      <c r="W109"/>
      <c r="X109"/>
      <c r="Y109"/>
    </row>
    <row r="110" spans="1:25" s="6" customFormat="1" x14ac:dyDescent="0.25">
      <c r="A110"/>
      <c r="B110"/>
      <c r="C110"/>
      <c r="D110"/>
      <c r="E110"/>
      <c r="F110"/>
      <c r="G110"/>
      <c r="I110" s="18"/>
      <c r="J110" s="11">
        <f>Tabla35101826364142444546474844142434445464[[#This Row],[COMISIONES]]*0.21</f>
        <v>0</v>
      </c>
      <c r="K110" s="18"/>
      <c r="L110" s="18"/>
      <c r="M110" s="18"/>
      <c r="O110"/>
      <c r="P110"/>
      <c r="Q110"/>
      <c r="R110"/>
      <c r="S110"/>
      <c r="U110"/>
      <c r="V110"/>
      <c r="W110"/>
      <c r="X110"/>
      <c r="Y110"/>
    </row>
    <row r="111" spans="1:25" s="6" customFormat="1" x14ac:dyDescent="0.25">
      <c r="A111"/>
      <c r="B111"/>
      <c r="C111"/>
      <c r="D111"/>
      <c r="E111"/>
      <c r="F111"/>
      <c r="G111"/>
      <c r="I111" s="18"/>
      <c r="J111" s="11">
        <f>Tabla35101826364142444546474844142434445464[[#This Row],[COMISIONES]]*0.21</f>
        <v>0</v>
      </c>
      <c r="K111" s="18"/>
      <c r="L111" s="18"/>
      <c r="M111" s="18"/>
      <c r="O111"/>
      <c r="P111"/>
      <c r="Q111"/>
      <c r="R111"/>
      <c r="S111"/>
      <c r="U111"/>
      <c r="V111"/>
      <c r="W111"/>
      <c r="X111"/>
      <c r="Y111"/>
    </row>
    <row r="112" spans="1:25" s="6" customFormat="1" x14ac:dyDescent="0.25">
      <c r="A112"/>
      <c r="B112"/>
      <c r="C112"/>
      <c r="D112"/>
      <c r="E112"/>
      <c r="F112"/>
      <c r="G112"/>
      <c r="I112" s="18"/>
      <c r="J112" s="11">
        <f>Tabla35101826364142444546474844142434445464[[#This Row],[COMISIONES]]*0.21</f>
        <v>0</v>
      </c>
      <c r="K112" s="18"/>
      <c r="L112" s="18"/>
      <c r="M112" s="18"/>
      <c r="O112"/>
      <c r="P112"/>
      <c r="Q112"/>
      <c r="R112"/>
      <c r="S112"/>
      <c r="U112"/>
      <c r="V112"/>
      <c r="W112"/>
      <c r="X112"/>
      <c r="Y112"/>
    </row>
    <row r="113" spans="1:25" s="6" customFormat="1" x14ac:dyDescent="0.25">
      <c r="A113"/>
      <c r="B113"/>
      <c r="C113"/>
      <c r="D113"/>
      <c r="E113"/>
      <c r="F113"/>
      <c r="G113"/>
      <c r="I113" s="18"/>
      <c r="J113" s="11">
        <f>Tabla35101826364142444546474844142434445464[[#This Row],[COMISIONES]]*0.21</f>
        <v>0</v>
      </c>
      <c r="K113" s="18"/>
      <c r="L113" s="18"/>
      <c r="M113" s="18"/>
      <c r="O113"/>
      <c r="P113"/>
      <c r="Q113"/>
      <c r="R113"/>
      <c r="S113"/>
      <c r="U113"/>
      <c r="V113"/>
      <c r="W113"/>
      <c r="X113"/>
      <c r="Y113"/>
    </row>
    <row r="114" spans="1:25" s="6" customFormat="1" x14ac:dyDescent="0.25">
      <c r="A114"/>
      <c r="B114"/>
      <c r="C114"/>
      <c r="D114"/>
      <c r="E114"/>
      <c r="F114"/>
      <c r="G114"/>
      <c r="I114" s="18"/>
      <c r="J114" s="11">
        <f>Tabla35101826364142444546474844142434445464[[#This Row],[COMISIONES]]*0.21</f>
        <v>0</v>
      </c>
      <c r="K114" s="18"/>
      <c r="L114" s="18"/>
      <c r="M114" s="18"/>
      <c r="O114"/>
      <c r="P114"/>
      <c r="Q114"/>
      <c r="R114"/>
      <c r="S114"/>
      <c r="U114"/>
      <c r="V114"/>
      <c r="W114"/>
      <c r="X114"/>
      <c r="Y114"/>
    </row>
    <row r="115" spans="1:25" s="6" customFormat="1" x14ac:dyDescent="0.25">
      <c r="A115"/>
      <c r="B115"/>
      <c r="C115"/>
      <c r="D115"/>
      <c r="E115"/>
      <c r="F115"/>
      <c r="G115"/>
      <c r="I115" s="18"/>
      <c r="J115" s="11">
        <f>Tabla35101826364142444546474844142434445464[[#This Row],[COMISIONES]]*0.21</f>
        <v>0</v>
      </c>
      <c r="K115" s="18"/>
      <c r="L115" s="18"/>
      <c r="M115" s="18"/>
      <c r="O115"/>
      <c r="P115"/>
      <c r="Q115"/>
      <c r="R115"/>
      <c r="S115"/>
      <c r="U115"/>
      <c r="V115"/>
      <c r="W115"/>
      <c r="X115"/>
      <c r="Y115"/>
    </row>
    <row r="116" spans="1:25" s="6" customFormat="1" x14ac:dyDescent="0.25">
      <c r="A116"/>
      <c r="B116"/>
      <c r="C116"/>
      <c r="D116"/>
      <c r="E116"/>
      <c r="F116"/>
      <c r="G116"/>
      <c r="I116" s="18"/>
      <c r="J116" s="11">
        <f>Tabla35101826364142444546474844142434445464[[#This Row],[COMISIONES]]*0.21</f>
        <v>0</v>
      </c>
      <c r="K116" s="18"/>
      <c r="L116" s="18"/>
      <c r="M116" s="18"/>
      <c r="O116"/>
      <c r="P116"/>
      <c r="Q116"/>
      <c r="R116"/>
      <c r="S116"/>
      <c r="U116"/>
      <c r="V116"/>
      <c r="W116"/>
      <c r="X116"/>
      <c r="Y116"/>
    </row>
    <row r="117" spans="1:25" s="6" customFormat="1" x14ac:dyDescent="0.25">
      <c r="A117"/>
      <c r="B117"/>
      <c r="C117"/>
      <c r="D117"/>
      <c r="E117"/>
      <c r="F117"/>
      <c r="G117"/>
      <c r="I117" s="18"/>
      <c r="J117" s="11">
        <f>Tabla35101826364142444546474844142434445464[[#This Row],[COMISIONES]]*0.21</f>
        <v>0</v>
      </c>
      <c r="K117" s="18"/>
      <c r="L117" s="18"/>
      <c r="M117" s="18"/>
      <c r="O117"/>
      <c r="P117"/>
      <c r="Q117"/>
      <c r="R117"/>
      <c r="S117"/>
      <c r="U117"/>
      <c r="V117"/>
      <c r="W117"/>
      <c r="X117"/>
      <c r="Y117"/>
    </row>
    <row r="118" spans="1:25" s="6" customFormat="1" x14ac:dyDescent="0.25">
      <c r="A118"/>
      <c r="B118"/>
      <c r="C118"/>
      <c r="D118"/>
      <c r="E118"/>
      <c r="F118"/>
      <c r="G118"/>
      <c r="I118" s="18"/>
      <c r="J118" s="11">
        <f>Tabla35101826364142444546474844142434445464[[#This Row],[COMISIONES]]*0.21</f>
        <v>0</v>
      </c>
      <c r="K118" s="18"/>
      <c r="L118" s="18"/>
      <c r="M118" s="18"/>
      <c r="O118"/>
      <c r="P118"/>
      <c r="Q118"/>
      <c r="R118"/>
      <c r="S118"/>
      <c r="U118"/>
      <c r="V118"/>
      <c r="W118"/>
      <c r="X118"/>
      <c r="Y118"/>
    </row>
    <row r="119" spans="1:25" s="6" customFormat="1" x14ac:dyDescent="0.25">
      <c r="A119"/>
      <c r="B119"/>
      <c r="C119"/>
      <c r="D119"/>
      <c r="E119"/>
      <c r="F119"/>
      <c r="G119"/>
      <c r="I119" s="18"/>
      <c r="J119" s="18"/>
      <c r="K119" s="18"/>
      <c r="L119" s="18"/>
      <c r="M119" s="18"/>
      <c r="O119"/>
      <c r="P119"/>
      <c r="Q119"/>
      <c r="R119"/>
      <c r="S119"/>
      <c r="U119"/>
      <c r="V119"/>
      <c r="W119"/>
      <c r="X119"/>
      <c r="Y119"/>
    </row>
    <row r="120" spans="1:25" s="6" customFormat="1" x14ac:dyDescent="0.25">
      <c r="A120"/>
      <c r="B120"/>
      <c r="C120"/>
      <c r="D120"/>
      <c r="E120"/>
      <c r="F120"/>
      <c r="G120"/>
      <c r="I120" s="18"/>
      <c r="J120" s="18"/>
      <c r="K120" s="18"/>
      <c r="L120" s="18"/>
      <c r="M120" s="18"/>
      <c r="O120"/>
      <c r="P120"/>
      <c r="Q120"/>
      <c r="R120"/>
      <c r="S120"/>
      <c r="U120"/>
      <c r="V120"/>
      <c r="W120"/>
      <c r="X120"/>
      <c r="Y120"/>
    </row>
    <row r="121" spans="1:25" s="6" customFormat="1" x14ac:dyDescent="0.25">
      <c r="A121"/>
      <c r="B121"/>
      <c r="C121"/>
      <c r="D121"/>
      <c r="E121"/>
      <c r="F121"/>
      <c r="G121"/>
      <c r="I121" s="18"/>
      <c r="J121" s="18"/>
      <c r="K121" s="18"/>
      <c r="L121" s="18"/>
      <c r="M121" s="18"/>
      <c r="O121"/>
      <c r="P121"/>
      <c r="Q121"/>
      <c r="R121"/>
      <c r="S121"/>
      <c r="U121"/>
      <c r="V121"/>
      <c r="W121"/>
      <c r="X121"/>
      <c r="Y121"/>
    </row>
    <row r="122" spans="1:25" s="6" customFormat="1" x14ac:dyDescent="0.25">
      <c r="A122"/>
      <c r="B122"/>
      <c r="C122"/>
      <c r="D122"/>
      <c r="E122"/>
      <c r="F122"/>
      <c r="G122"/>
      <c r="I122" s="18"/>
      <c r="J122" s="18"/>
      <c r="K122" s="18"/>
      <c r="L122" s="18"/>
      <c r="M122" s="18"/>
      <c r="O122"/>
      <c r="P122"/>
      <c r="Q122"/>
      <c r="R122"/>
      <c r="S122"/>
      <c r="U122"/>
      <c r="V122"/>
      <c r="W122"/>
      <c r="X122"/>
      <c r="Y122"/>
    </row>
    <row r="123" spans="1:25" s="6" customFormat="1" x14ac:dyDescent="0.25">
      <c r="A123"/>
      <c r="B123"/>
      <c r="C123"/>
      <c r="D123"/>
      <c r="E123"/>
      <c r="F123"/>
      <c r="G123"/>
      <c r="I123" s="18"/>
      <c r="J123" s="18"/>
      <c r="K123" s="18"/>
      <c r="L123" s="18"/>
      <c r="M123" s="18"/>
      <c r="O123"/>
      <c r="P123"/>
      <c r="Q123"/>
      <c r="R123"/>
      <c r="S123"/>
      <c r="U123"/>
      <c r="V123"/>
      <c r="W123"/>
      <c r="X123"/>
      <c r="Y123"/>
    </row>
    <row r="124" spans="1:25" s="6" customFormat="1" x14ac:dyDescent="0.25">
      <c r="A124"/>
      <c r="B124"/>
      <c r="C124"/>
      <c r="D124"/>
      <c r="E124"/>
      <c r="F124"/>
      <c r="G124"/>
      <c r="I124" s="18"/>
      <c r="J124" s="18"/>
      <c r="K124" s="18"/>
      <c r="L124" s="18"/>
      <c r="M124" s="18"/>
      <c r="O124"/>
      <c r="P124"/>
      <c r="Q124"/>
      <c r="R124"/>
      <c r="S124"/>
      <c r="U124"/>
      <c r="V124"/>
      <c r="W124"/>
      <c r="X124"/>
      <c r="Y124"/>
    </row>
    <row r="125" spans="1:25" s="6" customFormat="1" x14ac:dyDescent="0.25">
      <c r="A125"/>
      <c r="B125"/>
      <c r="C125"/>
      <c r="D125"/>
      <c r="E125"/>
      <c r="F125"/>
      <c r="G125"/>
      <c r="I125" s="18"/>
      <c r="J125" s="18"/>
      <c r="K125" s="18"/>
      <c r="L125" s="18"/>
      <c r="M125" s="18"/>
      <c r="O125"/>
      <c r="P125"/>
      <c r="Q125"/>
      <c r="R125"/>
      <c r="S125"/>
      <c r="U125"/>
      <c r="V125"/>
      <c r="W125"/>
      <c r="X125"/>
      <c r="Y125"/>
    </row>
    <row r="126" spans="1:25" s="6" customFormat="1" x14ac:dyDescent="0.25">
      <c r="A126"/>
      <c r="B126"/>
      <c r="C126"/>
      <c r="D126"/>
      <c r="E126"/>
      <c r="F126"/>
      <c r="G126"/>
      <c r="I126" s="18"/>
      <c r="J126" s="18"/>
      <c r="K126" s="18"/>
      <c r="L126" s="18"/>
      <c r="M126" s="18"/>
      <c r="O126"/>
      <c r="P126"/>
      <c r="Q126"/>
      <c r="R126"/>
      <c r="S126"/>
      <c r="U126"/>
      <c r="V126"/>
      <c r="W126"/>
      <c r="X126"/>
      <c r="Y126"/>
    </row>
    <row r="127" spans="1:25" s="6" customFormat="1" x14ac:dyDescent="0.25">
      <c r="A127"/>
      <c r="B127"/>
      <c r="C127"/>
      <c r="D127"/>
      <c r="E127"/>
      <c r="F127"/>
      <c r="G127"/>
      <c r="I127" s="18"/>
      <c r="J127" s="18"/>
      <c r="K127" s="18"/>
      <c r="L127" s="18"/>
      <c r="M127" s="18"/>
      <c r="O127"/>
      <c r="P127"/>
      <c r="Q127"/>
      <c r="R127"/>
      <c r="S127"/>
      <c r="U127"/>
      <c r="V127"/>
      <c r="W127"/>
      <c r="X127"/>
      <c r="Y127"/>
    </row>
    <row r="128" spans="1:25" s="6" customFormat="1" x14ac:dyDescent="0.25">
      <c r="A128"/>
      <c r="B128"/>
      <c r="C128"/>
      <c r="D128"/>
      <c r="E128"/>
      <c r="F128"/>
      <c r="G128"/>
      <c r="I128" s="18"/>
      <c r="J128" s="18"/>
      <c r="K128" s="18"/>
      <c r="L128" s="18"/>
      <c r="M128" s="18"/>
      <c r="O128"/>
      <c r="P128"/>
      <c r="Q128"/>
      <c r="R128"/>
      <c r="S128"/>
      <c r="U128"/>
      <c r="V128"/>
      <c r="W128"/>
      <c r="X128"/>
      <c r="Y128"/>
    </row>
    <row r="129" spans="1:25" s="6" customFormat="1" x14ac:dyDescent="0.25">
      <c r="A129"/>
      <c r="B129"/>
      <c r="C129"/>
      <c r="D129"/>
      <c r="E129"/>
      <c r="F129"/>
      <c r="G129"/>
      <c r="I129" s="18"/>
      <c r="J129" s="18"/>
      <c r="K129" s="18"/>
      <c r="L129" s="18"/>
      <c r="M129" s="18"/>
      <c r="O129"/>
      <c r="P129"/>
      <c r="Q129"/>
      <c r="R129"/>
      <c r="S129"/>
      <c r="U129"/>
      <c r="V129"/>
      <c r="W129"/>
      <c r="X129"/>
      <c r="Y129"/>
    </row>
    <row r="130" spans="1:25" s="6" customFormat="1" x14ac:dyDescent="0.25">
      <c r="A130"/>
      <c r="B130"/>
      <c r="C130"/>
      <c r="D130"/>
      <c r="E130"/>
      <c r="F130"/>
      <c r="G130"/>
      <c r="I130" s="18"/>
      <c r="J130" s="18">
        <f>Tabla35101826364142444546474844142434445464[[#This Row],[COMISIONES]]*0.21</f>
        <v>0</v>
      </c>
      <c r="K130" s="18"/>
      <c r="L130" s="18"/>
      <c r="M130" s="18"/>
      <c r="O130"/>
      <c r="P130"/>
      <c r="Q130"/>
      <c r="R130"/>
      <c r="S130"/>
      <c r="U130"/>
      <c r="V130"/>
      <c r="W130"/>
      <c r="X130"/>
      <c r="Y130"/>
    </row>
    <row r="131" spans="1:25" s="6" customFormat="1" x14ac:dyDescent="0.25">
      <c r="A131"/>
      <c r="B131"/>
      <c r="C131"/>
      <c r="D131"/>
      <c r="E131"/>
      <c r="F131"/>
      <c r="G131"/>
      <c r="I131" s="4">
        <f>SUBTOTAL(109,Tabla35101826364142444546474844142434445464[COMISIONES])</f>
        <v>8156.1299999999992</v>
      </c>
      <c r="J131" s="4">
        <f>SUBTOTAL(109,Tabla35101826364142444546474844142434445464[IVA 21])</f>
        <v>1388.4296999999999</v>
      </c>
      <c r="K131" s="4">
        <f>SUBTOTAL(109,Tabla35101826364142444546474844142434445464[IVA 10,5])</f>
        <v>162.1788</v>
      </c>
      <c r="L131" s="4">
        <f>SUBTOTAL(109,Tabla35101826364142444546474844142434445464[Ret IIBB Caba])</f>
        <v>4362.3900000000003</v>
      </c>
      <c r="M131" s="4">
        <f>SUBTOTAL(109,Tabla35101826364142444546474844142434445464[PERC IVA])</f>
        <v>198.35</v>
      </c>
      <c r="O131"/>
      <c r="P131"/>
      <c r="Q131"/>
      <c r="R131"/>
      <c r="S131"/>
      <c r="U131"/>
      <c r="V131"/>
      <c r="W131"/>
      <c r="X131"/>
      <c r="Y131"/>
    </row>
    <row r="132" spans="1:25" s="6" customFormat="1" x14ac:dyDescent="0.25">
      <c r="A132"/>
      <c r="B132"/>
      <c r="C132"/>
      <c r="D132"/>
      <c r="E132"/>
      <c r="F132"/>
      <c r="G132"/>
      <c r="I132"/>
      <c r="J132"/>
      <c r="K132"/>
      <c r="L132"/>
      <c r="M132"/>
      <c r="O132"/>
      <c r="P132"/>
      <c r="Q132"/>
      <c r="R132"/>
      <c r="S132"/>
      <c r="U132"/>
      <c r="V132"/>
      <c r="W132"/>
      <c r="X132"/>
      <c r="Y132"/>
    </row>
    <row r="133" spans="1:25" s="6" customFormat="1" x14ac:dyDescent="0.25">
      <c r="A133"/>
      <c r="B133"/>
      <c r="C133"/>
      <c r="D133"/>
      <c r="E133"/>
      <c r="F133"/>
      <c r="G133"/>
      <c r="I133"/>
      <c r="J133"/>
      <c r="K133"/>
      <c r="L133"/>
      <c r="M133"/>
      <c r="O133"/>
      <c r="P133"/>
      <c r="Q133"/>
      <c r="R133"/>
      <c r="S133"/>
      <c r="U133"/>
      <c r="V133"/>
      <c r="W133"/>
      <c r="X133"/>
      <c r="Y133"/>
    </row>
    <row r="134" spans="1:25" s="6" customFormat="1" x14ac:dyDescent="0.25">
      <c r="A134"/>
      <c r="B134"/>
      <c r="C134"/>
      <c r="D134"/>
      <c r="E134"/>
      <c r="F134"/>
      <c r="G134"/>
      <c r="I134"/>
      <c r="J134"/>
      <c r="K134"/>
      <c r="L134"/>
      <c r="M134"/>
      <c r="O134"/>
      <c r="P134"/>
      <c r="Q134"/>
      <c r="R134"/>
      <c r="S134"/>
      <c r="U134"/>
      <c r="V134"/>
      <c r="W134"/>
      <c r="X134"/>
      <c r="Y134"/>
    </row>
    <row r="135" spans="1:25" s="6" customFormat="1" x14ac:dyDescent="0.25">
      <c r="A135"/>
      <c r="B135"/>
      <c r="C135"/>
      <c r="D135"/>
      <c r="E135"/>
      <c r="F135"/>
      <c r="G135"/>
      <c r="I135"/>
      <c r="J135"/>
      <c r="K135"/>
      <c r="L135"/>
      <c r="M135"/>
      <c r="O135"/>
      <c r="P135"/>
      <c r="Q135"/>
      <c r="R135"/>
      <c r="S135"/>
      <c r="U135"/>
      <c r="V135"/>
      <c r="W135"/>
      <c r="X135"/>
      <c r="Y135"/>
    </row>
    <row r="136" spans="1:25" s="6" customFormat="1" x14ac:dyDescent="0.25">
      <c r="A136"/>
      <c r="B136"/>
      <c r="C136"/>
      <c r="D136"/>
      <c r="E136"/>
      <c r="F136"/>
      <c r="G136"/>
      <c r="I136"/>
      <c r="J136"/>
      <c r="K136"/>
      <c r="L136"/>
      <c r="M136"/>
      <c r="O136"/>
      <c r="P136"/>
      <c r="Q136"/>
      <c r="R136"/>
      <c r="S136"/>
      <c r="U136"/>
      <c r="V136"/>
      <c r="W136"/>
      <c r="X136"/>
      <c r="Y136"/>
    </row>
    <row r="137" spans="1:25" s="6" customFormat="1" x14ac:dyDescent="0.25">
      <c r="A137"/>
      <c r="B137"/>
      <c r="C137"/>
      <c r="D137"/>
      <c r="E137"/>
      <c r="F137"/>
      <c r="G137"/>
      <c r="I137"/>
      <c r="J137"/>
      <c r="K137"/>
      <c r="L137"/>
      <c r="M137"/>
      <c r="O137"/>
      <c r="P137"/>
      <c r="Q137"/>
      <c r="R137"/>
      <c r="S137"/>
      <c r="U137"/>
      <c r="V137"/>
      <c r="W137"/>
      <c r="X137"/>
      <c r="Y137"/>
    </row>
    <row r="138" spans="1:25" s="6" customFormat="1" x14ac:dyDescent="0.25">
      <c r="A138"/>
      <c r="B138"/>
      <c r="C138"/>
      <c r="D138"/>
      <c r="E138"/>
      <c r="F138"/>
      <c r="G138"/>
      <c r="I138"/>
      <c r="J138"/>
      <c r="K138"/>
      <c r="L138"/>
      <c r="M138"/>
      <c r="O138"/>
      <c r="P138"/>
      <c r="Q138"/>
      <c r="R138"/>
      <c r="S138"/>
      <c r="U138"/>
      <c r="V138"/>
      <c r="W138"/>
      <c r="X138"/>
      <c r="Y138"/>
    </row>
    <row r="139" spans="1:25" s="6" customFormat="1" x14ac:dyDescent="0.25">
      <c r="A139"/>
      <c r="B139"/>
      <c r="C139"/>
      <c r="D139"/>
      <c r="E139"/>
      <c r="F139"/>
      <c r="G139"/>
      <c r="I139"/>
      <c r="J139"/>
      <c r="K139"/>
      <c r="L139"/>
      <c r="M139"/>
      <c r="O139"/>
      <c r="P139"/>
      <c r="Q139"/>
      <c r="R139"/>
      <c r="S139"/>
      <c r="U139"/>
      <c r="V139"/>
      <c r="W139"/>
      <c r="X139"/>
      <c r="Y139"/>
    </row>
    <row r="140" spans="1:25" s="6" customFormat="1" x14ac:dyDescent="0.25">
      <c r="A140"/>
      <c r="B140"/>
      <c r="C140"/>
      <c r="D140"/>
      <c r="E140"/>
      <c r="F140"/>
      <c r="G140"/>
      <c r="I140"/>
      <c r="J140"/>
      <c r="K140"/>
      <c r="L140"/>
      <c r="M140"/>
      <c r="O140"/>
      <c r="P140"/>
      <c r="Q140"/>
      <c r="R140"/>
      <c r="S140"/>
      <c r="U140"/>
      <c r="V140"/>
      <c r="W140"/>
      <c r="X140"/>
      <c r="Y140"/>
    </row>
    <row r="141" spans="1:25" s="6" customFormat="1" x14ac:dyDescent="0.25">
      <c r="A141"/>
      <c r="B141"/>
      <c r="C141"/>
      <c r="D141"/>
      <c r="E141"/>
      <c r="F141"/>
      <c r="G141"/>
      <c r="I141"/>
      <c r="J141"/>
      <c r="K141"/>
      <c r="L141"/>
      <c r="M141"/>
      <c r="O141"/>
      <c r="P141"/>
      <c r="Q141"/>
      <c r="R141"/>
      <c r="S141"/>
      <c r="U141"/>
      <c r="V141"/>
      <c r="W141"/>
      <c r="X141"/>
      <c r="Y141"/>
    </row>
    <row r="142" spans="1:25" s="6" customFormat="1" x14ac:dyDescent="0.25">
      <c r="A142"/>
      <c r="B142"/>
      <c r="C142"/>
      <c r="D142"/>
      <c r="E142"/>
      <c r="F142"/>
      <c r="G142"/>
      <c r="I142"/>
      <c r="J142"/>
      <c r="K142"/>
      <c r="L142"/>
      <c r="M142"/>
      <c r="O142"/>
      <c r="P142"/>
      <c r="Q142"/>
      <c r="R142"/>
      <c r="S142"/>
      <c r="U142"/>
      <c r="V142"/>
      <c r="W142"/>
      <c r="X142"/>
      <c r="Y142"/>
    </row>
    <row r="143" spans="1:25" s="6" customFormat="1" x14ac:dyDescent="0.25">
      <c r="A143"/>
      <c r="B143"/>
      <c r="C143"/>
      <c r="D143"/>
      <c r="E143"/>
      <c r="F143"/>
      <c r="G143"/>
      <c r="I143"/>
      <c r="J143"/>
      <c r="K143"/>
      <c r="L143"/>
      <c r="M143"/>
      <c r="O143"/>
      <c r="P143"/>
      <c r="Q143"/>
      <c r="R143"/>
      <c r="S143"/>
      <c r="U143"/>
      <c r="V143"/>
      <c r="W143"/>
      <c r="X143"/>
      <c r="Y143"/>
    </row>
    <row r="144" spans="1:25" s="6" customFormat="1" x14ac:dyDescent="0.25">
      <c r="A144"/>
      <c r="B144"/>
      <c r="C144"/>
      <c r="D144"/>
      <c r="E144"/>
      <c r="F144"/>
      <c r="G144"/>
      <c r="I144"/>
      <c r="J144"/>
      <c r="K144"/>
      <c r="L144"/>
      <c r="M144"/>
      <c r="O144"/>
      <c r="P144"/>
      <c r="Q144"/>
      <c r="R144"/>
      <c r="S144"/>
      <c r="U144"/>
      <c r="V144"/>
      <c r="W144"/>
      <c r="X144"/>
      <c r="Y144"/>
    </row>
    <row r="145" spans="1:25" s="6" customFormat="1" x14ac:dyDescent="0.25">
      <c r="A145"/>
      <c r="B145"/>
      <c r="C145"/>
      <c r="D145"/>
      <c r="E145"/>
      <c r="F145"/>
      <c r="G145"/>
      <c r="I145"/>
      <c r="J145"/>
      <c r="K145"/>
      <c r="L145"/>
      <c r="M145"/>
      <c r="O145"/>
      <c r="P145"/>
      <c r="Q145"/>
      <c r="R145"/>
      <c r="S145"/>
      <c r="U145"/>
      <c r="V145"/>
      <c r="W145"/>
      <c r="X145"/>
      <c r="Y145"/>
    </row>
    <row r="146" spans="1:25" s="6" customFormat="1" x14ac:dyDescent="0.25">
      <c r="A146"/>
      <c r="B146"/>
      <c r="C146"/>
      <c r="D146"/>
      <c r="E146"/>
      <c r="F146"/>
      <c r="G146"/>
      <c r="I146"/>
      <c r="J146"/>
      <c r="K146"/>
      <c r="L146"/>
      <c r="M146"/>
      <c r="O146"/>
      <c r="P146"/>
      <c r="Q146"/>
      <c r="R146"/>
      <c r="S146"/>
      <c r="U146"/>
      <c r="V146"/>
      <c r="W146"/>
      <c r="X146"/>
      <c r="Y146"/>
    </row>
    <row r="147" spans="1:25" s="6" customFormat="1" x14ac:dyDescent="0.25">
      <c r="A147"/>
      <c r="B147"/>
      <c r="C147"/>
      <c r="D147"/>
      <c r="E147"/>
      <c r="F147"/>
      <c r="G147"/>
      <c r="I147"/>
      <c r="J147"/>
      <c r="K147"/>
      <c r="L147"/>
      <c r="M147"/>
      <c r="O147"/>
      <c r="P147"/>
      <c r="Q147"/>
      <c r="R147"/>
      <c r="S147"/>
      <c r="U147"/>
      <c r="V147"/>
      <c r="W147"/>
      <c r="X147"/>
      <c r="Y147"/>
    </row>
    <row r="148" spans="1:25" s="6" customFormat="1" x14ac:dyDescent="0.25">
      <c r="A148"/>
      <c r="B148"/>
      <c r="C148"/>
      <c r="D148"/>
      <c r="E148"/>
      <c r="F148"/>
      <c r="G148"/>
      <c r="I148"/>
      <c r="J148"/>
      <c r="K148"/>
      <c r="L148"/>
      <c r="M148"/>
      <c r="O148"/>
      <c r="P148"/>
      <c r="Q148"/>
      <c r="R148"/>
      <c r="S148"/>
      <c r="U148"/>
      <c r="V148"/>
      <c r="W148"/>
      <c r="X148"/>
      <c r="Y148"/>
    </row>
    <row r="149" spans="1:25" s="6" customFormat="1" x14ac:dyDescent="0.25">
      <c r="A149"/>
      <c r="B149"/>
      <c r="C149"/>
      <c r="D149"/>
      <c r="E149"/>
      <c r="F149"/>
      <c r="G149"/>
      <c r="I149"/>
      <c r="J149"/>
      <c r="K149"/>
      <c r="L149"/>
      <c r="M149"/>
      <c r="O149"/>
      <c r="P149"/>
      <c r="Q149"/>
      <c r="R149"/>
      <c r="S149"/>
      <c r="U149"/>
      <c r="V149"/>
      <c r="W149"/>
      <c r="X149"/>
      <c r="Y149"/>
    </row>
    <row r="150" spans="1:25" s="6" customFormat="1" x14ac:dyDescent="0.25">
      <c r="A150"/>
      <c r="B150"/>
      <c r="C150"/>
      <c r="D150"/>
      <c r="E150"/>
      <c r="F150"/>
      <c r="G150"/>
      <c r="I150"/>
      <c r="J150"/>
      <c r="K150"/>
      <c r="L150"/>
      <c r="M150"/>
      <c r="O150"/>
      <c r="P150"/>
      <c r="Q150"/>
      <c r="R150"/>
      <c r="S150"/>
      <c r="U150"/>
      <c r="V150"/>
      <c r="W150"/>
      <c r="X150"/>
      <c r="Y150"/>
    </row>
    <row r="151" spans="1:25" s="6" customFormat="1" x14ac:dyDescent="0.25">
      <c r="A151"/>
      <c r="B151"/>
      <c r="C151"/>
      <c r="D151"/>
      <c r="E151"/>
      <c r="F151"/>
      <c r="G151"/>
      <c r="I151"/>
      <c r="J151"/>
      <c r="K151"/>
      <c r="L151"/>
      <c r="M151"/>
      <c r="O151"/>
      <c r="P151"/>
      <c r="Q151"/>
      <c r="R151"/>
      <c r="S151"/>
      <c r="U151"/>
      <c r="V151"/>
      <c r="W151"/>
      <c r="X151"/>
      <c r="Y151"/>
    </row>
    <row r="152" spans="1:25" s="6" customFormat="1" x14ac:dyDescent="0.25">
      <c r="A152"/>
      <c r="B152"/>
      <c r="C152"/>
      <c r="D152"/>
      <c r="E152"/>
      <c r="F152"/>
      <c r="G152"/>
      <c r="I152"/>
      <c r="J152"/>
      <c r="K152"/>
      <c r="L152"/>
      <c r="M152"/>
      <c r="O152"/>
      <c r="P152"/>
      <c r="Q152"/>
      <c r="R152"/>
      <c r="S152"/>
      <c r="U152"/>
      <c r="V152"/>
      <c r="W152"/>
      <c r="X152"/>
      <c r="Y152"/>
    </row>
    <row r="153" spans="1:25" s="6" customFormat="1" x14ac:dyDescent="0.25">
      <c r="A153"/>
      <c r="B153"/>
      <c r="C153"/>
      <c r="D153"/>
      <c r="E153"/>
      <c r="F153"/>
      <c r="G153"/>
      <c r="I153"/>
      <c r="J153"/>
      <c r="K153"/>
      <c r="L153"/>
      <c r="M153"/>
      <c r="O153"/>
      <c r="P153"/>
      <c r="Q153"/>
      <c r="R153"/>
      <c r="S153"/>
      <c r="U153"/>
      <c r="V153"/>
      <c r="W153"/>
      <c r="X153"/>
      <c r="Y153"/>
    </row>
    <row r="154" spans="1:25" s="6" customFormat="1" x14ac:dyDescent="0.25">
      <c r="A154"/>
      <c r="B154"/>
      <c r="C154"/>
      <c r="D154"/>
      <c r="E154"/>
      <c r="F154"/>
      <c r="G154"/>
      <c r="I154"/>
      <c r="J154"/>
      <c r="K154"/>
      <c r="L154"/>
      <c r="M154"/>
      <c r="O154"/>
      <c r="P154"/>
      <c r="Q154"/>
      <c r="R154"/>
      <c r="S154"/>
      <c r="U154"/>
      <c r="V154"/>
      <c r="W154"/>
      <c r="X154"/>
      <c r="Y154"/>
    </row>
    <row r="155" spans="1:25" s="6" customFormat="1" x14ac:dyDescent="0.25">
      <c r="A155"/>
      <c r="B155"/>
      <c r="C155"/>
      <c r="D155"/>
      <c r="E155"/>
      <c r="F155"/>
      <c r="G155"/>
      <c r="I155"/>
      <c r="J155"/>
      <c r="K155"/>
      <c r="L155"/>
      <c r="M155"/>
      <c r="O155"/>
      <c r="P155"/>
      <c r="Q155"/>
      <c r="R155"/>
      <c r="S155"/>
      <c r="U155"/>
      <c r="V155"/>
      <c r="W155"/>
      <c r="X155"/>
      <c r="Y155"/>
    </row>
    <row r="156" spans="1:25" s="6" customFormat="1" x14ac:dyDescent="0.25">
      <c r="A156"/>
      <c r="B156"/>
      <c r="C156"/>
      <c r="D156"/>
      <c r="E156"/>
      <c r="F156"/>
      <c r="G156"/>
      <c r="I156"/>
      <c r="J156"/>
      <c r="K156"/>
      <c r="L156"/>
      <c r="M156"/>
      <c r="O156"/>
      <c r="P156"/>
      <c r="Q156"/>
      <c r="R156"/>
      <c r="S156"/>
      <c r="U156"/>
      <c r="V156"/>
      <c r="W156"/>
      <c r="X156"/>
      <c r="Y156"/>
    </row>
    <row r="157" spans="1:25" s="6" customFormat="1" x14ac:dyDescent="0.25">
      <c r="A157"/>
      <c r="B157"/>
      <c r="C157"/>
      <c r="D157"/>
      <c r="E157"/>
      <c r="F157"/>
      <c r="G157"/>
      <c r="I157"/>
      <c r="J157"/>
      <c r="K157"/>
      <c r="L157"/>
      <c r="M157"/>
      <c r="O157"/>
      <c r="P157"/>
      <c r="Q157"/>
      <c r="R157"/>
      <c r="S157"/>
      <c r="U157"/>
      <c r="V157"/>
      <c r="W157"/>
      <c r="X157"/>
      <c r="Y157"/>
    </row>
    <row r="158" spans="1:25" s="6" customFormat="1" x14ac:dyDescent="0.25">
      <c r="A158"/>
      <c r="B158"/>
      <c r="C158"/>
      <c r="D158"/>
      <c r="E158"/>
      <c r="F158"/>
      <c r="G158"/>
      <c r="I158"/>
      <c r="J158"/>
      <c r="K158"/>
      <c r="L158"/>
      <c r="M158"/>
      <c r="O158"/>
      <c r="P158"/>
      <c r="Q158"/>
      <c r="R158"/>
      <c r="S158"/>
      <c r="U158"/>
      <c r="V158"/>
      <c r="W158"/>
      <c r="X158"/>
      <c r="Y158"/>
    </row>
    <row r="159" spans="1:25" s="6" customFormat="1" x14ac:dyDescent="0.25">
      <c r="A159"/>
      <c r="B159"/>
      <c r="C159"/>
      <c r="D159"/>
      <c r="E159"/>
      <c r="F159"/>
      <c r="G159"/>
      <c r="I159"/>
      <c r="J159"/>
      <c r="K159"/>
      <c r="L159"/>
      <c r="M159"/>
      <c r="O159"/>
      <c r="P159"/>
      <c r="Q159"/>
      <c r="R159"/>
      <c r="S159"/>
      <c r="U159"/>
      <c r="V159"/>
      <c r="W159"/>
      <c r="X159"/>
      <c r="Y159"/>
    </row>
    <row r="160" spans="1:25" s="6" customFormat="1" x14ac:dyDescent="0.25">
      <c r="A160"/>
      <c r="B160"/>
      <c r="C160"/>
      <c r="D160"/>
      <c r="E160"/>
      <c r="F160"/>
      <c r="G160"/>
      <c r="I160"/>
      <c r="J160"/>
      <c r="K160"/>
      <c r="L160"/>
      <c r="M160"/>
      <c r="O160"/>
      <c r="P160"/>
      <c r="Q160"/>
      <c r="R160"/>
      <c r="S160"/>
      <c r="U160"/>
      <c r="V160"/>
      <c r="W160"/>
      <c r="X160"/>
      <c r="Y160"/>
    </row>
    <row r="161" spans="1:25" s="6" customFormat="1" x14ac:dyDescent="0.25">
      <c r="A161"/>
      <c r="B161"/>
      <c r="C161"/>
      <c r="D161"/>
      <c r="E161"/>
      <c r="F161"/>
      <c r="G161"/>
      <c r="I161"/>
      <c r="J161"/>
      <c r="K161"/>
      <c r="L161"/>
      <c r="M161"/>
      <c r="O161"/>
      <c r="P161"/>
      <c r="Q161"/>
      <c r="R161"/>
      <c r="S161"/>
      <c r="U161"/>
      <c r="V161"/>
      <c r="W161"/>
      <c r="X161"/>
      <c r="Y161"/>
    </row>
    <row r="162" spans="1:25" s="6" customFormat="1" x14ac:dyDescent="0.25">
      <c r="A162"/>
      <c r="B162"/>
      <c r="C162"/>
      <c r="D162"/>
      <c r="E162"/>
      <c r="F162"/>
      <c r="G162"/>
      <c r="I162"/>
      <c r="J162"/>
      <c r="K162"/>
      <c r="L162"/>
      <c r="M162"/>
      <c r="O162"/>
      <c r="P162"/>
      <c r="Q162"/>
      <c r="R162"/>
      <c r="S162"/>
      <c r="U162"/>
      <c r="V162"/>
      <c r="W162"/>
      <c r="X162"/>
      <c r="Y162"/>
    </row>
    <row r="163" spans="1:25" s="6" customFormat="1" x14ac:dyDescent="0.25">
      <c r="A163"/>
      <c r="B163"/>
      <c r="C163"/>
      <c r="D163"/>
      <c r="E163"/>
      <c r="F163"/>
      <c r="G163"/>
      <c r="I163"/>
      <c r="J163"/>
      <c r="K163"/>
      <c r="L163"/>
      <c r="M163"/>
      <c r="O163"/>
      <c r="P163"/>
      <c r="Q163"/>
      <c r="R163"/>
      <c r="S163"/>
      <c r="U163"/>
      <c r="V163"/>
      <c r="W163"/>
      <c r="X163"/>
      <c r="Y163"/>
    </row>
    <row r="164" spans="1:25" s="6" customFormat="1" x14ac:dyDescent="0.25">
      <c r="A164"/>
      <c r="B164"/>
      <c r="C164"/>
      <c r="D164"/>
      <c r="E164"/>
      <c r="F164"/>
      <c r="G164"/>
      <c r="I164"/>
      <c r="J164"/>
      <c r="K164"/>
      <c r="L164"/>
      <c r="M164"/>
      <c r="O164"/>
      <c r="P164"/>
      <c r="Q164"/>
      <c r="R164"/>
      <c r="S164"/>
      <c r="U164"/>
      <c r="V164"/>
      <c r="W164"/>
      <c r="X164"/>
      <c r="Y164"/>
    </row>
    <row r="165" spans="1:25" s="6" customFormat="1" x14ac:dyDescent="0.25">
      <c r="A165"/>
      <c r="B165"/>
      <c r="C165"/>
      <c r="D165"/>
      <c r="E165"/>
      <c r="F165"/>
      <c r="G165"/>
      <c r="I165"/>
      <c r="J165"/>
      <c r="K165"/>
      <c r="L165"/>
      <c r="M165"/>
      <c r="O165"/>
      <c r="P165"/>
      <c r="Q165"/>
      <c r="R165"/>
      <c r="S165"/>
      <c r="U165"/>
      <c r="V165"/>
      <c r="W165"/>
      <c r="X165"/>
      <c r="Y165"/>
    </row>
    <row r="237" spans="1:31" s="6" customFormat="1" x14ac:dyDescent="0.25">
      <c r="A237"/>
      <c r="B237"/>
      <c r="C237"/>
      <c r="D237"/>
      <c r="E237"/>
      <c r="F237"/>
      <c r="G237"/>
      <c r="I237"/>
      <c r="J237"/>
      <c r="K237"/>
      <c r="L237"/>
      <c r="M237"/>
      <c r="O237"/>
      <c r="P237"/>
      <c r="Q237"/>
      <c r="R237"/>
      <c r="S237"/>
      <c r="U237"/>
      <c r="V237"/>
      <c r="W237"/>
      <c r="X237"/>
      <c r="Y237"/>
      <c r="AA237"/>
      <c r="AB237"/>
      <c r="AC237"/>
      <c r="AD237"/>
      <c r="AE237"/>
    </row>
    <row r="238" spans="1:31" s="6" customFormat="1" x14ac:dyDescent="0.25">
      <c r="A238"/>
      <c r="B238"/>
      <c r="C238"/>
      <c r="D238"/>
      <c r="E238"/>
      <c r="F238"/>
      <c r="G238"/>
      <c r="I238"/>
      <c r="J238"/>
      <c r="K238"/>
      <c r="L238"/>
      <c r="M238"/>
      <c r="O238"/>
      <c r="P238"/>
      <c r="Q238"/>
      <c r="R238"/>
      <c r="S238"/>
      <c r="U238"/>
      <c r="V238"/>
      <c r="W238"/>
      <c r="X238"/>
      <c r="Y238"/>
      <c r="AA238"/>
      <c r="AB238"/>
      <c r="AC238"/>
      <c r="AD238"/>
      <c r="AE238"/>
    </row>
    <row r="239" spans="1:31" s="6" customFormat="1" x14ac:dyDescent="0.25">
      <c r="A239"/>
      <c r="B239"/>
      <c r="C239"/>
      <c r="D239"/>
      <c r="E239"/>
      <c r="F239"/>
      <c r="G239"/>
      <c r="I239"/>
      <c r="J239"/>
      <c r="K239"/>
      <c r="L239"/>
      <c r="M239"/>
      <c r="O239"/>
      <c r="P239"/>
      <c r="Q239"/>
      <c r="R239"/>
      <c r="S239"/>
      <c r="U239"/>
      <c r="V239"/>
      <c r="W239"/>
      <c r="X239"/>
      <c r="Y239"/>
      <c r="AA239"/>
      <c r="AB239"/>
      <c r="AC239"/>
      <c r="AD239"/>
      <c r="AE239"/>
    </row>
    <row r="240" spans="1:31" s="6" customFormat="1" x14ac:dyDescent="0.25">
      <c r="A240"/>
      <c r="B240"/>
      <c r="C240"/>
      <c r="D240"/>
      <c r="E240"/>
      <c r="F240"/>
      <c r="G240"/>
      <c r="I240"/>
      <c r="J240"/>
      <c r="K240"/>
      <c r="L240"/>
      <c r="M240"/>
      <c r="O240"/>
      <c r="P240"/>
      <c r="Q240"/>
      <c r="R240"/>
      <c r="S240"/>
      <c r="U240"/>
      <c r="V240"/>
      <c r="W240"/>
      <c r="X240"/>
      <c r="Y240"/>
      <c r="AA240"/>
      <c r="AB240"/>
      <c r="AC240"/>
      <c r="AD240"/>
      <c r="AE240"/>
    </row>
    <row r="241" spans="1:31" s="6" customFormat="1" x14ac:dyDescent="0.25">
      <c r="A241"/>
      <c r="B241"/>
      <c r="C241"/>
      <c r="D241"/>
      <c r="E241"/>
      <c r="F241"/>
      <c r="G241"/>
      <c r="I241"/>
      <c r="J241"/>
      <c r="K241"/>
      <c r="L241"/>
      <c r="M241"/>
      <c r="O241"/>
      <c r="P241"/>
      <c r="Q241"/>
      <c r="R241"/>
      <c r="S241"/>
      <c r="U241"/>
      <c r="V241"/>
      <c r="W241"/>
      <c r="X241"/>
      <c r="Y241"/>
      <c r="AA241"/>
      <c r="AB241"/>
      <c r="AC241"/>
      <c r="AD241"/>
      <c r="AE241"/>
    </row>
    <row r="242" spans="1:31" s="6" customFormat="1" x14ac:dyDescent="0.25">
      <c r="A242"/>
      <c r="B242"/>
      <c r="C242"/>
      <c r="D242"/>
      <c r="E242"/>
      <c r="F242"/>
      <c r="G242"/>
      <c r="I242"/>
      <c r="J242"/>
      <c r="K242"/>
      <c r="L242"/>
      <c r="M242"/>
      <c r="O242"/>
      <c r="P242"/>
      <c r="Q242"/>
      <c r="R242"/>
      <c r="S242"/>
      <c r="U242"/>
      <c r="V242"/>
      <c r="W242"/>
      <c r="X242"/>
      <c r="Y242"/>
      <c r="AA242"/>
      <c r="AB242"/>
      <c r="AC242"/>
      <c r="AD242"/>
      <c r="AE242"/>
    </row>
    <row r="243" spans="1:31" s="6" customFormat="1" x14ac:dyDescent="0.25">
      <c r="A243"/>
      <c r="B243"/>
      <c r="C243"/>
      <c r="D243"/>
      <c r="E243"/>
      <c r="F243"/>
      <c r="G243"/>
      <c r="I243"/>
      <c r="J243"/>
      <c r="K243"/>
      <c r="L243"/>
      <c r="M243"/>
      <c r="O243"/>
      <c r="P243"/>
      <c r="Q243"/>
      <c r="R243"/>
      <c r="S243"/>
      <c r="U243"/>
      <c r="V243"/>
      <c r="W243"/>
      <c r="X243"/>
      <c r="Y243"/>
      <c r="AA243"/>
      <c r="AB243"/>
      <c r="AC243"/>
      <c r="AD243"/>
      <c r="AE243"/>
    </row>
    <row r="244" spans="1:31" s="6" customFormat="1" x14ac:dyDescent="0.25">
      <c r="A244"/>
      <c r="B244"/>
      <c r="C244"/>
      <c r="D244"/>
      <c r="E244"/>
      <c r="F244"/>
      <c r="G244"/>
      <c r="I244"/>
      <c r="J244"/>
      <c r="K244"/>
      <c r="L244"/>
      <c r="M244"/>
      <c r="O244"/>
      <c r="P244"/>
      <c r="Q244"/>
      <c r="R244"/>
      <c r="S244"/>
      <c r="U244"/>
      <c r="V244"/>
      <c r="W244"/>
      <c r="X244"/>
      <c r="Y244"/>
      <c r="AA244"/>
      <c r="AB244"/>
      <c r="AC244"/>
      <c r="AD244"/>
      <c r="AE244"/>
    </row>
    <row r="245" spans="1:31" s="6" customFormat="1" x14ac:dyDescent="0.25">
      <c r="A245"/>
      <c r="B245"/>
      <c r="C245"/>
      <c r="D245"/>
      <c r="E245"/>
      <c r="F245"/>
      <c r="G245"/>
      <c r="I245"/>
      <c r="J245"/>
      <c r="K245"/>
      <c r="L245"/>
      <c r="M245"/>
      <c r="O245"/>
      <c r="P245"/>
      <c r="Q245"/>
      <c r="R245"/>
      <c r="S245"/>
      <c r="U245"/>
      <c r="V245"/>
      <c r="W245"/>
      <c r="X245"/>
      <c r="Y245"/>
      <c r="AA245"/>
      <c r="AB245"/>
      <c r="AC245"/>
      <c r="AD245"/>
      <c r="AE245"/>
    </row>
    <row r="246" spans="1:31" s="6" customFormat="1" x14ac:dyDescent="0.25">
      <c r="A246"/>
      <c r="B246"/>
      <c r="C246"/>
      <c r="D246"/>
      <c r="E246"/>
      <c r="F246"/>
      <c r="G246"/>
      <c r="I246"/>
      <c r="J246"/>
      <c r="K246"/>
      <c r="L246"/>
      <c r="M246"/>
      <c r="O246"/>
      <c r="P246"/>
      <c r="Q246"/>
      <c r="R246"/>
      <c r="S246"/>
      <c r="U246"/>
      <c r="V246"/>
      <c r="W246"/>
      <c r="X246"/>
      <c r="Y246"/>
      <c r="AA246"/>
      <c r="AB246"/>
      <c r="AC246"/>
      <c r="AD246"/>
      <c r="AE246"/>
    </row>
    <row r="247" spans="1:31" s="6" customFormat="1" x14ac:dyDescent="0.25">
      <c r="A247"/>
      <c r="B247"/>
      <c r="C247"/>
      <c r="D247"/>
      <c r="E247"/>
      <c r="F247"/>
      <c r="G247"/>
      <c r="I247"/>
      <c r="J247"/>
      <c r="K247"/>
      <c r="L247"/>
      <c r="M247"/>
      <c r="O247"/>
      <c r="P247"/>
      <c r="Q247"/>
      <c r="R247"/>
      <c r="S247"/>
      <c r="U247"/>
      <c r="V247"/>
      <c r="W247"/>
      <c r="X247"/>
      <c r="Y247"/>
      <c r="AA247"/>
      <c r="AB247"/>
      <c r="AC247"/>
      <c r="AD247"/>
      <c r="AE247"/>
    </row>
    <row r="248" spans="1:31" s="6" customFormat="1" x14ac:dyDescent="0.25">
      <c r="A248"/>
      <c r="B248"/>
      <c r="C248"/>
      <c r="D248"/>
      <c r="E248"/>
      <c r="F248"/>
      <c r="G248"/>
      <c r="I248"/>
      <c r="J248"/>
      <c r="K248"/>
      <c r="L248"/>
      <c r="M248"/>
      <c r="O248"/>
      <c r="P248"/>
      <c r="Q248"/>
      <c r="R248"/>
      <c r="S248"/>
      <c r="U248"/>
      <c r="V248"/>
      <c r="W248"/>
      <c r="X248"/>
      <c r="Y248"/>
      <c r="AA248"/>
      <c r="AB248"/>
      <c r="AC248"/>
      <c r="AD248"/>
      <c r="AE248"/>
    </row>
    <row r="249" spans="1:31" s="6" customFormat="1" x14ac:dyDescent="0.25">
      <c r="A249"/>
      <c r="B249"/>
      <c r="C249"/>
      <c r="D249"/>
      <c r="E249"/>
      <c r="F249"/>
      <c r="G249"/>
      <c r="I249"/>
      <c r="J249"/>
      <c r="K249"/>
      <c r="L249"/>
      <c r="M249"/>
      <c r="O249"/>
      <c r="P249"/>
      <c r="Q249"/>
      <c r="R249"/>
      <c r="S249"/>
      <c r="U249"/>
      <c r="V249"/>
      <c r="W249"/>
      <c r="X249"/>
      <c r="Y249"/>
      <c r="AA249"/>
      <c r="AB249"/>
      <c r="AC249"/>
      <c r="AD249"/>
      <c r="AE249"/>
    </row>
  </sheetData>
  <mergeCells count="5">
    <mergeCell ref="AA10:AE10"/>
    <mergeCell ref="O10:S10"/>
    <mergeCell ref="U10:Y10"/>
    <mergeCell ref="B10:F10"/>
    <mergeCell ref="I10:M10"/>
  </mergeCells>
  <phoneticPr fontId="14" type="noConversion"/>
  <pageMargins left="0.7" right="0.7" top="0.75" bottom="0.75" header="0.3" footer="0.3"/>
  <pageSetup paperSize="9" orientation="portrait" horizontalDpi="300" r:id="rId1"/>
  <drawing r:id="rId2"/>
  <tableParts count="5"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9D97-0F8B-4DFF-89CE-0276594BEE88}">
  <dimension ref="A1:AE249"/>
  <sheetViews>
    <sheetView showGridLines="0" zoomScale="115" zoomScaleNormal="115" workbookViewId="0">
      <selection activeCell="G3" sqref="G3:G7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4" bestFit="1" customWidth="1"/>
    <col min="4" max="4" width="12.140625" bestFit="1" customWidth="1"/>
    <col min="5" max="5" width="11.5703125" customWidth="1"/>
    <col min="6" max="6" width="13" bestFit="1" customWidth="1"/>
    <col min="7" max="7" width="13" customWidth="1"/>
    <col min="8" max="8" width="2.5703125" style="6" customWidth="1"/>
    <col min="9" max="9" width="12.7109375" customWidth="1"/>
    <col min="12" max="12" width="12.85546875" customWidth="1"/>
    <col min="14" max="14" width="2.5703125" style="6" customWidth="1"/>
    <col min="15" max="15" width="15.42578125" bestFit="1" customWidth="1"/>
    <col min="16" max="16" width="12.28515625" bestFit="1" customWidth="1"/>
    <col min="18" max="18" width="15.7109375" bestFit="1" customWidth="1"/>
    <col min="20" max="20" width="2.85546875" style="6" customWidth="1"/>
    <col min="26" max="26" width="3.140625" style="6" customWidth="1"/>
    <col min="27" max="27" width="13.85546875" customWidth="1"/>
    <col min="30" max="30" width="14" customWidth="1"/>
  </cols>
  <sheetData>
    <row r="1" spans="1:31" x14ac:dyDescent="0.25">
      <c r="H1"/>
      <c r="N1"/>
      <c r="T1" s="50"/>
      <c r="Z1" s="50"/>
    </row>
    <row r="2" spans="1:31" x14ac:dyDescent="0.25">
      <c r="C2" s="15" t="s">
        <v>2</v>
      </c>
      <c r="D2" s="16" t="s">
        <v>0</v>
      </c>
      <c r="E2" s="16" t="s">
        <v>1</v>
      </c>
      <c r="F2" s="16" t="s">
        <v>3</v>
      </c>
      <c r="G2" s="37" t="s">
        <v>20</v>
      </c>
      <c r="H2"/>
      <c r="N2"/>
      <c r="T2" s="50"/>
      <c r="Z2" s="50"/>
    </row>
    <row r="3" spans="1:31" x14ac:dyDescent="0.25">
      <c r="B3" s="25" t="str">
        <f>+B10</f>
        <v>EXTRACTO VISA</v>
      </c>
      <c r="C3" s="14">
        <v>25311.07</v>
      </c>
      <c r="D3" s="14">
        <v>3974.3801999999996</v>
      </c>
      <c r="E3" s="14">
        <v>670.47224999999992</v>
      </c>
      <c r="F3" s="14">
        <v>858.33999999999992</v>
      </c>
      <c r="G3" s="38">
        <v>663.55</v>
      </c>
      <c r="H3"/>
      <c r="I3" t="s">
        <v>5</v>
      </c>
      <c r="N3"/>
      <c r="T3" s="50"/>
      <c r="Z3" s="50"/>
    </row>
    <row r="4" spans="1:31" x14ac:dyDescent="0.25">
      <c r="B4" s="25" t="str">
        <f>+I10</f>
        <v>Extracto santander</v>
      </c>
      <c r="C4" s="14">
        <v>68514.290000000008</v>
      </c>
      <c r="D4" s="14">
        <v>13977.6</v>
      </c>
      <c r="E4" s="14">
        <v>205.20044999999999</v>
      </c>
      <c r="F4" s="14">
        <v>3993.6</v>
      </c>
      <c r="G4" s="14">
        <v>1996.8</v>
      </c>
      <c r="H4"/>
      <c r="N4"/>
      <c r="T4" s="50"/>
      <c r="Z4" s="50"/>
    </row>
    <row r="5" spans="1:31" x14ac:dyDescent="0.25">
      <c r="B5" s="25" t="s">
        <v>14</v>
      </c>
      <c r="C5" s="14">
        <v>153835.51</v>
      </c>
      <c r="D5" s="14">
        <v>32305.4571</v>
      </c>
      <c r="E5" s="14">
        <v>0</v>
      </c>
      <c r="F5" s="14">
        <v>7251.93</v>
      </c>
      <c r="G5" s="14">
        <v>4296.53</v>
      </c>
      <c r="H5"/>
      <c r="N5"/>
      <c r="T5" s="50"/>
      <c r="Z5" s="50"/>
    </row>
    <row r="6" spans="1:31" x14ac:dyDescent="0.25">
      <c r="B6" s="28" t="s">
        <v>22</v>
      </c>
      <c r="C6" s="14">
        <v>55006.82</v>
      </c>
      <c r="D6" s="14">
        <v>11550</v>
      </c>
      <c r="E6" s="14">
        <v>0.71609999999999996</v>
      </c>
      <c r="F6" s="14">
        <v>935309.58999999764</v>
      </c>
      <c r="G6" s="38">
        <v>1650</v>
      </c>
      <c r="H6"/>
      <c r="N6"/>
      <c r="T6" s="50"/>
      <c r="Z6" s="50"/>
    </row>
    <row r="7" spans="1:31" x14ac:dyDescent="0.25">
      <c r="B7" s="28" t="s">
        <v>13</v>
      </c>
      <c r="C7" s="14">
        <v>4958.67</v>
      </c>
      <c r="D7" s="14">
        <v>1041.3207</v>
      </c>
      <c r="E7" s="14">
        <v>0</v>
      </c>
      <c r="F7" s="14">
        <v>568.62</v>
      </c>
      <c r="G7" s="38">
        <v>148.76</v>
      </c>
      <c r="H7"/>
      <c r="N7"/>
      <c r="T7" s="50"/>
      <c r="Z7" s="50"/>
    </row>
    <row r="8" spans="1:31" x14ac:dyDescent="0.25">
      <c r="A8" s="26"/>
      <c r="B8" s="26"/>
      <c r="C8" s="27">
        <f>SUM(C3:C7)</f>
        <v>307626.36</v>
      </c>
      <c r="D8" s="27">
        <f>SUM(D3:D7)</f>
        <v>62848.757999999994</v>
      </c>
      <c r="E8" s="27">
        <f>SUM(E3:E7)</f>
        <v>876.38879999999983</v>
      </c>
      <c r="F8" s="27">
        <f>SUM(F3:F7)</f>
        <v>947982.07999999763</v>
      </c>
      <c r="G8" s="27"/>
      <c r="H8"/>
      <c r="N8"/>
      <c r="T8" s="50"/>
      <c r="Z8" s="50"/>
    </row>
    <row r="9" spans="1:31" x14ac:dyDescent="0.25">
      <c r="A9" s="26"/>
      <c r="B9" s="26"/>
      <c r="H9"/>
      <c r="N9"/>
      <c r="T9" s="50"/>
      <c r="Z9" s="50"/>
    </row>
    <row r="10" spans="1:31" ht="16.5" customHeight="1" x14ac:dyDescent="0.3">
      <c r="B10" s="52" t="s">
        <v>25</v>
      </c>
      <c r="C10" s="52"/>
      <c r="D10" s="52"/>
      <c r="E10" s="52"/>
      <c r="F10" s="52"/>
      <c r="G10" s="39"/>
      <c r="I10" s="52" t="s">
        <v>23</v>
      </c>
      <c r="J10" s="52"/>
      <c r="K10" s="52"/>
      <c r="L10" s="52"/>
      <c r="M10" s="52"/>
      <c r="O10" s="52" t="s">
        <v>21</v>
      </c>
      <c r="P10" s="52"/>
      <c r="Q10" s="52"/>
      <c r="R10" s="52"/>
      <c r="S10" s="52"/>
      <c r="T10" s="43"/>
      <c r="U10" s="52" t="s">
        <v>24</v>
      </c>
      <c r="V10" s="52"/>
      <c r="W10" s="52"/>
      <c r="X10" s="52"/>
      <c r="Y10" s="52"/>
      <c r="AA10" s="52" t="s">
        <v>13</v>
      </c>
      <c r="AB10" s="52"/>
      <c r="AC10" s="52"/>
      <c r="AD10" s="52"/>
      <c r="AE10" s="52"/>
    </row>
    <row r="11" spans="1:31" s="5" customFormat="1" x14ac:dyDescent="0.25">
      <c r="B11" s="10" t="s">
        <v>2</v>
      </c>
      <c r="C11" s="9" t="s">
        <v>0</v>
      </c>
      <c r="D11" s="9" t="s">
        <v>1</v>
      </c>
      <c r="E11" s="9" t="s">
        <v>3</v>
      </c>
      <c r="F11" s="9" t="s">
        <v>4</v>
      </c>
      <c r="G11" s="9"/>
      <c r="H11" s="7"/>
      <c r="I11" s="12" t="s">
        <v>2</v>
      </c>
      <c r="J11" s="13" t="s">
        <v>0</v>
      </c>
      <c r="K11" s="13" t="s">
        <v>1</v>
      </c>
      <c r="L11" s="13" t="s">
        <v>3</v>
      </c>
      <c r="M11" s="13" t="s">
        <v>4</v>
      </c>
      <c r="N11" s="7"/>
      <c r="O11" s="12" t="s">
        <v>2</v>
      </c>
      <c r="P11" s="13" t="s">
        <v>0</v>
      </c>
      <c r="Q11" s="13" t="s">
        <v>1</v>
      </c>
      <c r="R11" s="13" t="s">
        <v>3</v>
      </c>
      <c r="S11" s="13" t="s">
        <v>4</v>
      </c>
      <c r="T11" s="44"/>
      <c r="U11" s="12" t="s">
        <v>2</v>
      </c>
      <c r="V11" s="13" t="s">
        <v>0</v>
      </c>
      <c r="W11" s="13" t="s">
        <v>1</v>
      </c>
      <c r="X11" s="13" t="s">
        <v>3</v>
      </c>
      <c r="Y11" s="13" t="s">
        <v>4</v>
      </c>
      <c r="Z11" s="51"/>
      <c r="AA11" s="5" t="s">
        <v>2</v>
      </c>
      <c r="AB11" s="5" t="s">
        <v>0</v>
      </c>
      <c r="AC11" s="5" t="s">
        <v>1</v>
      </c>
      <c r="AD11" s="5" t="s">
        <v>3</v>
      </c>
      <c r="AE11" s="5" t="s">
        <v>4</v>
      </c>
    </row>
    <row r="12" spans="1:31" x14ac:dyDescent="0.25">
      <c r="B12" s="2">
        <v>10</v>
      </c>
      <c r="C12" s="2">
        <f>Tabla13162432212223352627282212223242526263[[#This Row],[COMISIONES]]*0.21</f>
        <v>2.1</v>
      </c>
      <c r="D12" s="3"/>
      <c r="E12" s="3">
        <v>804.93</v>
      </c>
      <c r="F12" s="1">
        <v>201.23</v>
      </c>
      <c r="G12" s="1"/>
      <c r="H12" s="8"/>
      <c r="I12" s="3">
        <v>1954.29</v>
      </c>
      <c r="J12" s="11" t="s">
        <v>18</v>
      </c>
      <c r="K12" s="11">
        <f>Tabla3510182636414244454647484414243444546465[[#This Row],[COMISIONES]]*0.105</f>
        <v>205.20044999999999</v>
      </c>
      <c r="L12" s="1">
        <v>3198</v>
      </c>
      <c r="M12">
        <v>1599</v>
      </c>
      <c r="N12" s="8"/>
      <c r="O12" s="3">
        <v>55000</v>
      </c>
      <c r="P12" s="11">
        <f>Tabla35681314223040818284858687888818283848586866[[#This Row],[COMISIONES]]*0.21</f>
        <v>11550</v>
      </c>
      <c r="Q12" s="11"/>
      <c r="R12" s="1">
        <v>21910042.989999998</v>
      </c>
      <c r="S12" s="11">
        <v>1650</v>
      </c>
      <c r="T12" s="45"/>
      <c r="U12" s="11">
        <v>18925.62</v>
      </c>
      <c r="V12" s="11">
        <f>Tabla356111927344311213151617181911121314151617167[[#This Row],[COMISIONES]]*0.21</f>
        <v>3974.3801999999996</v>
      </c>
      <c r="W12" s="11"/>
      <c r="X12" s="11">
        <v>741.66</v>
      </c>
      <c r="Y12" s="11">
        <v>567.77</v>
      </c>
      <c r="AA12" s="3">
        <v>4958.67</v>
      </c>
      <c r="AB12" s="3">
        <f>Tabla7369[[#This Row],[COMISIONES]]*0.21</f>
        <v>1041.3207</v>
      </c>
      <c r="AC12" s="3"/>
      <c r="AD12" s="3">
        <v>284.31</v>
      </c>
      <c r="AE12" s="3">
        <v>148.76</v>
      </c>
    </row>
    <row r="13" spans="1:31" x14ac:dyDescent="0.25">
      <c r="B13" s="3">
        <v>13415.51</v>
      </c>
      <c r="C13" s="2">
        <f>Tabla13162432212223352627282212223242526263[[#This Row],[COMISIONES]]*0.21</f>
        <v>2817.2570999999998</v>
      </c>
      <c r="D13" s="3" t="s">
        <v>18</v>
      </c>
      <c r="E13" s="3">
        <v>2907</v>
      </c>
      <c r="F13" s="3">
        <v>1453.5</v>
      </c>
      <c r="G13" s="3"/>
      <c r="H13" s="8"/>
      <c r="I13" s="11">
        <v>53300</v>
      </c>
      <c r="J13" s="11">
        <f>Tabla3510182636414244454647484414243444546465[[#This Row],[COMISIONES]]*0.21</f>
        <v>11193</v>
      </c>
      <c r="K13" s="11"/>
      <c r="L13" s="1">
        <v>795.6</v>
      </c>
      <c r="M13">
        <v>397.8</v>
      </c>
      <c r="N13" s="8"/>
      <c r="O13" s="11">
        <v>6.82</v>
      </c>
      <c r="P13" s="11"/>
      <c r="Q13" s="11">
        <f>Tabla35681314223040818284858687888818283848586866[[#This Row],[COMISIONES]]*0.105</f>
        <v>0.71609999999999996</v>
      </c>
      <c r="R13" s="11">
        <v>-468.93</v>
      </c>
      <c r="S13" s="11"/>
      <c r="T13" s="45"/>
      <c r="U13" s="11">
        <v>6385.45</v>
      </c>
      <c r="V13" s="11"/>
      <c r="W13" s="11">
        <f>Tabla356111927344311213151617181911121314151617167[[#This Row],[COMISIONES]]*0.105</f>
        <v>670.47224999999992</v>
      </c>
      <c r="X13" s="11">
        <v>116.68</v>
      </c>
      <c r="Y13" s="11">
        <v>95.78</v>
      </c>
      <c r="AA13" s="3"/>
      <c r="AB13" s="3">
        <f>Tabla7369[[#This Row],[COMISIONES]]*0.21</f>
        <v>0</v>
      </c>
      <c r="AC13" s="3"/>
      <c r="AD13" s="3">
        <v>284.31</v>
      </c>
      <c r="AE13" s="3"/>
    </row>
    <row r="14" spans="1:31" x14ac:dyDescent="0.25">
      <c r="B14" s="3">
        <v>48450</v>
      </c>
      <c r="C14" s="2">
        <f>Tabla13162432212223352627282212223242526263[[#This Row],[COMISIONES]]*0.21</f>
        <v>10174.5</v>
      </c>
      <c r="D14" s="3" t="s">
        <v>18</v>
      </c>
      <c r="E14" s="3">
        <v>3540</v>
      </c>
      <c r="F14" s="3">
        <v>1770</v>
      </c>
      <c r="G14" s="3"/>
      <c r="I14" s="1">
        <v>13260</v>
      </c>
      <c r="J14" s="11">
        <f>Tabla3510182636414244454647484414243444546465[[#This Row],[COMISIONES]]*0.21</f>
        <v>2784.6</v>
      </c>
      <c r="K14" s="11"/>
      <c r="L14" s="11"/>
      <c r="M14" s="23"/>
      <c r="O14" s="11"/>
      <c r="P14" s="11">
        <f>Tabla35681314223040818284858687888818283848586866[[#This Row],[COMISIONES]]*0.21</f>
        <v>0</v>
      </c>
      <c r="Q14" s="11"/>
      <c r="R14" s="11">
        <v>-23.45</v>
      </c>
      <c r="S14" s="11"/>
      <c r="T14" s="45"/>
      <c r="U14" s="11"/>
      <c r="V14" s="11">
        <f>Tabla356111927344311213151617181911121314151617167[[#This Row],[COMISIONES]]*0.21</f>
        <v>0</v>
      </c>
      <c r="W14" s="11"/>
      <c r="X14" s="11"/>
      <c r="Y14" s="11"/>
      <c r="AA14" s="3"/>
      <c r="AB14" s="3">
        <f>Tabla7369[[#This Row],[COMISIONES]]*0.21</f>
        <v>0</v>
      </c>
      <c r="AC14" s="3"/>
      <c r="AD14" s="3"/>
      <c r="AE14" s="3"/>
    </row>
    <row r="15" spans="1:31" x14ac:dyDescent="0.25">
      <c r="B15" s="3">
        <v>59000</v>
      </c>
      <c r="C15" s="2">
        <f>Tabla13162432212223352627282212223242526263[[#This Row],[COMISIONES]]*0.21</f>
        <v>12390</v>
      </c>
      <c r="D15" s="3"/>
      <c r="E15" s="3"/>
      <c r="F15" s="3">
        <v>871.8</v>
      </c>
      <c r="G15" s="3"/>
      <c r="H15" s="8"/>
      <c r="I15" s="1"/>
      <c r="J15" s="11">
        <f>Tabla3510182636414244454647484414243444546465[[#This Row],[COMISIONES]]*0.21</f>
        <v>0</v>
      </c>
      <c r="K15" s="11"/>
      <c r="L15" s="11"/>
      <c r="M15" s="23"/>
      <c r="N15" s="8"/>
      <c r="O15" s="11"/>
      <c r="P15" s="11">
        <f>Tabla35681314223040818284858687888818283848586866[[#This Row],[COMISIONES]]*0.21</f>
        <v>0</v>
      </c>
      <c r="Q15" s="11"/>
      <c r="R15" s="11">
        <v>-2116.23</v>
      </c>
      <c r="S15" s="11"/>
      <c r="T15" s="45"/>
      <c r="U15" s="11"/>
      <c r="V15" s="11">
        <f>Tabla356111927344311213151617181911121314151617167[[#This Row],[COMISIONES]]*0.21</f>
        <v>0</v>
      </c>
      <c r="W15" s="11"/>
      <c r="X15" s="11"/>
      <c r="Y15" s="11"/>
      <c r="AA15" s="3"/>
      <c r="AB15" s="3">
        <f>Tabla7369[[#This Row],[COMISIONES]]*0.21</f>
        <v>0</v>
      </c>
      <c r="AC15" s="3"/>
      <c r="AD15" s="3"/>
      <c r="AE15" s="3"/>
    </row>
    <row r="16" spans="1:31" x14ac:dyDescent="0.25">
      <c r="B16" s="3">
        <v>300</v>
      </c>
      <c r="C16" s="2">
        <f>Tabla13162432212223352627282212223242526263[[#This Row],[COMISIONES]]*0.21</f>
        <v>63</v>
      </c>
      <c r="D16" s="3"/>
      <c r="E16" s="3"/>
      <c r="F16" s="3"/>
      <c r="G16" s="3"/>
      <c r="I16" s="1"/>
      <c r="J16" s="11">
        <f>Tabla3510182636414244454647484414243444546465[[#This Row],[COMISIONES]]*0.21</f>
        <v>0</v>
      </c>
      <c r="K16" s="11"/>
      <c r="L16" s="11"/>
      <c r="M16" s="23"/>
      <c r="O16" s="11"/>
      <c r="P16" s="11">
        <f>Tabla35681314223040818284858687888818283848586866[[#This Row],[COMISIONES]]*0.21</f>
        <v>0</v>
      </c>
      <c r="Q16" s="11"/>
      <c r="R16" s="11">
        <v>-105.81</v>
      </c>
      <c r="S16" s="11"/>
      <c r="T16" s="45"/>
      <c r="U16" s="11"/>
      <c r="V16" s="11">
        <f>Tabla356111927344311213151617181911121314151617167[[#This Row],[COMISIONES]]*0.21</f>
        <v>0</v>
      </c>
      <c r="W16" s="11"/>
      <c r="X16" s="11"/>
      <c r="Y16" s="11"/>
      <c r="AA16" s="3"/>
      <c r="AB16" s="3">
        <f>Tabla7369[[#This Row],[COMISIONES]]*0.21</f>
        <v>0</v>
      </c>
      <c r="AC16" s="3"/>
      <c r="AD16" s="3"/>
      <c r="AE16" s="3"/>
    </row>
    <row r="17" spans="2:31" x14ac:dyDescent="0.25">
      <c r="B17" s="3">
        <v>300</v>
      </c>
      <c r="C17" s="2">
        <f>Tabla13162432212223352627282212223242526263[[#This Row],[COMISIONES]]*0.21</f>
        <v>63</v>
      </c>
      <c r="D17" s="3"/>
      <c r="E17" s="3"/>
      <c r="F17" s="3"/>
      <c r="G17" s="3"/>
      <c r="I17" s="11"/>
      <c r="J17" s="11">
        <f>Tabla3510182636414244454647484414243444546465[[#This Row],[COMISIONES]]*0.21</f>
        <v>0</v>
      </c>
      <c r="K17" s="11"/>
      <c r="L17" s="11"/>
      <c r="M17" s="11"/>
      <c r="O17" s="11"/>
      <c r="P17" s="11">
        <f>Tabla35681314223040818284858687888818283848586866[[#This Row],[COMISIONES]]*0.21</f>
        <v>0</v>
      </c>
      <c r="Q17" s="11"/>
      <c r="R17" s="11">
        <v>-7843.57</v>
      </c>
      <c r="S17" s="11"/>
      <c r="T17" s="45"/>
      <c r="U17" s="11"/>
      <c r="V17" s="11">
        <f>Tabla356111927344311213151617181911121314151617167[[#This Row],[COMISIONES]]*0.21</f>
        <v>0</v>
      </c>
      <c r="W17" s="11"/>
      <c r="X17" s="11"/>
      <c r="Y17" s="11"/>
      <c r="AA17" s="3"/>
      <c r="AB17" s="3">
        <f>Tabla7369[[#This Row],[COMISIONES]]*0.21</f>
        <v>0</v>
      </c>
      <c r="AC17" s="3"/>
      <c r="AD17" s="3"/>
      <c r="AE17" s="3"/>
    </row>
    <row r="18" spans="2:31" x14ac:dyDescent="0.25">
      <c r="B18" s="3">
        <v>300</v>
      </c>
      <c r="C18" s="2">
        <f>Tabla13162432212223352627282212223242526263[[#This Row],[COMISIONES]]*0.21</f>
        <v>63</v>
      </c>
      <c r="D18" s="3"/>
      <c r="E18" s="3"/>
      <c r="F18" s="3"/>
      <c r="G18" s="3"/>
      <c r="I18" s="11"/>
      <c r="J18" s="11">
        <f>Tabla3510182636414244454647484414243444546465[[#This Row],[COMISIONES]]*0.21</f>
        <v>0</v>
      </c>
      <c r="K18" s="11"/>
      <c r="L18" s="11"/>
      <c r="M18" s="11"/>
      <c r="O18" s="11"/>
      <c r="P18" s="11">
        <f>Tabla35681314223040818284858687888818283848586866[[#This Row],[COMISIONES]]*0.21</f>
        <v>0</v>
      </c>
      <c r="Q18" s="11"/>
      <c r="R18" s="11">
        <v>-392.18</v>
      </c>
      <c r="S18" s="11"/>
      <c r="T18" s="45"/>
      <c r="U18" s="11"/>
      <c r="V18" s="11">
        <f>Tabla356111927344311213151617181911121314151617167[[#This Row],[COMISIONES]]*0.21</f>
        <v>0</v>
      </c>
      <c r="W18" s="11"/>
      <c r="X18" s="11"/>
      <c r="Y18" s="11"/>
      <c r="AA18" s="3"/>
      <c r="AB18" s="3">
        <f>Tabla7369[[#This Row],[COMISIONES]]*0.21</f>
        <v>0</v>
      </c>
      <c r="AC18" s="3"/>
      <c r="AD18" s="3"/>
      <c r="AE18" s="3"/>
    </row>
    <row r="19" spans="2:31" x14ac:dyDescent="0.25">
      <c r="B19" s="3">
        <v>300</v>
      </c>
      <c r="C19" s="2">
        <f>Tabla13162432212223352627282212223242526263[[#This Row],[COMISIONES]]*0.21</f>
        <v>63</v>
      </c>
      <c r="D19" s="3"/>
      <c r="E19" s="3"/>
      <c r="F19" s="3"/>
      <c r="G19" s="3"/>
      <c r="I19" s="11"/>
      <c r="J19" s="11">
        <f>Tabla3510182636414244454647484414243444546465[[#This Row],[COMISIONES]]*0.21</f>
        <v>0</v>
      </c>
      <c r="K19" s="11"/>
      <c r="L19" s="11"/>
      <c r="M19" s="11"/>
      <c r="O19" s="11"/>
      <c r="P19" s="11">
        <f>Tabla35681314223040818284858687888818283848586866[[#This Row],[COMISIONES]]*0.21</f>
        <v>0</v>
      </c>
      <c r="Q19" s="11"/>
      <c r="R19" s="11">
        <v>-1100000</v>
      </c>
      <c r="S19" s="11"/>
      <c r="T19" s="45"/>
      <c r="U19" s="11"/>
      <c r="V19" s="11">
        <f>Tabla356111927344311213151617181911121314151617167[[#This Row],[COMISIONES]]*0.21</f>
        <v>0</v>
      </c>
      <c r="W19" s="11"/>
      <c r="X19" s="11"/>
      <c r="Y19" s="11"/>
      <c r="AA19" s="3"/>
      <c r="AB19" s="3">
        <f>Tabla7369[[#This Row],[COMISIONES]]*0.21</f>
        <v>0</v>
      </c>
      <c r="AC19" s="3"/>
      <c r="AD19" s="3"/>
      <c r="AE19" s="3"/>
    </row>
    <row r="20" spans="2:31" x14ac:dyDescent="0.25">
      <c r="B20" s="3">
        <v>300</v>
      </c>
      <c r="C20" s="2">
        <f>Tabla13162432212223352627282212223242526263[[#This Row],[COMISIONES]]*0.21</f>
        <v>63</v>
      </c>
      <c r="D20" s="3"/>
      <c r="E20" s="3"/>
      <c r="F20" s="3"/>
      <c r="G20" s="3"/>
      <c r="I20" s="11"/>
      <c r="J20" s="11">
        <f>Tabla3510182636414244454647484414243444546465[[#This Row],[COMISIONES]]*0.21</f>
        <v>0</v>
      </c>
      <c r="K20" s="11"/>
      <c r="L20" s="11"/>
      <c r="M20" s="11"/>
      <c r="O20" s="11"/>
      <c r="P20" s="11">
        <f>Tabla35681314223040818284858687888818283848586866[[#This Row],[COMISIONES]]*0.21</f>
        <v>0</v>
      </c>
      <c r="Q20" s="11"/>
      <c r="R20" s="11">
        <v>-111565.32</v>
      </c>
      <c r="S20" s="11"/>
      <c r="T20" s="45"/>
      <c r="U20" s="11"/>
      <c r="V20" s="11">
        <f>Tabla356111927344311213151617181911121314151617167[[#This Row],[COMISIONES]]*0.21</f>
        <v>0</v>
      </c>
      <c r="W20" s="11"/>
      <c r="X20" s="11"/>
      <c r="Y20" s="11"/>
      <c r="AA20" s="3"/>
      <c r="AB20" s="3">
        <f>Tabla7369[[#This Row],[COMISIONES]]*0.21</f>
        <v>0</v>
      </c>
      <c r="AC20" s="3"/>
      <c r="AD20" s="3"/>
      <c r="AE20" s="3"/>
    </row>
    <row r="21" spans="2:31" x14ac:dyDescent="0.25">
      <c r="B21" s="3">
        <v>300</v>
      </c>
      <c r="C21" s="2">
        <f>Tabla13162432212223352627282212223242526263[[#This Row],[COMISIONES]]*0.21</f>
        <v>63</v>
      </c>
      <c r="D21" s="3"/>
      <c r="E21" s="3"/>
      <c r="F21" s="3"/>
      <c r="G21" s="3"/>
      <c r="I21" s="11"/>
      <c r="J21" s="11">
        <f>Tabla3510182636414244454647484414243444546465[[#This Row],[COMISIONES]]*0.21</f>
        <v>0</v>
      </c>
      <c r="K21" s="11"/>
      <c r="L21" s="11"/>
      <c r="M21" s="11"/>
      <c r="O21" s="11"/>
      <c r="P21" s="11">
        <f>Tabla35681314223040818284858687888818283848586866[[#This Row],[COMISIONES]]*0.21</f>
        <v>0</v>
      </c>
      <c r="Q21" s="11"/>
      <c r="R21" s="11">
        <v>-1900000</v>
      </c>
      <c r="S21" s="11"/>
      <c r="T21" s="45"/>
      <c r="U21" s="11"/>
      <c r="V21" s="11">
        <f>Tabla356111927344311213151617181911121314151617167[[#This Row],[COMISIONES]]*0.21</f>
        <v>0</v>
      </c>
      <c r="W21" s="11"/>
      <c r="X21" s="11"/>
      <c r="Y21" s="11"/>
      <c r="AA21" s="3"/>
      <c r="AB21" s="3">
        <f>Tabla7369[[#This Row],[COMISIONES]]*0.21</f>
        <v>0</v>
      </c>
      <c r="AC21" s="3"/>
      <c r="AD21" s="3"/>
      <c r="AE21" s="3"/>
    </row>
    <row r="22" spans="2:31" x14ac:dyDescent="0.25">
      <c r="B22" s="3">
        <v>300</v>
      </c>
      <c r="C22" s="2">
        <f>Tabla13162432212223352627282212223242526263[[#This Row],[COMISIONES]]*0.21</f>
        <v>63</v>
      </c>
      <c r="D22" s="3"/>
      <c r="E22" s="3"/>
      <c r="F22" s="3"/>
      <c r="G22" s="3"/>
      <c r="I22" s="11"/>
      <c r="J22" s="11">
        <f>Tabla3510182636414244454647484414243444546465[[#This Row],[COMISIONES]]*0.21</f>
        <v>0</v>
      </c>
      <c r="K22" s="11"/>
      <c r="L22" s="11"/>
      <c r="M22" s="11"/>
      <c r="O22" s="40"/>
      <c r="P22" s="40">
        <f>Tabla35681314223040818284858687888818283848586866[[#This Row],[COMISIONES]]*0.21</f>
        <v>0</v>
      </c>
      <c r="Q22" s="40"/>
      <c r="R22" s="40">
        <v>-607.19000000000005</v>
      </c>
      <c r="S22" s="40"/>
      <c r="T22" s="46"/>
      <c r="U22" s="11"/>
      <c r="V22" s="11">
        <f>Tabla356111927344311213151617181911121314151617167[[#This Row],[COMISIONES]]*0.21</f>
        <v>0</v>
      </c>
      <c r="W22" s="11"/>
      <c r="X22" s="11"/>
      <c r="Y22" s="11"/>
      <c r="AA22" s="3"/>
      <c r="AB22" s="3">
        <f>Tabla7369[[#This Row],[COMISIONES]]*0.21</f>
        <v>0</v>
      </c>
      <c r="AC22" s="3"/>
      <c r="AD22" s="3"/>
      <c r="AE22" s="3"/>
    </row>
    <row r="23" spans="2:31" x14ac:dyDescent="0.25">
      <c r="B23" s="3">
        <v>300</v>
      </c>
      <c r="C23" s="2">
        <f>Tabla13162432212223352627282212223242526263[[#This Row],[COMISIONES]]*0.21</f>
        <v>63</v>
      </c>
      <c r="D23" s="3"/>
      <c r="E23" s="3"/>
      <c r="F23" s="3"/>
      <c r="G23" s="3"/>
      <c r="I23" s="11"/>
      <c r="J23" s="11">
        <f>Tabla3510182636414244454647484414243444546465[[#This Row],[COMISIONES]]*0.21</f>
        <v>0</v>
      </c>
      <c r="K23" s="11"/>
      <c r="L23" s="11"/>
      <c r="M23" s="11"/>
      <c r="O23" s="40"/>
      <c r="P23" s="40">
        <f>Tabla35681314223040818284858687888818283848586866[[#This Row],[COMISIONES]]*0.21</f>
        <v>0</v>
      </c>
      <c r="Q23" s="40"/>
      <c r="R23" s="40">
        <v>-12143.85</v>
      </c>
      <c r="S23" s="40"/>
      <c r="T23" s="46"/>
      <c r="U23" s="11"/>
      <c r="V23" s="11">
        <f>Tabla356111927344311213151617181911121314151617167[[#This Row],[COMISIONES]]*0.21</f>
        <v>0</v>
      </c>
      <c r="W23" s="11"/>
      <c r="X23" s="11"/>
      <c r="Y23" s="11"/>
      <c r="AA23" s="3"/>
      <c r="AB23" s="3">
        <f>Tabla7369[[#This Row],[COMISIONES]]*0.21</f>
        <v>0</v>
      </c>
      <c r="AC23" s="3"/>
      <c r="AD23" s="3"/>
      <c r="AE23" s="3"/>
    </row>
    <row r="24" spans="2:31" x14ac:dyDescent="0.25">
      <c r="B24" s="3">
        <v>29060</v>
      </c>
      <c r="C24" s="2">
        <f>Tabla13162432212223352627282212223242526263[[#This Row],[COMISIONES]]*0.21</f>
        <v>6102.5999999999995</v>
      </c>
      <c r="D24" s="3"/>
      <c r="E24" s="3"/>
      <c r="F24" s="3"/>
      <c r="G24" s="3"/>
      <c r="I24" s="11"/>
      <c r="J24" s="11">
        <f>Tabla3510182636414244454647484414243444546465[[#This Row],[COMISIONES]]*0.21</f>
        <v>0</v>
      </c>
      <c r="K24" s="11"/>
      <c r="L24" s="11"/>
      <c r="M24" s="11"/>
      <c r="O24" s="40"/>
      <c r="P24" s="40">
        <f>Tabla35681314223040818284858687888818283848586866[[#This Row],[COMISIONES]]*0.21</f>
        <v>0</v>
      </c>
      <c r="Q24" s="40"/>
      <c r="R24" s="40">
        <v>-600000</v>
      </c>
      <c r="S24" s="40"/>
      <c r="T24" s="46"/>
      <c r="U24" s="11"/>
      <c r="V24" s="11">
        <f>Tabla356111927344311213151617181911121314151617167[[#This Row],[COMISIONES]]*0.21</f>
        <v>0</v>
      </c>
      <c r="W24" s="11"/>
      <c r="X24" s="11"/>
      <c r="Y24" s="11"/>
      <c r="AA24" s="3"/>
      <c r="AB24" s="3">
        <f>Tabla7369[[#This Row],[COMISIONES]]*0.21</f>
        <v>0</v>
      </c>
      <c r="AC24" s="3"/>
      <c r="AD24" s="3"/>
      <c r="AE24" s="3"/>
    </row>
    <row r="25" spans="2:31" x14ac:dyDescent="0.25">
      <c r="B25" s="3">
        <v>300</v>
      </c>
      <c r="C25" s="2">
        <f>Tabla13162432212223352627282212223242526263[[#This Row],[COMISIONES]]*0.21</f>
        <v>63</v>
      </c>
      <c r="D25" s="3"/>
      <c r="E25" s="3"/>
      <c r="F25" s="3"/>
      <c r="G25" s="3"/>
      <c r="I25" s="11"/>
      <c r="J25" s="11">
        <f>Tabla3510182636414244454647484414243444546465[[#This Row],[COMISIONES]]*0.21</f>
        <v>0</v>
      </c>
      <c r="K25" s="11"/>
      <c r="L25" s="11"/>
      <c r="M25" s="11"/>
      <c r="O25" s="41"/>
      <c r="P25" s="42">
        <f>Tabla35681314223040818284858687888818283848586866[[#This Row],[COMISIONES]]*0.21</f>
        <v>0</v>
      </c>
      <c r="Q25" s="42"/>
      <c r="R25" s="42">
        <v>-335.81</v>
      </c>
      <c r="S25" s="42"/>
      <c r="T25" s="47"/>
      <c r="U25" s="18"/>
      <c r="V25" s="18">
        <f>Tabla356111927344311213151617181911121314151617167[[#This Row],[COMISIONES]]*0.21</f>
        <v>0</v>
      </c>
      <c r="W25" s="18"/>
      <c r="X25" s="18"/>
      <c r="Y25" s="18"/>
      <c r="AA25" s="3"/>
      <c r="AB25" s="3">
        <f>Tabla7369[[#This Row],[COMISIONES]]*0.21</f>
        <v>0</v>
      </c>
      <c r="AC25" s="3"/>
      <c r="AD25" s="3"/>
      <c r="AE25" s="3"/>
    </row>
    <row r="26" spans="2:31" x14ac:dyDescent="0.25">
      <c r="B26" s="3">
        <v>300</v>
      </c>
      <c r="C26" s="2">
        <f>Tabla13162432212223352627282212223242526263[[#This Row],[COMISIONES]]*0.21</f>
        <v>63</v>
      </c>
      <c r="D26" s="3"/>
      <c r="E26" s="3"/>
      <c r="F26" s="3"/>
      <c r="G26" s="3"/>
      <c r="I26" s="11"/>
      <c r="J26" s="11">
        <f>Tabla3510182636414244454647484414243444546465[[#This Row],[COMISIONES]]*0.21</f>
        <v>0</v>
      </c>
      <c r="K26" s="11"/>
      <c r="L26" s="11"/>
      <c r="M26" s="11"/>
      <c r="O26" s="40"/>
      <c r="P26" s="40">
        <f>Tabla35681314223040818284858687888818283848586866[[#This Row],[COMISIONES]]*0.21</f>
        <v>0</v>
      </c>
      <c r="Q26" s="40"/>
      <c r="R26" s="40">
        <v>-6716.17</v>
      </c>
      <c r="S26" s="40"/>
      <c r="T26" s="46"/>
      <c r="U26" s="18"/>
      <c r="V26" s="18">
        <f>Tabla356111927344311213151617181911121314151617167[[#This Row],[COMISIONES]]*0.21</f>
        <v>0</v>
      </c>
      <c r="W26" s="18"/>
      <c r="X26" s="18"/>
      <c r="Y26" s="18"/>
      <c r="AA26" s="3"/>
      <c r="AB26" s="3">
        <f>Tabla7369[[#This Row],[COMISIONES]]*0.21</f>
        <v>0</v>
      </c>
      <c r="AC26" s="3"/>
      <c r="AD26" s="3"/>
      <c r="AE26" s="3"/>
    </row>
    <row r="27" spans="2:31" x14ac:dyDescent="0.25">
      <c r="B27" s="3">
        <v>300</v>
      </c>
      <c r="C27" s="2">
        <f>Tabla13162432212223352627282212223242526263[[#This Row],[COMISIONES]]*0.21</f>
        <v>63</v>
      </c>
      <c r="D27" s="3"/>
      <c r="E27" s="1"/>
      <c r="F27" s="3"/>
      <c r="G27" s="3"/>
      <c r="I27" s="11"/>
      <c r="J27" s="11">
        <f>Tabla3510182636414244454647484414243444546465[[#This Row],[COMISIONES]]*0.21</f>
        <v>0</v>
      </c>
      <c r="K27" s="11"/>
      <c r="L27" s="11"/>
      <c r="M27" s="11"/>
      <c r="O27" s="40"/>
      <c r="P27" s="40">
        <f>Tabla35681314223040818284858687888818283848586866[[#This Row],[COMISIONES]]*0.21</f>
        <v>0</v>
      </c>
      <c r="Q27" s="40"/>
      <c r="R27" s="40">
        <v>-2150000</v>
      </c>
      <c r="S27" s="40"/>
      <c r="T27" s="46"/>
      <c r="U27" s="40"/>
      <c r="V27" s="40">
        <f>Tabla356111927344311213151617181911121314151617167[[#This Row],[COMISIONES]]*0.21</f>
        <v>0</v>
      </c>
      <c r="W27" s="40"/>
      <c r="X27" s="40"/>
      <c r="Y27" s="40"/>
      <c r="AA27" s="4">
        <f>SUM(Tabla7369[COMISIONES])</f>
        <v>4958.67</v>
      </c>
      <c r="AB27" s="4">
        <f>SUM(Tabla7369[IVA 21])</f>
        <v>1041.3207</v>
      </c>
      <c r="AC27" s="4">
        <f>SUM(Tabla7369[IVA 10,5])</f>
        <v>0</v>
      </c>
      <c r="AD27" s="4">
        <f>SUM(Tabla7369[Ret IIBB Caba])</f>
        <v>568.62</v>
      </c>
      <c r="AE27" s="4">
        <f>SUM(Tabla7369[PERC IVA])</f>
        <v>148.76</v>
      </c>
    </row>
    <row r="28" spans="2:31" x14ac:dyDescent="0.25">
      <c r="B28" s="3">
        <v>300</v>
      </c>
      <c r="C28" s="2">
        <f>Tabla13162432212223352627282212223242526263[[#This Row],[COMISIONES]]*0.21</f>
        <v>63</v>
      </c>
      <c r="D28" s="3"/>
      <c r="E28" s="3"/>
      <c r="F28" s="3"/>
      <c r="G28" s="3"/>
      <c r="I28" s="11"/>
      <c r="J28" s="11">
        <f>Tabla3510182636414244454647484414243444546465[[#This Row],[COMISIONES]]*0.21</f>
        <v>0</v>
      </c>
      <c r="K28" s="11"/>
      <c r="L28" s="11"/>
      <c r="M28" s="11"/>
      <c r="O28" s="40"/>
      <c r="P28" s="40">
        <f>Tabla35681314223040818284858687888818283848586866[[#This Row],[COMISIONES]]*0.21</f>
        <v>0</v>
      </c>
      <c r="Q28" s="40"/>
      <c r="R28" s="40">
        <v>-46.12</v>
      </c>
      <c r="S28" s="40"/>
      <c r="T28" s="46"/>
      <c r="U28" s="40"/>
      <c r="V28" s="40">
        <f>Tabla356111927344311213151617181911121314151617167[[#This Row],[COMISIONES]]*0.21</f>
        <v>0</v>
      </c>
      <c r="W28" s="40"/>
      <c r="X28" s="40"/>
      <c r="Y28" s="40"/>
    </row>
    <row r="29" spans="2:31" x14ac:dyDescent="0.25">
      <c r="B29" s="3">
        <v>300</v>
      </c>
      <c r="C29" s="2">
        <f>Tabla13162432212223352627282212223242526263[[#This Row],[COMISIONES]]*0.21</f>
        <v>63</v>
      </c>
      <c r="D29" s="3"/>
      <c r="E29" s="3"/>
      <c r="F29" s="3"/>
      <c r="G29" s="3"/>
      <c r="I29" s="11"/>
      <c r="J29" s="11">
        <f>Tabla3510182636414244454647484414243444546465[[#This Row],[COMISIONES]]*0.21</f>
        <v>0</v>
      </c>
      <c r="K29" s="11"/>
      <c r="L29" s="11"/>
      <c r="M29" s="11"/>
      <c r="O29" s="40"/>
      <c r="P29" s="40">
        <f>Tabla35681314223040818284858687888818283848586866[[#This Row],[COMISIONES]]*0.21</f>
        <v>0</v>
      </c>
      <c r="Q29" s="40"/>
      <c r="R29" s="40">
        <v>-922.37</v>
      </c>
      <c r="S29" s="40"/>
      <c r="T29" s="46"/>
      <c r="U29" s="40"/>
      <c r="V29" s="40">
        <f>Tabla356111927344311213151617181911121314151617167[[#This Row],[COMISIONES]]*0.21</f>
        <v>0</v>
      </c>
      <c r="W29" s="40"/>
      <c r="X29" s="40"/>
      <c r="Y29" s="40"/>
    </row>
    <row r="30" spans="2:31" x14ac:dyDescent="0.25">
      <c r="B30" s="3"/>
      <c r="C30" s="2">
        <f>Tabla13162432212223352627282212223242526263[[#This Row],[COMISIONES]]*0.21</f>
        <v>0</v>
      </c>
      <c r="D30" s="3"/>
      <c r="E30" s="3"/>
      <c r="F30" s="3"/>
      <c r="G30" s="3"/>
      <c r="I30" s="11"/>
      <c r="J30" s="11">
        <f>Tabla3510182636414244454647484414243444546465[[#This Row],[COMISIONES]]*0.21</f>
        <v>0</v>
      </c>
      <c r="K30" s="11"/>
      <c r="L30" s="11"/>
      <c r="M30" s="11"/>
      <c r="O30" s="40"/>
      <c r="P30" s="40">
        <f>Tabla35681314223040818284858687888818283848586866[[#This Row],[COMISIONES]]*0.21</f>
        <v>0</v>
      </c>
      <c r="Q30" s="40"/>
      <c r="R30" s="40">
        <v>-495.1</v>
      </c>
      <c r="S30" s="40"/>
      <c r="T30" s="46"/>
      <c r="U30" s="40"/>
      <c r="V30" s="40">
        <f>Tabla356111927344311213151617181911121314151617167[[#This Row],[COMISIONES]]*0.21</f>
        <v>0</v>
      </c>
      <c r="W30" s="40"/>
      <c r="X30" s="40"/>
      <c r="Y30" s="40"/>
    </row>
    <row r="31" spans="2:31" x14ac:dyDescent="0.25">
      <c r="B31" s="3"/>
      <c r="C31" s="2">
        <f>Tabla13162432212223352627282212223242526263[[#This Row],[COMISIONES]]*0.21</f>
        <v>0</v>
      </c>
      <c r="D31" s="3"/>
      <c r="E31" s="3"/>
      <c r="F31" s="3"/>
      <c r="G31" s="3"/>
      <c r="I31" s="11"/>
      <c r="J31" s="11">
        <f>Tabla3510182636414244454647484414243444546465[[#This Row],[COMISIONES]]*0.21</f>
        <v>0</v>
      </c>
      <c r="K31" s="11"/>
      <c r="L31" s="11"/>
      <c r="M31" s="11"/>
      <c r="O31" s="40"/>
      <c r="P31" s="40">
        <f>Tabla35681314223040818284858687888818283848586866[[#This Row],[COMISIONES]]*0.21</f>
        <v>0</v>
      </c>
      <c r="Q31" s="40"/>
      <c r="R31" s="40">
        <v>-9902.07</v>
      </c>
      <c r="S31" s="40"/>
      <c r="T31" s="46"/>
      <c r="U31" s="40"/>
      <c r="V31" s="40">
        <f>Tabla356111927344311213151617181911121314151617167[[#This Row],[COMISIONES]]*0.21</f>
        <v>0</v>
      </c>
      <c r="W31" s="40"/>
      <c r="X31" s="40"/>
      <c r="Y31" s="40"/>
    </row>
    <row r="32" spans="2:31" x14ac:dyDescent="0.25">
      <c r="B32" s="3"/>
      <c r="C32" s="2">
        <f>Tabla13162432212223352627282212223242526263[[#This Row],[COMISIONES]]*0.21</f>
        <v>0</v>
      </c>
      <c r="D32" s="3"/>
      <c r="E32" s="3"/>
      <c r="F32" s="3"/>
      <c r="G32" s="3"/>
      <c r="I32" s="11"/>
      <c r="J32" s="11">
        <f>Tabla3510182636414244454647484414243444546465[[#This Row],[COMISIONES]]*0.21</f>
        <v>0</v>
      </c>
      <c r="K32" s="11"/>
      <c r="L32" s="11"/>
      <c r="M32" s="11"/>
      <c r="O32" s="40"/>
      <c r="P32" s="40">
        <f>Tabla35681314223040818284858687888818283848586866[[#This Row],[COMISIONES]]*0.21</f>
        <v>0</v>
      </c>
      <c r="Q32" s="40"/>
      <c r="R32" s="40">
        <v>-2500000</v>
      </c>
      <c r="S32" s="40"/>
      <c r="T32" s="46"/>
      <c r="U32" s="40"/>
      <c r="V32" s="40">
        <f>Tabla356111927344311213151617181911121314151617167[[#This Row],[COMISIONES]]*0.21</f>
        <v>0</v>
      </c>
      <c r="W32" s="40"/>
      <c r="X32" s="40"/>
      <c r="Y32" s="40"/>
    </row>
    <row r="33" spans="1:25" x14ac:dyDescent="0.25">
      <c r="B33" s="3"/>
      <c r="C33" s="2">
        <f>Tabla13162432212223352627282212223242526263[[#This Row],[COMISIONES]]*0.21</f>
        <v>0</v>
      </c>
      <c r="D33" s="3"/>
      <c r="E33" s="3"/>
      <c r="F33" s="3"/>
      <c r="G33" s="3"/>
      <c r="I33" s="11"/>
      <c r="J33" s="11">
        <f>Tabla3510182636414244454647484414243444546465[[#This Row],[COMISIONES]]*0.21</f>
        <v>0</v>
      </c>
      <c r="K33" s="11"/>
      <c r="L33" s="11"/>
      <c r="M33" s="11"/>
      <c r="O33" s="40"/>
      <c r="P33" s="40">
        <f>Tabla35681314223040818284858687888818283848586866[[#This Row],[COMISIONES]]*0.21</f>
        <v>0</v>
      </c>
      <c r="Q33" s="40"/>
      <c r="R33" s="40">
        <v>-805.2</v>
      </c>
      <c r="S33" s="40"/>
      <c r="T33" s="46"/>
      <c r="U33" s="40"/>
      <c r="V33" s="40">
        <f>Tabla356111927344311213151617181911121314151617167[[#This Row],[COMISIONES]]*0.21</f>
        <v>0</v>
      </c>
      <c r="W33" s="40"/>
      <c r="X33" s="40"/>
      <c r="Y33" s="40"/>
    </row>
    <row r="34" spans="1:25" x14ac:dyDescent="0.25">
      <c r="B34" s="3"/>
      <c r="C34" s="2">
        <f>Tabla13162432212223352627282212223242526263[[#This Row],[COMISIONES]]*0.21</f>
        <v>0</v>
      </c>
      <c r="D34" s="3"/>
      <c r="E34" s="3"/>
      <c r="F34" s="3"/>
      <c r="G34" s="3"/>
      <c r="I34" s="11"/>
      <c r="J34" s="11">
        <f>Tabla3510182636414244454647484414243444546465[[#This Row],[COMISIONES]]*0.21</f>
        <v>0</v>
      </c>
      <c r="K34" s="11"/>
      <c r="L34" s="11"/>
      <c r="M34" s="11"/>
      <c r="O34" s="40"/>
      <c r="P34" s="40">
        <f>Tabla35681314223040818284858687888818283848586866[[#This Row],[COMISIONES]]*0.21</f>
        <v>0</v>
      </c>
      <c r="Q34" s="40"/>
      <c r="R34" s="40">
        <v>-16104.04</v>
      </c>
      <c r="S34" s="40"/>
      <c r="T34" s="46"/>
      <c r="U34" s="40"/>
      <c r="V34" s="40">
        <f>Tabla356111927344311213151617181911121314151617167[[#This Row],[COMISIONES]]*0.21</f>
        <v>0</v>
      </c>
      <c r="W34" s="40"/>
      <c r="X34" s="40"/>
      <c r="Y34" s="40"/>
    </row>
    <row r="35" spans="1:25" x14ac:dyDescent="0.25">
      <c r="B35" s="3"/>
      <c r="C35" s="2">
        <f>Tabla13162432212223352627282212223242526263[[#This Row],[COMISIONES]]*0.21</f>
        <v>0</v>
      </c>
      <c r="D35" s="3"/>
      <c r="E35" s="3"/>
      <c r="F35" s="3"/>
      <c r="G35" s="3"/>
      <c r="I35" s="11"/>
      <c r="J35" s="11">
        <f>Tabla3510182636414244454647484414243444546465[[#This Row],[COMISIONES]]*0.21</f>
        <v>0</v>
      </c>
      <c r="K35" s="11"/>
      <c r="L35" s="11"/>
      <c r="M35" s="11"/>
      <c r="O35" s="40"/>
      <c r="P35" s="40">
        <f>Tabla35681314223040818284858687888818283848586866[[#This Row],[COMISIONES]]*0.21</f>
        <v>0</v>
      </c>
      <c r="Q35" s="40"/>
      <c r="R35" s="40">
        <v>-155.58000000000001</v>
      </c>
      <c r="S35" s="40"/>
      <c r="T35" s="46"/>
      <c r="U35" s="40"/>
      <c r="V35" s="40">
        <f>Tabla356111927344311213151617181911121314151617167[[#This Row],[COMISIONES]]*0.21</f>
        <v>0</v>
      </c>
      <c r="W35" s="40"/>
      <c r="X35" s="40"/>
      <c r="Y35" s="40"/>
    </row>
    <row r="36" spans="1:25" x14ac:dyDescent="0.25">
      <c r="B36" s="3"/>
      <c r="C36" s="2">
        <f>Tabla13162432212223352627282212223242526263[[#This Row],[COMISIONES]]*0.21</f>
        <v>0</v>
      </c>
      <c r="D36" s="3"/>
      <c r="E36" s="3"/>
      <c r="F36" s="3"/>
      <c r="G36" s="3"/>
      <c r="I36" s="11"/>
      <c r="J36" s="11">
        <f>Tabla3510182636414244454647484414243444546465[[#This Row],[COMISIONES]]*0.21</f>
        <v>0</v>
      </c>
      <c r="K36" s="11"/>
      <c r="L36" s="11"/>
      <c r="M36" s="11"/>
      <c r="O36" s="40"/>
      <c r="P36" s="40">
        <f>Tabla35681314223040818284858687888818283848586866[[#This Row],[COMISIONES]]*0.21</f>
        <v>0</v>
      </c>
      <c r="Q36" s="40"/>
      <c r="R36" s="40">
        <v>-3111.56</v>
      </c>
      <c r="S36" s="40"/>
      <c r="T36" s="46"/>
      <c r="U36" s="40"/>
      <c r="V36" s="40">
        <f>Tabla356111927344311213151617181911121314151617167[[#This Row],[COMISIONES]]*0.21</f>
        <v>0</v>
      </c>
      <c r="W36" s="40"/>
      <c r="X36" s="40"/>
      <c r="Y36" s="40"/>
    </row>
    <row r="37" spans="1:25" x14ac:dyDescent="0.25">
      <c r="B37" s="3"/>
      <c r="C37" s="2">
        <f>Tabla13162432212223352627282212223242526263[[#This Row],[COMISIONES]]*0.21</f>
        <v>0</v>
      </c>
      <c r="D37" s="3"/>
      <c r="E37" s="3"/>
      <c r="F37" s="3"/>
      <c r="G37" s="3"/>
      <c r="I37" s="11"/>
      <c r="J37" s="11">
        <f>Tabla3510182636414244454647484414243444546465[[#This Row],[COMISIONES]]*0.21</f>
        <v>0</v>
      </c>
      <c r="K37" s="11"/>
      <c r="L37" s="11"/>
      <c r="M37" s="11"/>
      <c r="O37" s="40"/>
      <c r="P37" s="40">
        <f>Tabla35681314223040818284858687888818283848586866[[#This Row],[COMISIONES]]*0.21</f>
        <v>0</v>
      </c>
      <c r="Q37" s="40"/>
      <c r="R37" s="40">
        <v>-7125.56</v>
      </c>
      <c r="S37" s="40"/>
      <c r="T37" s="46"/>
      <c r="U37" s="40"/>
      <c r="V37" s="40">
        <f>Tabla356111927344311213151617181911121314151617167[[#This Row],[COMISIONES]]*0.21</f>
        <v>0</v>
      </c>
      <c r="W37" s="40"/>
      <c r="X37" s="40"/>
      <c r="Y37" s="40"/>
    </row>
    <row r="38" spans="1:25" x14ac:dyDescent="0.25">
      <c r="B38" s="3"/>
      <c r="C38" s="2">
        <f>Tabla13162432212223352627282212223242526263[[#This Row],[COMISIONES]]*0.21</f>
        <v>0</v>
      </c>
      <c r="D38" s="3"/>
      <c r="E38" s="3"/>
      <c r="F38" s="3"/>
      <c r="G38" s="3"/>
      <c r="I38" s="11"/>
      <c r="J38" s="11">
        <f>Tabla3510182636414244454647484414243444546465[[#This Row],[COMISIONES]]*0.21</f>
        <v>0</v>
      </c>
      <c r="K38" s="11"/>
      <c r="L38" s="11"/>
      <c r="M38" s="11"/>
      <c r="O38" s="40"/>
      <c r="P38" s="40">
        <f>Tabla35681314223040818284858687888818283848586866[[#This Row],[COMISIONES]]*0.21</f>
        <v>0</v>
      </c>
      <c r="Q38" s="40"/>
      <c r="R38" s="40">
        <v>-1100000</v>
      </c>
      <c r="S38" s="40"/>
      <c r="T38" s="46"/>
      <c r="U38" s="40"/>
      <c r="V38" s="40">
        <f>Tabla356111927344311213151617181911121314151617167[[#This Row],[COMISIONES]]*0.21</f>
        <v>0</v>
      </c>
      <c r="W38" s="40"/>
      <c r="X38" s="40"/>
      <c r="Y38" s="40"/>
    </row>
    <row r="39" spans="1:25" x14ac:dyDescent="0.25">
      <c r="B39" s="3"/>
      <c r="C39" s="2">
        <f>Tabla13162432212223352627282212223242526263[[#This Row],[COMISIONES]]*0.21</f>
        <v>0</v>
      </c>
      <c r="D39" s="3"/>
      <c r="E39" s="3"/>
      <c r="F39" s="3"/>
      <c r="G39" s="3"/>
      <c r="H39" s="8"/>
      <c r="I39" s="11"/>
      <c r="J39" s="11">
        <f>Tabla3510182636414244454647484414243444546465[[#This Row],[COMISIONES]]*0.21</f>
        <v>0</v>
      </c>
      <c r="K39" s="11"/>
      <c r="L39" s="11"/>
      <c r="M39" s="11"/>
      <c r="N39" s="8"/>
      <c r="O39" s="40"/>
      <c r="P39" s="40">
        <f>Tabla35681314223040818284858687888818283848586866[[#This Row],[COMISIONES]]*0.21</f>
        <v>0</v>
      </c>
      <c r="Q39" s="40"/>
      <c r="R39" s="40">
        <v>-1187594.1000000001</v>
      </c>
      <c r="S39" s="40"/>
      <c r="T39" s="46"/>
      <c r="U39" s="40"/>
      <c r="V39" s="40">
        <f>Tabla356111927344311213151617181911121314151617167[[#This Row],[COMISIONES]]*0.21</f>
        <v>0</v>
      </c>
      <c r="W39" s="40"/>
      <c r="X39" s="40"/>
      <c r="Y39" s="40"/>
    </row>
    <row r="40" spans="1:25" x14ac:dyDescent="0.25">
      <c r="B40" s="3"/>
      <c r="C40" s="2">
        <f>Tabla13162432212223352627282212223242526263[[#This Row],[COMISIONES]]*0.21</f>
        <v>0</v>
      </c>
      <c r="D40" s="3"/>
      <c r="E40" s="3"/>
      <c r="F40" s="3"/>
      <c r="G40" s="3"/>
      <c r="I40" s="11"/>
      <c r="J40" s="11">
        <f>Tabla3510182636414244454647484414243444546465[[#This Row],[COMISIONES]]*0.21</f>
        <v>0</v>
      </c>
      <c r="K40" s="11"/>
      <c r="L40" s="11"/>
      <c r="M40" s="11"/>
      <c r="O40" s="40"/>
      <c r="P40" s="40">
        <f>Tabla35681314223040818284858687888818283848586866[[#This Row],[COMISIONES]]*0.21</f>
        <v>0</v>
      </c>
      <c r="Q40" s="40"/>
      <c r="R40" s="40">
        <v>-33176.480000000003</v>
      </c>
      <c r="S40" s="40"/>
      <c r="T40" s="46"/>
      <c r="U40" s="40"/>
      <c r="V40" s="40">
        <f>Tabla356111927344311213151617181911121314151617167[[#This Row],[COMISIONES]]*0.21</f>
        <v>0</v>
      </c>
      <c r="W40" s="40"/>
      <c r="X40" s="40"/>
      <c r="Y40" s="40"/>
    </row>
    <row r="41" spans="1:25" x14ac:dyDescent="0.25">
      <c r="B41" s="3"/>
      <c r="C41" s="2">
        <f>Tabla13162432212223352627282212223242526263[[#This Row],[COMISIONES]]*0.21</f>
        <v>0</v>
      </c>
      <c r="D41" s="3"/>
      <c r="E41" s="3"/>
      <c r="F41" s="3"/>
      <c r="G41" s="3"/>
      <c r="I41" s="11"/>
      <c r="J41" s="11">
        <f>Tabla3510182636414244454647484414243444546465[[#This Row],[COMISIONES]]*0.21</f>
        <v>0</v>
      </c>
      <c r="K41" s="11"/>
      <c r="L41" s="11"/>
      <c r="M41" s="11"/>
      <c r="O41" s="40"/>
      <c r="P41" s="40">
        <f>Tabla35681314223040818284858687888818283848586866[[#This Row],[COMISIONES]]*0.21</f>
        <v>0</v>
      </c>
      <c r="Q41" s="40"/>
      <c r="R41" s="40">
        <v>-636.01</v>
      </c>
      <c r="S41" s="40"/>
      <c r="T41" s="46"/>
      <c r="U41" s="40"/>
      <c r="V41" s="40">
        <f>Tabla356111927344311213151617181911121314151617167[[#This Row],[COMISIONES]]*0.21</f>
        <v>0</v>
      </c>
      <c r="W41" s="40"/>
      <c r="X41" s="40"/>
      <c r="Y41" s="40"/>
    </row>
    <row r="42" spans="1:25" x14ac:dyDescent="0.25">
      <c r="B42" s="3"/>
      <c r="C42" s="2">
        <f>Tabla13162432212223352627282212223242526263[[#This Row],[COMISIONES]]*0.21</f>
        <v>0</v>
      </c>
      <c r="D42" s="3"/>
      <c r="E42" s="3"/>
      <c r="F42" s="3"/>
      <c r="G42" s="3"/>
      <c r="I42" s="11"/>
      <c r="J42" s="11">
        <f>Tabla3510182636414244454647484414243444546465[[#This Row],[COMISIONES]]*0.21</f>
        <v>0</v>
      </c>
      <c r="K42" s="11"/>
      <c r="L42" s="11"/>
      <c r="M42" s="11"/>
      <c r="O42" s="40"/>
      <c r="P42" s="40">
        <f>Tabla35681314223040818284858687888818283848586866[[#This Row],[COMISIONES]]*0.21</f>
        <v>0</v>
      </c>
      <c r="Q42" s="40"/>
      <c r="R42" s="40">
        <v>-12720.21</v>
      </c>
      <c r="S42" s="40"/>
      <c r="T42" s="46"/>
      <c r="U42" s="40"/>
      <c r="V42" s="40">
        <f>Tabla356111927344311213151617181911121314151617167[[#This Row],[COMISIONES]]*0.21</f>
        <v>0</v>
      </c>
      <c r="W42" s="40"/>
      <c r="X42" s="40"/>
      <c r="Y42" s="40"/>
    </row>
    <row r="43" spans="1:25" x14ac:dyDescent="0.25">
      <c r="B43" s="3"/>
      <c r="C43" s="2">
        <f>Tabla13162432212223352627282212223242526263[[#This Row],[COMISIONES]]*0.21</f>
        <v>0</v>
      </c>
      <c r="D43" s="3"/>
      <c r="E43" s="3"/>
      <c r="F43" s="3"/>
      <c r="G43" s="3"/>
      <c r="I43" s="11"/>
      <c r="J43" s="11">
        <f>Tabla3510182636414244454647484414243444546465[[#This Row],[COMISIONES]]*0.21</f>
        <v>0</v>
      </c>
      <c r="K43" s="11"/>
      <c r="L43" s="11"/>
      <c r="M43" s="11"/>
      <c r="O43" s="40"/>
      <c r="P43" s="40">
        <f>Tabla35681314223040818284858687888818283848586866[[#This Row],[COMISIONES]]*0.21</f>
        <v>0</v>
      </c>
      <c r="Q43" s="40"/>
      <c r="R43" s="40">
        <v>-162834.23000000001</v>
      </c>
      <c r="S43" s="40"/>
      <c r="T43" s="46"/>
      <c r="U43" s="40"/>
      <c r="V43" s="40">
        <f>Tabla356111927344311213151617181911121314151617167[[#This Row],[COMISIONES]]*0.21</f>
        <v>0</v>
      </c>
      <c r="W43" s="40"/>
      <c r="X43" s="40"/>
      <c r="Y43" s="40"/>
    </row>
    <row r="44" spans="1:25" x14ac:dyDescent="0.25">
      <c r="B44" s="3"/>
      <c r="C44" s="2">
        <f>Tabla13162432212223352627282212223242526263[[#This Row],[COMISIONES]]*0.21</f>
        <v>0</v>
      </c>
      <c r="D44" s="3"/>
      <c r="E44" s="3"/>
      <c r="F44" s="3"/>
      <c r="G44" s="3"/>
      <c r="I44" s="11"/>
      <c r="J44" s="11">
        <f>Tabla3510182636414244454647484414243444546465[[#This Row],[COMISIONES]]*0.21</f>
        <v>0</v>
      </c>
      <c r="K44" s="11"/>
      <c r="L44" s="11"/>
      <c r="M44" s="11"/>
      <c r="O44" s="40"/>
      <c r="P44" s="40">
        <f>Tabla35681314223040818284858687888818283848586866[[#This Row],[COMISIONES]]*0.21</f>
        <v>0</v>
      </c>
      <c r="Q44" s="40"/>
      <c r="R44" s="40">
        <v>-1940000</v>
      </c>
      <c r="S44" s="40"/>
      <c r="T44" s="46"/>
      <c r="U44" s="40"/>
      <c r="V44" s="40">
        <f>Tabla356111927344311213151617181911121314151617167[[#This Row],[COMISIONES]]*0.21</f>
        <v>0</v>
      </c>
      <c r="W44" s="40"/>
      <c r="X44" s="40"/>
      <c r="Y44" s="40"/>
    </row>
    <row r="45" spans="1:25" x14ac:dyDescent="0.25">
      <c r="B45" s="3"/>
      <c r="C45" s="2">
        <f>Tabla13162432212223352627282212223242526263[[#This Row],[COMISIONES]]*0.21</f>
        <v>0</v>
      </c>
      <c r="D45" s="3"/>
      <c r="E45" s="3"/>
      <c r="F45" s="3"/>
      <c r="G45" s="3"/>
      <c r="I45" s="11"/>
      <c r="J45" s="11">
        <f>Tabla3510182636414244454647484414243444546465[[#This Row],[COMISIONES]]*0.21</f>
        <v>0</v>
      </c>
      <c r="K45" s="11"/>
      <c r="L45" s="11"/>
      <c r="M45" s="11"/>
      <c r="O45" s="40"/>
      <c r="P45" s="40">
        <f>Tabla35681314223040818284858687888818283848586866[[#This Row],[COMISIONES]]*0.21</f>
        <v>0</v>
      </c>
      <c r="Q45" s="40"/>
      <c r="R45" s="40">
        <v>-603.91999999999996</v>
      </c>
      <c r="S45" s="40"/>
      <c r="T45" s="46"/>
      <c r="U45" s="40"/>
      <c r="V45" s="40">
        <f>Tabla356111927344311213151617181911121314151617167[[#This Row],[COMISIONES]]*0.21</f>
        <v>0</v>
      </c>
      <c r="W45" s="40"/>
      <c r="X45" s="40"/>
      <c r="Y45" s="40"/>
    </row>
    <row r="46" spans="1:25" s="6" customFormat="1" x14ac:dyDescent="0.25">
      <c r="A46"/>
      <c r="B46" s="3"/>
      <c r="C46" s="2">
        <f>Tabla13162432212223352627282212223242526263[[#This Row],[COMISIONES]]*0.21</f>
        <v>0</v>
      </c>
      <c r="D46" s="3"/>
      <c r="E46" s="3"/>
      <c r="F46" s="3"/>
      <c r="G46" s="3"/>
      <c r="I46" s="11"/>
      <c r="J46" s="11">
        <f>Tabla3510182636414244454647484414243444546465[[#This Row],[COMISIONES]]*0.21</f>
        <v>0</v>
      </c>
      <c r="K46" s="11"/>
      <c r="L46" s="11"/>
      <c r="M46" s="11"/>
      <c r="O46" s="40"/>
      <c r="P46" s="40">
        <f>Tabla35681314223040818284858687888818283848586866[[#This Row],[COMISIONES]]*0.21</f>
        <v>0</v>
      </c>
      <c r="Q46" s="40"/>
      <c r="R46" s="40">
        <v>-12078.36</v>
      </c>
      <c r="S46" s="40"/>
      <c r="T46" s="46"/>
      <c r="U46" s="40"/>
      <c r="V46" s="40">
        <f>Tabla356111927344311213151617181911121314151617167[[#This Row],[COMISIONES]]*0.21</f>
        <v>0</v>
      </c>
      <c r="W46" s="40"/>
      <c r="X46" s="40"/>
      <c r="Y46" s="40"/>
    </row>
    <row r="47" spans="1:25" s="6" customFormat="1" x14ac:dyDescent="0.25">
      <c r="A47"/>
      <c r="B47" s="2"/>
      <c r="C47" s="2">
        <f>Tabla13162432212223352627282212223242526263[[#This Row],[COMISIONES]]*0.21</f>
        <v>0</v>
      </c>
      <c r="D47" s="2"/>
      <c r="E47" s="2"/>
      <c r="F47"/>
      <c r="G47"/>
      <c r="I47" s="11"/>
      <c r="J47" s="11">
        <f>Tabla3510182636414244454647484414243444546465[[#This Row],[COMISIONES]]*0.21</f>
        <v>0</v>
      </c>
      <c r="K47" s="11"/>
      <c r="L47" s="11"/>
      <c r="M47" s="11"/>
      <c r="O47" s="40"/>
      <c r="P47" s="40">
        <f>Tabla35681314223040818284858687888818283848586866[[#This Row],[COMISIONES]]*0.21</f>
        <v>0</v>
      </c>
      <c r="Q47" s="40"/>
      <c r="R47" s="40">
        <v>-1078.1400000000001</v>
      </c>
      <c r="S47" s="40"/>
      <c r="T47" s="46"/>
      <c r="U47" s="40"/>
      <c r="V47" s="40">
        <f>Tabla356111927344311213151617181911121314151617167[[#This Row],[COMISIONES]]*0.21</f>
        <v>0</v>
      </c>
      <c r="W47" s="40"/>
      <c r="X47" s="40"/>
      <c r="Y47" s="40"/>
    </row>
    <row r="48" spans="1:25" s="6" customFormat="1" x14ac:dyDescent="0.25">
      <c r="A48"/>
      <c r="B48" s="2"/>
      <c r="C48" s="2">
        <f>Tabla13162432212223352627282212223242526263[[#This Row],[COMISIONES]]*0.21</f>
        <v>0</v>
      </c>
      <c r="D48" s="2"/>
      <c r="E48" s="2"/>
      <c r="F48"/>
      <c r="G48"/>
      <c r="I48" s="11"/>
      <c r="J48" s="11">
        <f>Tabla3510182636414244454647484414243444546465[[#This Row],[COMISIONES]]*0.21</f>
        <v>0</v>
      </c>
      <c r="K48" s="11"/>
      <c r="L48" s="11"/>
      <c r="M48" s="11"/>
      <c r="O48" s="40"/>
      <c r="P48" s="40">
        <f>Tabla35681314223040818284858687888818283848586866[[#This Row],[COMISIONES]]*0.21</f>
        <v>0</v>
      </c>
      <c r="Q48" s="40"/>
      <c r="R48" s="40">
        <v>-126424.11</v>
      </c>
      <c r="S48" s="40"/>
      <c r="T48" s="46"/>
      <c r="U48" s="40"/>
      <c r="V48" s="40">
        <f>Tabla356111927344311213151617181911121314151617167[[#This Row],[COMISIONES]]*0.21</f>
        <v>0</v>
      </c>
      <c r="W48" s="40"/>
      <c r="X48" s="40"/>
      <c r="Y48" s="40"/>
    </row>
    <row r="49" spans="1:25" s="6" customFormat="1" x14ac:dyDescent="0.25">
      <c r="A49"/>
      <c r="B49" s="2"/>
      <c r="C49" s="2">
        <f>Tabla13162432212223352627282212223242526263[[#This Row],[COMISIONES]]*0.21</f>
        <v>0</v>
      </c>
      <c r="D49" s="2"/>
      <c r="E49" s="2"/>
      <c r="F49"/>
      <c r="G49"/>
      <c r="I49" s="11"/>
      <c r="J49" s="11">
        <f>Tabla3510182636414244454647484414243444546465[[#This Row],[COMISIONES]]*0.21</f>
        <v>0</v>
      </c>
      <c r="K49" s="11"/>
      <c r="L49" s="11"/>
      <c r="M49" s="11"/>
      <c r="O49" s="40"/>
      <c r="P49" s="40">
        <f>Tabla35681314223040818284858687888818283848586866[[#This Row],[COMISIONES]]*0.21</f>
        <v>0</v>
      </c>
      <c r="Q49" s="40"/>
      <c r="R49" s="40">
        <v>-53265.599999999999</v>
      </c>
      <c r="S49" s="40"/>
      <c r="T49" s="46"/>
      <c r="U49" s="40"/>
      <c r="V49" s="40">
        <f>Tabla356111927344311213151617181911121314151617167[[#This Row],[COMISIONES]]*0.21</f>
        <v>0</v>
      </c>
      <c r="W49" s="40"/>
      <c r="X49" s="40"/>
      <c r="Y49" s="40"/>
    </row>
    <row r="50" spans="1:25" s="6" customFormat="1" x14ac:dyDescent="0.25">
      <c r="A50"/>
      <c r="B50" s="2"/>
      <c r="C50" s="2">
        <f>Tabla13162432212223352627282212223242526263[[#This Row],[COMISIONES]]*0.21</f>
        <v>0</v>
      </c>
      <c r="D50" s="2"/>
      <c r="E50" s="2"/>
      <c r="F50"/>
      <c r="G50"/>
      <c r="I50" s="11"/>
      <c r="J50" s="11">
        <f>Tabla3510182636414244454647484414243444546465[[#This Row],[COMISIONES]]*0.21</f>
        <v>0</v>
      </c>
      <c r="K50" s="11"/>
      <c r="L50" s="11"/>
      <c r="M50" s="11"/>
      <c r="O50" s="40"/>
      <c r="P50" s="40">
        <f>Tabla35681314223040818284858687888818283848586866[[#This Row],[COMISIONES]]*0.21</f>
        <v>0</v>
      </c>
      <c r="Q50" s="40"/>
      <c r="R50" s="40">
        <v>-134.71</v>
      </c>
      <c r="S50" s="40"/>
      <c r="T50" s="46"/>
      <c r="U50" s="40"/>
      <c r="V50" s="40">
        <f>Tabla356111927344311213151617181911121314151617167[[#This Row],[COMISIONES]]*0.21</f>
        <v>0</v>
      </c>
      <c r="W50" s="40"/>
      <c r="X50" s="40"/>
      <c r="Y50" s="40"/>
    </row>
    <row r="51" spans="1:25" s="6" customFormat="1" x14ac:dyDescent="0.25">
      <c r="A51"/>
      <c r="B51" s="2"/>
      <c r="C51" s="2">
        <f>Tabla13162432212223352627282212223242526263[[#This Row],[COMISIONES]]*0.21</f>
        <v>0</v>
      </c>
      <c r="D51" s="2"/>
      <c r="E51" s="2"/>
      <c r="F51"/>
      <c r="G51"/>
      <c r="I51" s="11"/>
      <c r="J51" s="11">
        <f>Tabla3510182636414244454647484414243444546465[[#This Row],[COMISIONES]]*0.21</f>
        <v>0</v>
      </c>
      <c r="K51" s="11"/>
      <c r="L51" s="11"/>
      <c r="M51" s="11"/>
      <c r="O51" s="40"/>
      <c r="P51" s="40">
        <f>Tabla35681314223040818284858687888818283848586866[[#This Row],[COMISIONES]]*0.21</f>
        <v>0</v>
      </c>
      <c r="Q51" s="40"/>
      <c r="R51" s="40">
        <v>-2694.26</v>
      </c>
      <c r="S51" s="40"/>
      <c r="T51" s="48"/>
      <c r="U51" s="4">
        <f>SUBTOTAL(109,Tabla356111927344311213151617181911121314151617167[COMISIONES])</f>
        <v>25311.07</v>
      </c>
      <c r="V51" s="4">
        <f>SUBTOTAL(109,Tabla356111927344311213151617181911121314151617167[IVA 21])</f>
        <v>3974.3801999999996</v>
      </c>
      <c r="W51" s="4">
        <f>SUBTOTAL(109,Tabla356111927344311213151617181911121314151617167[IVA 10,5])</f>
        <v>670.47224999999992</v>
      </c>
      <c r="X51" s="4">
        <f>SUBTOTAL(109,Tabla356111927344311213151617181911121314151617167[Ret IIBB Caba])</f>
        <v>858.33999999999992</v>
      </c>
      <c r="Y51" s="4">
        <f>SUBTOTAL(109,Tabla356111927344311213151617181911121314151617167[PERC IVA])</f>
        <v>663.55</v>
      </c>
    </row>
    <row r="52" spans="1:25" s="6" customFormat="1" x14ac:dyDescent="0.25">
      <c r="A52"/>
      <c r="B52" s="2"/>
      <c r="C52" s="2">
        <f>Tabla13162432212223352627282212223242526263[[#This Row],[COMISIONES]]*0.21</f>
        <v>0</v>
      </c>
      <c r="D52" s="2"/>
      <c r="E52" s="2"/>
      <c r="F52"/>
      <c r="G52"/>
      <c r="I52" s="11"/>
      <c r="J52" s="11">
        <f>Tabla3510182636414244454647484414243444546465[[#This Row],[COMISIONES]]*0.21</f>
        <v>0</v>
      </c>
      <c r="K52" s="11"/>
      <c r="L52" s="11"/>
      <c r="M52" s="11"/>
      <c r="O52" s="40"/>
      <c r="P52" s="40">
        <f>Tabla35681314223040818284858687888818283848586866[[#This Row],[COMISIONES]]*0.21</f>
        <v>0</v>
      </c>
      <c r="Q52" s="40"/>
      <c r="R52" s="40">
        <v>-1500000</v>
      </c>
      <c r="S52" s="40"/>
      <c r="T52" s="48"/>
      <c r="U52"/>
      <c r="V52"/>
      <c r="W52"/>
      <c r="X52"/>
      <c r="Y52"/>
    </row>
    <row r="53" spans="1:25" s="6" customFormat="1" x14ac:dyDescent="0.25">
      <c r="A53"/>
      <c r="B53" s="2"/>
      <c r="C53" s="2">
        <f>Tabla13162432212223352627282212223242526263[[#This Row],[COMISIONES]]*0.21</f>
        <v>0</v>
      </c>
      <c r="D53" s="2"/>
      <c r="E53" s="2"/>
      <c r="F53"/>
      <c r="G53"/>
      <c r="I53" s="11"/>
      <c r="J53" s="11">
        <f>Tabla3510182636414244454647484414243444546465[[#This Row],[COMISIONES]]*0.21</f>
        <v>0</v>
      </c>
      <c r="K53" s="11"/>
      <c r="L53" s="11"/>
      <c r="M53" s="11"/>
      <c r="O53" s="40"/>
      <c r="P53" s="40">
        <f>Tabla35681314223040818284858687888818283848586866[[#This Row],[COMISIONES]]*0.21</f>
        <v>0</v>
      </c>
      <c r="Q53" s="40"/>
      <c r="R53" s="40">
        <v>-344.11</v>
      </c>
      <c r="S53" s="40"/>
      <c r="T53" s="48"/>
      <c r="U53"/>
      <c r="V53"/>
      <c r="W53"/>
      <c r="X53"/>
      <c r="Y53"/>
    </row>
    <row r="54" spans="1:25" s="6" customFormat="1" x14ac:dyDescent="0.25">
      <c r="A54"/>
      <c r="B54" s="2"/>
      <c r="C54" s="2">
        <f>Tabla13162432212223352627282212223242526263[[#This Row],[COMISIONES]]*0.21</f>
        <v>0</v>
      </c>
      <c r="D54" s="1"/>
      <c r="E54" s="2"/>
      <c r="F54"/>
      <c r="G54"/>
      <c r="I54" s="11"/>
      <c r="J54" s="11">
        <f>Tabla3510182636414244454647484414243444546465[[#This Row],[COMISIONES]]*0.21</f>
        <v>0</v>
      </c>
      <c r="K54" s="11"/>
      <c r="L54" s="11"/>
      <c r="M54" s="11"/>
      <c r="O54" s="40"/>
      <c r="P54" s="40">
        <f>Tabla35681314223040818284858687888818283848586866[[#This Row],[COMISIONES]]*0.21</f>
        <v>0</v>
      </c>
      <c r="Q54" s="40"/>
      <c r="R54" s="40">
        <v>-6882.16</v>
      </c>
      <c r="S54" s="40"/>
      <c r="T54" s="48"/>
      <c r="U54"/>
      <c r="V54"/>
      <c r="W54"/>
      <c r="X54"/>
      <c r="Y54"/>
    </row>
    <row r="55" spans="1:25" s="6" customFormat="1" x14ac:dyDescent="0.25">
      <c r="A55"/>
      <c r="B55" s="2"/>
      <c r="C55" s="2">
        <f>Tabla13162432212223352627282212223242526263[[#This Row],[COMISIONES]]*0.21</f>
        <v>0</v>
      </c>
      <c r="D55" s="2"/>
      <c r="E55" s="2"/>
      <c r="F55"/>
      <c r="G55"/>
      <c r="I55" s="11"/>
      <c r="J55" s="11">
        <f>Tabla3510182636414244454647484414243444546465[[#This Row],[COMISIONES]]*0.21</f>
        <v>0</v>
      </c>
      <c r="K55" s="11"/>
      <c r="L55" s="11"/>
      <c r="M55" s="11"/>
      <c r="O55" s="40"/>
      <c r="P55" s="40">
        <f>Tabla35681314223040818284858687888818283848586866[[#This Row],[COMISIONES]]*0.21</f>
        <v>0</v>
      </c>
      <c r="Q55" s="40"/>
      <c r="R55" s="40">
        <v>-1900000</v>
      </c>
      <c r="S55" s="40"/>
      <c r="T55" s="48"/>
      <c r="U55"/>
      <c r="V55"/>
      <c r="W55"/>
      <c r="X55"/>
      <c r="Y55"/>
    </row>
    <row r="56" spans="1:25" s="6" customFormat="1" x14ac:dyDescent="0.25">
      <c r="A56"/>
      <c r="B56" s="2"/>
      <c r="C56" s="2">
        <f>Tabla13162432212223352627282212223242526263[[#This Row],[COMISIONES]]*0.21</f>
        <v>0</v>
      </c>
      <c r="D56" s="2"/>
      <c r="E56" s="2"/>
      <c r="F56"/>
      <c r="G56"/>
      <c r="I56" s="11"/>
      <c r="J56" s="11">
        <f>Tabla3510182636414244454647484414243444546465[[#This Row],[COMISIONES]]*0.21</f>
        <v>0</v>
      </c>
      <c r="K56" s="11"/>
      <c r="L56" s="11"/>
      <c r="M56" s="11"/>
      <c r="O56" s="40"/>
      <c r="P56" s="40">
        <f>Tabla35681314223040818284858687888818283848586866[[#This Row],[COMISIONES]]*0.21</f>
        <v>0</v>
      </c>
      <c r="Q56" s="40"/>
      <c r="R56" s="40">
        <v>-890.56</v>
      </c>
      <c r="S56" s="40"/>
      <c r="T56" s="48"/>
      <c r="U56"/>
      <c r="V56"/>
      <c r="W56"/>
      <c r="X56"/>
      <c r="Y56"/>
    </row>
    <row r="57" spans="1:25" s="6" customFormat="1" x14ac:dyDescent="0.25">
      <c r="A57"/>
      <c r="B57" s="4">
        <f>SUBTOTAL(109,Tabla13162432212223352627282212223242526263[COMISIONES])</f>
        <v>153835.51</v>
      </c>
      <c r="C57" s="4">
        <f>SUBTOTAL(109,Tabla13162432212223352627282212223242526263[IVA 21])</f>
        <v>32305.4571</v>
      </c>
      <c r="D57" s="4">
        <f>SUBTOTAL(109,Tabla13162432212223352627282212223242526263[IVA 10,5])</f>
        <v>0</v>
      </c>
      <c r="E57" s="4">
        <f>SUBTOTAL(109,Tabla13162432212223352627282212223242526263[Ret IIBB Caba])</f>
        <v>7251.93</v>
      </c>
      <c r="F57" s="4">
        <f>SUBTOTAL(109,Tabla13162432212223352627282212223242526263[PERC IVA])</f>
        <v>4296.53</v>
      </c>
      <c r="G57" s="4"/>
      <c r="I57" s="11"/>
      <c r="J57" s="11">
        <f>Tabla3510182636414244454647484414243444546465[[#This Row],[COMISIONES]]*0.21</f>
        <v>0</v>
      </c>
      <c r="K57" s="11"/>
      <c r="L57" s="11"/>
      <c r="M57" s="11"/>
      <c r="O57" s="40"/>
      <c r="P57" s="40">
        <f>Tabla35681314223040818284858687888818283848586866[[#This Row],[COMISIONES]]*0.21</f>
        <v>0</v>
      </c>
      <c r="Q57" s="40"/>
      <c r="R57" s="40">
        <v>-17811.23</v>
      </c>
      <c r="S57" s="40"/>
      <c r="T57" s="48"/>
      <c r="U57"/>
      <c r="V57"/>
      <c r="W57"/>
      <c r="X57"/>
      <c r="Y57"/>
    </row>
    <row r="58" spans="1:25" s="6" customFormat="1" x14ac:dyDescent="0.25">
      <c r="A58"/>
      <c r="B58"/>
      <c r="C58"/>
      <c r="D58"/>
      <c r="E58"/>
      <c r="F58"/>
      <c r="G58"/>
      <c r="I58" s="11"/>
      <c r="J58" s="11">
        <f>Tabla3510182636414244454647484414243444546465[[#This Row],[COMISIONES]]*0.21</f>
        <v>0</v>
      </c>
      <c r="K58" s="11"/>
      <c r="L58" s="11"/>
      <c r="M58" s="11"/>
      <c r="O58" s="40"/>
      <c r="P58" s="40">
        <f>Tabla35681314223040818284858687888818283848586866[[#This Row],[COMISIONES]]*0.21</f>
        <v>0</v>
      </c>
      <c r="Q58" s="40"/>
      <c r="R58" s="40">
        <v>-15600</v>
      </c>
      <c r="S58" s="40"/>
      <c r="T58" s="48"/>
      <c r="U58"/>
      <c r="V58"/>
      <c r="W58"/>
      <c r="X58"/>
      <c r="Y58"/>
    </row>
    <row r="59" spans="1:25" s="6" customFormat="1" x14ac:dyDescent="0.25">
      <c r="A59"/>
      <c r="B59"/>
      <c r="C59"/>
      <c r="D59"/>
      <c r="E59"/>
      <c r="F59"/>
      <c r="G59"/>
      <c r="I59" s="11"/>
      <c r="J59" s="11">
        <f>Tabla3510182636414244454647484414243444546465[[#This Row],[COMISIONES]]*0.21</f>
        <v>0</v>
      </c>
      <c r="K59" s="11"/>
      <c r="L59" s="11"/>
      <c r="M59" s="11"/>
      <c r="O59" s="40"/>
      <c r="P59" s="40">
        <f>Tabla35681314223040818284858687888818283848586866[[#This Row],[COMISIONES]]*0.21</f>
        <v>0</v>
      </c>
      <c r="Q59" s="40"/>
      <c r="R59" s="40">
        <v>-2600000</v>
      </c>
      <c r="S59" s="40"/>
      <c r="T59" s="48"/>
      <c r="U59"/>
      <c r="V59"/>
      <c r="W59"/>
      <c r="X59"/>
      <c r="Y59"/>
    </row>
    <row r="60" spans="1:25" s="6" customFormat="1" x14ac:dyDescent="0.25">
      <c r="A60"/>
      <c r="B60"/>
      <c r="C60"/>
      <c r="D60"/>
      <c r="E60"/>
      <c r="F60"/>
      <c r="G60"/>
      <c r="I60" s="11"/>
      <c r="J60" s="11">
        <f>Tabla3510182636414244454647484414243444546465[[#This Row],[COMISIONES]]*0.21</f>
        <v>0</v>
      </c>
      <c r="K60" s="11"/>
      <c r="L60" s="11"/>
      <c r="M60" s="11"/>
      <c r="O60" s="40"/>
      <c r="P60" s="40">
        <f>Tabla35681314223040818284858687888818283848586866[[#This Row],[COMISIONES]]*0.21</f>
        <v>0</v>
      </c>
      <c r="Q60" s="40"/>
      <c r="R60" s="40">
        <v>-1800000</v>
      </c>
      <c r="S60" s="40"/>
      <c r="T60" s="48"/>
      <c r="U60"/>
      <c r="V60"/>
      <c r="W60"/>
      <c r="X60"/>
      <c r="Y60"/>
    </row>
    <row r="61" spans="1:25" s="6" customFormat="1" x14ac:dyDescent="0.25">
      <c r="A61"/>
      <c r="B61"/>
      <c r="C61"/>
      <c r="D61"/>
      <c r="E61"/>
      <c r="F61"/>
      <c r="G61"/>
      <c r="I61" s="11"/>
      <c r="J61" s="11">
        <f>Tabla3510182636414244454647484414243444546465[[#This Row],[COMISIONES]]*0.21</f>
        <v>0</v>
      </c>
      <c r="K61" s="11"/>
      <c r="L61" s="11"/>
      <c r="M61" s="11"/>
      <c r="O61" s="40"/>
      <c r="P61" s="40">
        <f>Tabla35681314223040818284858687888818283848586866[[#This Row],[COMISIONES]]*0.21</f>
        <v>0</v>
      </c>
      <c r="Q61" s="40"/>
      <c r="R61" s="40">
        <v>-0.05</v>
      </c>
      <c r="S61" s="40"/>
      <c r="T61" s="48"/>
      <c r="U61"/>
      <c r="V61"/>
      <c r="W61"/>
      <c r="X61"/>
      <c r="Y61"/>
    </row>
    <row r="62" spans="1:25" s="6" customFormat="1" x14ac:dyDescent="0.25">
      <c r="A62"/>
      <c r="B62"/>
      <c r="C62"/>
      <c r="D62"/>
      <c r="E62"/>
      <c r="F62"/>
      <c r="G62"/>
      <c r="I62" s="11"/>
      <c r="J62" s="11">
        <f>Tabla3510182636414244454647484414243444546465[[#This Row],[COMISIONES]]*0.21</f>
        <v>0</v>
      </c>
      <c r="K62" s="11"/>
      <c r="L62" s="11"/>
      <c r="M62" s="11"/>
      <c r="O62" s="40"/>
      <c r="P62" s="40">
        <f>Tabla35681314223040818284858687888818283848586866[[#This Row],[COMISIONES]]*0.21</f>
        <v>0</v>
      </c>
      <c r="Q62" s="40"/>
      <c r="R62" s="40">
        <v>-0.72</v>
      </c>
      <c r="S62" s="40"/>
      <c r="T62" s="48"/>
      <c r="U62"/>
      <c r="V62"/>
      <c r="W62"/>
      <c r="X62"/>
      <c r="Y62"/>
    </row>
    <row r="63" spans="1:25" s="6" customFormat="1" x14ac:dyDescent="0.25">
      <c r="A63"/>
      <c r="B63"/>
      <c r="C63"/>
      <c r="D63"/>
      <c r="E63"/>
      <c r="F63"/>
      <c r="G63"/>
      <c r="I63" s="18"/>
      <c r="J63" s="11">
        <f>Tabla3510182636414244454647484414243444546465[[#This Row],[COMISIONES]]*0.21</f>
        <v>0</v>
      </c>
      <c r="K63" s="18"/>
      <c r="L63" s="18"/>
      <c r="M63" s="18"/>
      <c r="O63" s="40"/>
      <c r="P63" s="40">
        <f>Tabla35681314223040818284858687888818283848586866[[#This Row],[COMISIONES]]*0.21</f>
        <v>0</v>
      </c>
      <c r="Q63" s="40"/>
      <c r="R63" s="40">
        <v>-7.0000000000000007E-2</v>
      </c>
      <c r="S63" s="40"/>
      <c r="T63" s="48"/>
      <c r="U63"/>
      <c r="V63"/>
      <c r="W63"/>
      <c r="X63"/>
      <c r="Y63"/>
    </row>
    <row r="64" spans="1:25" s="6" customFormat="1" x14ac:dyDescent="0.25">
      <c r="A64"/>
      <c r="B64"/>
      <c r="C64"/>
      <c r="D64"/>
      <c r="E64"/>
      <c r="F64"/>
      <c r="G64"/>
      <c r="I64" s="18"/>
      <c r="J64" s="11">
        <f>Tabla3510182636414244454647484414243444546465[[#This Row],[COMISIONES]]*0.21</f>
        <v>0</v>
      </c>
      <c r="K64" s="18"/>
      <c r="L64" s="18"/>
      <c r="M64" s="18"/>
      <c r="O64" s="40"/>
      <c r="P64" s="40">
        <f>Tabla35681314223040818284858687888818283848586866[[#This Row],[COMISIONES]]*0.21</f>
        <v>0</v>
      </c>
      <c r="Q64" s="40"/>
      <c r="R64" s="40">
        <v>-6.82</v>
      </c>
      <c r="S64" s="40"/>
      <c r="T64" s="49"/>
      <c r="U64"/>
      <c r="V64"/>
      <c r="W64"/>
      <c r="X64"/>
      <c r="Y64"/>
    </row>
    <row r="65" spans="1:25" s="6" customFormat="1" x14ac:dyDescent="0.25">
      <c r="A65"/>
      <c r="B65"/>
      <c r="C65"/>
      <c r="D65"/>
      <c r="E65"/>
      <c r="F65"/>
      <c r="G65"/>
      <c r="I65" s="18"/>
      <c r="J65" s="11">
        <f>Tabla3510182636414244454647484414243444546465[[#This Row],[COMISIONES]]*0.21</f>
        <v>0</v>
      </c>
      <c r="K65" s="18"/>
      <c r="L65" s="18"/>
      <c r="M65" s="18"/>
      <c r="O65" s="40"/>
      <c r="P65" s="40">
        <f>Tabla35681314223040818284858687888818283848586866[[#This Row],[COMISIONES]]*0.21</f>
        <v>0</v>
      </c>
      <c r="Q65" s="40"/>
      <c r="R65" s="40">
        <v>-429</v>
      </c>
      <c r="S65" s="40"/>
      <c r="U65"/>
      <c r="V65"/>
      <c r="W65"/>
      <c r="X65"/>
      <c r="Y65"/>
    </row>
    <row r="66" spans="1:25" s="6" customFormat="1" x14ac:dyDescent="0.25">
      <c r="A66"/>
      <c r="B66"/>
      <c r="C66"/>
      <c r="D66"/>
      <c r="E66"/>
      <c r="F66"/>
      <c r="G66"/>
      <c r="I66" s="18"/>
      <c r="J66" s="11">
        <f>Tabla3510182636414244454647484414243444546465[[#This Row],[COMISIONES]]*0.21</f>
        <v>0</v>
      </c>
      <c r="K66" s="18"/>
      <c r="L66" s="18"/>
      <c r="M66" s="18"/>
      <c r="O66" s="40"/>
      <c r="P66" s="40">
        <f>Tabla35681314223040818284858687888818283848586866[[#This Row],[COMISIONES]]*0.21</f>
        <v>0</v>
      </c>
      <c r="Q66" s="40"/>
      <c r="R66" s="40">
        <v>-55000</v>
      </c>
      <c r="S66" s="40"/>
      <c r="U66"/>
      <c r="V66"/>
      <c r="W66"/>
      <c r="X66"/>
      <c r="Y66"/>
    </row>
    <row r="67" spans="1:25" s="6" customFormat="1" x14ac:dyDescent="0.25">
      <c r="A67"/>
      <c r="B67"/>
      <c r="C67"/>
      <c r="D67"/>
      <c r="E67"/>
      <c r="F67"/>
      <c r="G67"/>
      <c r="I67" s="18"/>
      <c r="J67" s="11">
        <f>Tabla3510182636414244454647484414243444546465[[#This Row],[COMISIONES]]*0.21</f>
        <v>0</v>
      </c>
      <c r="K67" s="18"/>
      <c r="L67" s="18"/>
      <c r="M67" s="18"/>
      <c r="O67" s="40"/>
      <c r="P67" s="40">
        <f>Tabla35681314223040818284858687888818283848586866[[#This Row],[COMISIONES]]*0.21</f>
        <v>0</v>
      </c>
      <c r="Q67" s="40"/>
      <c r="R67" s="40">
        <v>-11550</v>
      </c>
      <c r="S67" s="40"/>
      <c r="U67"/>
      <c r="V67"/>
      <c r="W67"/>
      <c r="X67"/>
      <c r="Y67"/>
    </row>
    <row r="68" spans="1:25" s="6" customFormat="1" x14ac:dyDescent="0.25">
      <c r="A68"/>
      <c r="B68"/>
      <c r="C68"/>
      <c r="D68"/>
      <c r="E68"/>
      <c r="F68"/>
      <c r="G68"/>
      <c r="I68" s="18"/>
      <c r="J68" s="11">
        <f>Tabla3510182636414244454647484414243444546465[[#This Row],[COMISIONES]]*0.21</f>
        <v>0</v>
      </c>
      <c r="K68" s="18"/>
      <c r="L68" s="18"/>
      <c r="M68" s="18"/>
      <c r="O68" s="40"/>
      <c r="P68" s="40">
        <f>Tabla35681314223040818284858687888818283848586866[[#This Row],[COMISIONES]]*0.21</f>
        <v>0</v>
      </c>
      <c r="Q68" s="40"/>
      <c r="R68" s="40">
        <v>-1650</v>
      </c>
      <c r="S68" s="40"/>
      <c r="U68"/>
      <c r="V68"/>
      <c r="W68"/>
      <c r="X68"/>
      <c r="Y68"/>
    </row>
    <row r="69" spans="1:25" s="6" customFormat="1" x14ac:dyDescent="0.25">
      <c r="A69"/>
      <c r="B69"/>
      <c r="C69"/>
      <c r="D69"/>
      <c r="E69"/>
      <c r="F69"/>
      <c r="G69"/>
      <c r="I69" s="18"/>
      <c r="J69" s="11">
        <f>Tabla3510182636414244454647484414243444546465[[#This Row],[COMISIONES]]*0.21</f>
        <v>0</v>
      </c>
      <c r="K69" s="18"/>
      <c r="L69" s="18"/>
      <c r="M69" s="18"/>
      <c r="O69" s="40"/>
      <c r="P69" s="40">
        <f>Tabla35681314223040818284858687888818283848586866[[#This Row],[COMISIONES]]*0.21</f>
        <v>0</v>
      </c>
      <c r="Q69" s="40"/>
      <c r="R69" s="40">
        <v>-16.309999999999999</v>
      </c>
      <c r="S69" s="40"/>
      <c r="U69"/>
      <c r="V69"/>
      <c r="W69"/>
      <c r="X69"/>
      <c r="Y69"/>
    </row>
    <row r="70" spans="1:25" s="6" customFormat="1" x14ac:dyDescent="0.25">
      <c r="A70"/>
      <c r="B70"/>
      <c r="C70"/>
      <c r="D70"/>
      <c r="E70"/>
      <c r="F70"/>
      <c r="G70"/>
      <c r="I70" s="18"/>
      <c r="J70" s="11">
        <f>Tabla3510182636414244454647484414243444546465[[#This Row],[COMISIONES]]*0.21</f>
        <v>0</v>
      </c>
      <c r="K70" s="18"/>
      <c r="L70" s="18"/>
      <c r="M70" s="18"/>
      <c r="O70" s="40"/>
      <c r="P70" s="40">
        <f>Tabla35681314223040818284858687888818283848586866[[#This Row],[COMISIONES]]*0.21</f>
        <v>0</v>
      </c>
      <c r="Q70" s="40"/>
      <c r="R70" s="40">
        <v>-326.13</v>
      </c>
      <c r="S70" s="40"/>
      <c r="U70"/>
      <c r="V70"/>
      <c r="W70"/>
      <c r="X70"/>
      <c r="Y70"/>
    </row>
    <row r="71" spans="1:25" s="6" customFormat="1" x14ac:dyDescent="0.25">
      <c r="A71"/>
      <c r="B71"/>
      <c r="C71"/>
      <c r="D71"/>
      <c r="E71"/>
      <c r="F71"/>
      <c r="G71"/>
      <c r="I71" s="18"/>
      <c r="J71" s="11">
        <f>Tabla3510182636414244454647484414243444546465[[#This Row],[COMISIONES]]*0.21</f>
        <v>0</v>
      </c>
      <c r="K71" s="18"/>
      <c r="L71" s="18"/>
      <c r="M71" s="18"/>
      <c r="O71" s="40"/>
      <c r="P71" s="40">
        <f>Tabla35681314223040818284858687888818283848586866[[#This Row],[COMISIONES]]*0.21</f>
        <v>0</v>
      </c>
      <c r="Q71" s="40"/>
      <c r="R71" s="40"/>
      <c r="S71" s="40"/>
      <c r="U71"/>
      <c r="V71"/>
      <c r="W71"/>
      <c r="X71"/>
      <c r="Y71"/>
    </row>
    <row r="72" spans="1:25" s="6" customFormat="1" x14ac:dyDescent="0.25">
      <c r="A72"/>
      <c r="B72"/>
      <c r="C72"/>
      <c r="D72"/>
      <c r="E72"/>
      <c r="F72"/>
      <c r="G72"/>
      <c r="I72" s="18"/>
      <c r="J72" s="11">
        <f>Tabla3510182636414244454647484414243444546465[[#This Row],[COMISIONES]]*0.21</f>
        <v>0</v>
      </c>
      <c r="K72" s="18"/>
      <c r="L72" s="18"/>
      <c r="M72" s="18"/>
      <c r="O72" s="40"/>
      <c r="P72" s="40">
        <f>Tabla35681314223040818284858687888818283848586866[[#This Row],[COMISIONES]]*0.21</f>
        <v>0</v>
      </c>
      <c r="Q72" s="40"/>
      <c r="R72" s="40"/>
      <c r="S72" s="40"/>
      <c r="U72"/>
      <c r="V72"/>
      <c r="W72"/>
      <c r="X72"/>
      <c r="Y72"/>
    </row>
    <row r="73" spans="1:25" s="6" customFormat="1" x14ac:dyDescent="0.25">
      <c r="A73"/>
      <c r="B73"/>
      <c r="C73"/>
      <c r="D73"/>
      <c r="E73"/>
      <c r="F73"/>
      <c r="G73"/>
      <c r="I73" s="18"/>
      <c r="J73" s="11">
        <f>Tabla3510182636414244454647484414243444546465[[#This Row],[COMISIONES]]*0.21</f>
        <v>0</v>
      </c>
      <c r="K73" s="18"/>
      <c r="L73" s="18"/>
      <c r="M73" s="18"/>
      <c r="O73" s="40"/>
      <c r="P73" s="40">
        <f>Tabla35681314223040818284858687888818283848586866[[#This Row],[COMISIONES]]*0.21</f>
        <v>0</v>
      </c>
      <c r="Q73" s="40"/>
      <c r="R73" s="40"/>
      <c r="S73" s="40"/>
      <c r="U73"/>
      <c r="V73"/>
      <c r="W73"/>
      <c r="X73"/>
      <c r="Y73"/>
    </row>
    <row r="74" spans="1:25" s="6" customFormat="1" x14ac:dyDescent="0.25">
      <c r="A74"/>
      <c r="B74"/>
      <c r="C74"/>
      <c r="D74"/>
      <c r="E74"/>
      <c r="F74"/>
      <c r="G74"/>
      <c r="I74" s="18"/>
      <c r="J74" s="11">
        <f>Tabla3510182636414244454647484414243444546465[[#This Row],[COMISIONES]]*0.21</f>
        <v>0</v>
      </c>
      <c r="K74" s="18"/>
      <c r="L74" s="18"/>
      <c r="M74" s="18"/>
      <c r="O74" s="40"/>
      <c r="P74" s="40">
        <f>Tabla35681314223040818284858687888818283848586866[[#This Row],[COMISIONES]]*0.21</f>
        <v>0</v>
      </c>
      <c r="Q74" s="40"/>
      <c r="R74" s="40"/>
      <c r="S74" s="40"/>
      <c r="U74"/>
      <c r="V74"/>
      <c r="W74"/>
      <c r="X74"/>
      <c r="Y74"/>
    </row>
    <row r="75" spans="1:25" s="6" customFormat="1" x14ac:dyDescent="0.25">
      <c r="A75"/>
      <c r="B75"/>
      <c r="C75"/>
      <c r="D75"/>
      <c r="E75"/>
      <c r="F75"/>
      <c r="G75"/>
      <c r="I75" s="18"/>
      <c r="J75" s="11">
        <f>Tabla3510182636414244454647484414243444546465[[#This Row],[COMISIONES]]*0.21</f>
        <v>0</v>
      </c>
      <c r="K75" s="18"/>
      <c r="L75" s="18"/>
      <c r="M75" s="18"/>
      <c r="O75" s="40"/>
      <c r="P75" s="40">
        <f>Tabla35681314223040818284858687888818283848586866[[#This Row],[COMISIONES]]*0.21</f>
        <v>0</v>
      </c>
      <c r="Q75" s="40"/>
      <c r="R75" s="40"/>
      <c r="S75" s="40"/>
      <c r="U75"/>
      <c r="V75"/>
      <c r="W75"/>
      <c r="X75"/>
      <c r="Y75"/>
    </row>
    <row r="76" spans="1:25" s="6" customFormat="1" x14ac:dyDescent="0.25">
      <c r="A76"/>
      <c r="B76"/>
      <c r="C76"/>
      <c r="D76"/>
      <c r="E76"/>
      <c r="F76"/>
      <c r="G76"/>
      <c r="I76" s="18"/>
      <c r="J76" s="11">
        <f>Tabla3510182636414244454647484414243444546465[[#This Row],[COMISIONES]]*0.21</f>
        <v>0</v>
      </c>
      <c r="K76" s="18"/>
      <c r="L76" s="18"/>
      <c r="M76" s="18"/>
      <c r="O76" s="40"/>
      <c r="P76" s="40">
        <f>Tabla35681314223040818284858687888818283848586866[[#This Row],[COMISIONES]]*0.21</f>
        <v>0</v>
      </c>
      <c r="Q76" s="40"/>
      <c r="R76" s="40"/>
      <c r="S76" s="40"/>
      <c r="U76"/>
      <c r="V76"/>
      <c r="W76"/>
      <c r="X76"/>
      <c r="Y76"/>
    </row>
    <row r="77" spans="1:25" s="6" customFormat="1" x14ac:dyDescent="0.25">
      <c r="A77"/>
      <c r="B77"/>
      <c r="C77"/>
      <c r="D77"/>
      <c r="E77"/>
      <c r="F77"/>
      <c r="G77"/>
      <c r="I77" s="18"/>
      <c r="J77" s="11">
        <f>Tabla3510182636414244454647484414243444546465[[#This Row],[COMISIONES]]*0.21</f>
        <v>0</v>
      </c>
      <c r="K77" s="18"/>
      <c r="L77" s="18"/>
      <c r="M77" s="18"/>
      <c r="O77" s="4">
        <f>SUBTOTAL(109,Tabla35681314223040818284858687888818283848586866[COMISIONES])</f>
        <v>55006.82</v>
      </c>
      <c r="P77" s="4">
        <f>SUBTOTAL(109,Tabla35681314223040818284858687888818283848586866[IVA 21])</f>
        <v>11550</v>
      </c>
      <c r="Q77" s="4">
        <f>SUBTOTAL(109,Tabla35681314223040818284858687888818283848586866[IVA 10,5])</f>
        <v>0.71609999999999996</v>
      </c>
      <c r="R77" s="4">
        <f>SUBTOTAL(109,Tabla35681314223040818284858687888818283848586866[Ret IIBB Caba])</f>
        <v>935309.58999999764</v>
      </c>
      <c r="S77" s="4">
        <f>SUBTOTAL(109,Tabla35681314223040818284858687888818283848586866[PERC IVA])</f>
        <v>1650</v>
      </c>
      <c r="U77"/>
      <c r="V77"/>
      <c r="W77"/>
      <c r="X77"/>
      <c r="Y77"/>
    </row>
    <row r="78" spans="1:25" s="6" customFormat="1" x14ac:dyDescent="0.25">
      <c r="A78"/>
      <c r="B78"/>
      <c r="C78"/>
      <c r="D78"/>
      <c r="E78"/>
      <c r="F78"/>
      <c r="G78"/>
      <c r="I78" s="18"/>
      <c r="J78" s="11">
        <f>Tabla3510182636414244454647484414243444546465[[#This Row],[COMISIONES]]*0.21</f>
        <v>0</v>
      </c>
      <c r="K78" s="18"/>
      <c r="L78" s="18"/>
      <c r="M78" s="18"/>
      <c r="O78"/>
      <c r="P78"/>
      <c r="Q78"/>
      <c r="R78"/>
      <c r="S78"/>
      <c r="U78"/>
      <c r="V78"/>
      <c r="W78"/>
      <c r="X78"/>
      <c r="Y78"/>
    </row>
    <row r="79" spans="1:25" s="6" customFormat="1" x14ac:dyDescent="0.25">
      <c r="A79"/>
      <c r="B79"/>
      <c r="C79"/>
      <c r="D79"/>
      <c r="E79"/>
      <c r="F79"/>
      <c r="G79"/>
      <c r="I79" s="18"/>
      <c r="J79" s="11">
        <f>Tabla3510182636414244454647484414243444546465[[#This Row],[COMISIONES]]*0.21</f>
        <v>0</v>
      </c>
      <c r="K79" s="18"/>
      <c r="L79" s="18"/>
      <c r="M79" s="18"/>
      <c r="O79"/>
      <c r="P79"/>
      <c r="Q79"/>
      <c r="R79"/>
      <c r="S79"/>
      <c r="U79"/>
      <c r="V79"/>
      <c r="W79"/>
      <c r="X79"/>
      <c r="Y79"/>
    </row>
    <row r="80" spans="1:25" s="6" customFormat="1" x14ac:dyDescent="0.25">
      <c r="A80"/>
      <c r="B80"/>
      <c r="C80"/>
      <c r="D80"/>
      <c r="E80"/>
      <c r="F80"/>
      <c r="G80"/>
      <c r="I80" s="18"/>
      <c r="J80" s="11">
        <f>Tabla3510182636414244454647484414243444546465[[#This Row],[COMISIONES]]*0.21</f>
        <v>0</v>
      </c>
      <c r="K80" s="18"/>
      <c r="L80" s="18"/>
      <c r="M80" s="18"/>
      <c r="O80"/>
      <c r="P80"/>
      <c r="Q80"/>
      <c r="R80"/>
      <c r="S80"/>
      <c r="U80"/>
      <c r="V80"/>
      <c r="W80"/>
      <c r="X80"/>
      <c r="Y80"/>
    </row>
    <row r="81" spans="1:25" s="6" customFormat="1" x14ac:dyDescent="0.25">
      <c r="A81"/>
      <c r="B81"/>
      <c r="C81"/>
      <c r="D81"/>
      <c r="E81"/>
      <c r="F81"/>
      <c r="G81"/>
      <c r="I81" s="18"/>
      <c r="J81" s="11">
        <f>Tabla3510182636414244454647484414243444546465[[#This Row],[COMISIONES]]*0.21</f>
        <v>0</v>
      </c>
      <c r="K81" s="18"/>
      <c r="L81" s="18"/>
      <c r="M81" s="18"/>
      <c r="O81"/>
      <c r="P81"/>
      <c r="Q81"/>
      <c r="R81"/>
      <c r="S81"/>
      <c r="U81"/>
      <c r="V81"/>
      <c r="W81"/>
      <c r="X81"/>
      <c r="Y81"/>
    </row>
    <row r="82" spans="1:25" s="6" customFormat="1" x14ac:dyDescent="0.25">
      <c r="A82"/>
      <c r="B82"/>
      <c r="C82"/>
      <c r="D82"/>
      <c r="E82"/>
      <c r="F82"/>
      <c r="G82"/>
      <c r="I82" s="18"/>
      <c r="J82" s="11">
        <f>Tabla3510182636414244454647484414243444546465[[#This Row],[COMISIONES]]*0.21</f>
        <v>0</v>
      </c>
      <c r="K82" s="18"/>
      <c r="L82" s="18"/>
      <c r="M82" s="18"/>
      <c r="O82"/>
      <c r="P82"/>
      <c r="Q82"/>
      <c r="R82"/>
      <c r="S82"/>
      <c r="U82"/>
      <c r="V82"/>
      <c r="W82"/>
      <c r="X82"/>
      <c r="Y82"/>
    </row>
    <row r="83" spans="1:25" s="6" customFormat="1" x14ac:dyDescent="0.25">
      <c r="A83"/>
      <c r="B83"/>
      <c r="C83"/>
      <c r="D83"/>
      <c r="E83"/>
      <c r="F83"/>
      <c r="G83"/>
      <c r="I83" s="18"/>
      <c r="J83" s="11">
        <f>Tabla3510182636414244454647484414243444546465[[#This Row],[COMISIONES]]*0.21</f>
        <v>0</v>
      </c>
      <c r="K83" s="18"/>
      <c r="L83" s="18"/>
      <c r="M83" s="18"/>
      <c r="O83"/>
      <c r="P83"/>
      <c r="Q83"/>
      <c r="R83"/>
      <c r="S83"/>
      <c r="U83"/>
      <c r="V83"/>
      <c r="W83"/>
      <c r="X83"/>
      <c r="Y83"/>
    </row>
    <row r="84" spans="1:25" s="6" customFormat="1" x14ac:dyDescent="0.25">
      <c r="A84"/>
      <c r="B84"/>
      <c r="C84"/>
      <c r="D84"/>
      <c r="E84"/>
      <c r="F84"/>
      <c r="G84"/>
      <c r="I84" s="18"/>
      <c r="J84" s="11">
        <f>Tabla3510182636414244454647484414243444546465[[#This Row],[COMISIONES]]*0.21</f>
        <v>0</v>
      </c>
      <c r="K84" s="18"/>
      <c r="L84" s="18"/>
      <c r="M84" s="18"/>
      <c r="O84"/>
      <c r="P84"/>
      <c r="Q84"/>
      <c r="R84"/>
      <c r="S84"/>
      <c r="U84"/>
      <c r="V84"/>
      <c r="W84"/>
      <c r="X84"/>
      <c r="Y84"/>
    </row>
    <row r="85" spans="1:25" s="6" customFormat="1" x14ac:dyDescent="0.25">
      <c r="A85"/>
      <c r="B85"/>
      <c r="C85"/>
      <c r="D85"/>
      <c r="E85"/>
      <c r="F85"/>
      <c r="G85"/>
      <c r="I85" s="18"/>
      <c r="J85" s="11">
        <f>Tabla3510182636414244454647484414243444546465[[#This Row],[COMISIONES]]*0.21</f>
        <v>0</v>
      </c>
      <c r="K85" s="18"/>
      <c r="L85" s="18"/>
      <c r="M85" s="18"/>
      <c r="O85"/>
      <c r="P85"/>
      <c r="Q85"/>
      <c r="R85"/>
      <c r="S85"/>
      <c r="U85"/>
      <c r="V85"/>
      <c r="W85"/>
      <c r="X85"/>
      <c r="Y85"/>
    </row>
    <row r="86" spans="1:25" s="6" customFormat="1" x14ac:dyDescent="0.25">
      <c r="A86"/>
      <c r="B86"/>
      <c r="C86"/>
      <c r="D86"/>
      <c r="E86"/>
      <c r="F86"/>
      <c r="G86"/>
      <c r="I86" s="18"/>
      <c r="J86" s="11">
        <f>Tabla3510182636414244454647484414243444546465[[#This Row],[COMISIONES]]*0.21</f>
        <v>0</v>
      </c>
      <c r="K86" s="18"/>
      <c r="L86" s="18"/>
      <c r="M86" s="18"/>
      <c r="O86"/>
      <c r="P86"/>
      <c r="Q86"/>
      <c r="R86"/>
      <c r="S86"/>
      <c r="U86"/>
      <c r="V86"/>
      <c r="W86"/>
      <c r="X86"/>
      <c r="Y86"/>
    </row>
    <row r="87" spans="1:25" s="6" customFormat="1" x14ac:dyDescent="0.25">
      <c r="A87"/>
      <c r="B87"/>
      <c r="C87"/>
      <c r="D87"/>
      <c r="E87"/>
      <c r="F87"/>
      <c r="G87"/>
      <c r="I87" s="18"/>
      <c r="J87" s="11">
        <f>Tabla3510182636414244454647484414243444546465[[#This Row],[COMISIONES]]*0.21</f>
        <v>0</v>
      </c>
      <c r="K87" s="18"/>
      <c r="L87" s="18"/>
      <c r="M87" s="18"/>
      <c r="O87"/>
      <c r="P87"/>
      <c r="Q87"/>
      <c r="R87"/>
      <c r="S87"/>
      <c r="U87"/>
      <c r="V87"/>
      <c r="W87"/>
      <c r="X87"/>
      <c r="Y87"/>
    </row>
    <row r="88" spans="1:25" s="6" customFormat="1" x14ac:dyDescent="0.25">
      <c r="A88"/>
      <c r="B88"/>
      <c r="C88"/>
      <c r="D88"/>
      <c r="E88"/>
      <c r="F88"/>
      <c r="G88"/>
      <c r="I88" s="18"/>
      <c r="J88" s="11">
        <f>Tabla3510182636414244454647484414243444546465[[#This Row],[COMISIONES]]*0.21</f>
        <v>0</v>
      </c>
      <c r="K88" s="18"/>
      <c r="L88" s="18"/>
      <c r="M88" s="18"/>
      <c r="O88"/>
      <c r="P88"/>
      <c r="Q88"/>
      <c r="R88"/>
      <c r="S88"/>
      <c r="U88"/>
      <c r="V88"/>
      <c r="W88"/>
      <c r="X88"/>
      <c r="Y88"/>
    </row>
    <row r="89" spans="1:25" s="6" customFormat="1" x14ac:dyDescent="0.25">
      <c r="A89"/>
      <c r="B89"/>
      <c r="C89"/>
      <c r="D89"/>
      <c r="E89"/>
      <c r="F89"/>
      <c r="G89"/>
      <c r="I89" s="18"/>
      <c r="J89" s="11">
        <f>Tabla3510182636414244454647484414243444546465[[#This Row],[COMISIONES]]*0.21</f>
        <v>0</v>
      </c>
      <c r="K89" s="18"/>
      <c r="L89" s="18"/>
      <c r="M89" s="18"/>
      <c r="O89"/>
      <c r="P89"/>
      <c r="Q89"/>
      <c r="R89"/>
      <c r="S89"/>
      <c r="U89"/>
      <c r="V89"/>
      <c r="W89"/>
      <c r="X89"/>
      <c r="Y89"/>
    </row>
    <row r="90" spans="1:25" s="6" customFormat="1" x14ac:dyDescent="0.25">
      <c r="A90"/>
      <c r="B90"/>
      <c r="C90"/>
      <c r="D90"/>
      <c r="E90"/>
      <c r="F90"/>
      <c r="G90"/>
      <c r="I90" s="18"/>
      <c r="J90" s="11">
        <f>Tabla3510182636414244454647484414243444546465[[#This Row],[COMISIONES]]*0.21</f>
        <v>0</v>
      </c>
      <c r="K90" s="18"/>
      <c r="L90" s="18"/>
      <c r="M90" s="18"/>
      <c r="O90"/>
      <c r="P90"/>
      <c r="Q90"/>
      <c r="R90"/>
      <c r="S90"/>
      <c r="U90"/>
      <c r="V90"/>
      <c r="W90"/>
      <c r="X90"/>
      <c r="Y90"/>
    </row>
    <row r="91" spans="1:25" s="6" customFormat="1" x14ac:dyDescent="0.25">
      <c r="A91"/>
      <c r="B91"/>
      <c r="C91"/>
      <c r="D91"/>
      <c r="E91"/>
      <c r="F91"/>
      <c r="G91"/>
      <c r="I91" s="18"/>
      <c r="J91" s="11">
        <f>Tabla3510182636414244454647484414243444546465[[#This Row],[COMISIONES]]*0.21</f>
        <v>0</v>
      </c>
      <c r="K91" s="18"/>
      <c r="L91" s="18"/>
      <c r="M91" s="18"/>
      <c r="O91"/>
      <c r="P91"/>
      <c r="Q91"/>
      <c r="R91"/>
      <c r="S91"/>
      <c r="U91"/>
      <c r="V91"/>
      <c r="W91"/>
      <c r="X91"/>
      <c r="Y91"/>
    </row>
    <row r="92" spans="1:25" s="6" customFormat="1" x14ac:dyDescent="0.25">
      <c r="A92"/>
      <c r="B92"/>
      <c r="C92"/>
      <c r="D92"/>
      <c r="E92"/>
      <c r="F92"/>
      <c r="G92"/>
      <c r="I92" s="18"/>
      <c r="J92" s="11">
        <f>Tabla3510182636414244454647484414243444546465[[#This Row],[COMISIONES]]*0.21</f>
        <v>0</v>
      </c>
      <c r="K92" s="18"/>
      <c r="L92" s="18"/>
      <c r="M92" s="18"/>
      <c r="O92"/>
      <c r="P92"/>
      <c r="Q92"/>
      <c r="R92"/>
      <c r="S92"/>
      <c r="U92"/>
      <c r="V92"/>
      <c r="W92"/>
      <c r="X92"/>
      <c r="Y92"/>
    </row>
    <row r="93" spans="1:25" s="6" customFormat="1" x14ac:dyDescent="0.25">
      <c r="A93"/>
      <c r="B93"/>
      <c r="C93"/>
      <c r="D93"/>
      <c r="E93"/>
      <c r="F93"/>
      <c r="G93"/>
      <c r="I93" s="18"/>
      <c r="J93" s="11">
        <f>Tabla3510182636414244454647484414243444546465[[#This Row],[COMISIONES]]*0.21</f>
        <v>0</v>
      </c>
      <c r="K93" s="18"/>
      <c r="L93" s="18"/>
      <c r="M93" s="18"/>
      <c r="O93"/>
      <c r="P93"/>
      <c r="Q93"/>
      <c r="R93"/>
      <c r="S93"/>
      <c r="U93"/>
      <c r="V93"/>
      <c r="W93"/>
      <c r="X93"/>
      <c r="Y93"/>
    </row>
    <row r="94" spans="1:25" s="6" customFormat="1" x14ac:dyDescent="0.25">
      <c r="A94"/>
      <c r="B94"/>
      <c r="C94"/>
      <c r="D94"/>
      <c r="E94"/>
      <c r="F94"/>
      <c r="G94"/>
      <c r="I94" s="18"/>
      <c r="J94" s="11">
        <f>Tabla3510182636414244454647484414243444546465[[#This Row],[COMISIONES]]*0.21</f>
        <v>0</v>
      </c>
      <c r="K94" s="18"/>
      <c r="L94" s="18"/>
      <c r="M94" s="18"/>
      <c r="O94"/>
      <c r="P94"/>
      <c r="Q94"/>
      <c r="R94"/>
      <c r="S94"/>
      <c r="U94"/>
      <c r="V94"/>
      <c r="W94"/>
      <c r="X94"/>
      <c r="Y94"/>
    </row>
    <row r="95" spans="1:25" s="6" customFormat="1" x14ac:dyDescent="0.25">
      <c r="A95"/>
      <c r="B95"/>
      <c r="C95"/>
      <c r="D95"/>
      <c r="E95"/>
      <c r="F95"/>
      <c r="G95"/>
      <c r="I95" s="18"/>
      <c r="J95" s="11">
        <f>Tabla3510182636414244454647484414243444546465[[#This Row],[COMISIONES]]*0.21</f>
        <v>0</v>
      </c>
      <c r="K95" s="18"/>
      <c r="L95" s="18"/>
      <c r="M95" s="18"/>
      <c r="O95"/>
      <c r="P95"/>
      <c r="Q95"/>
      <c r="R95"/>
      <c r="S95"/>
      <c r="U95"/>
      <c r="V95"/>
      <c r="W95"/>
      <c r="X95"/>
      <c r="Y95"/>
    </row>
    <row r="96" spans="1:25" s="6" customFormat="1" x14ac:dyDescent="0.25">
      <c r="A96"/>
      <c r="B96"/>
      <c r="C96"/>
      <c r="D96"/>
      <c r="E96"/>
      <c r="F96"/>
      <c r="G96"/>
      <c r="I96" s="18"/>
      <c r="J96" s="11">
        <f>Tabla3510182636414244454647484414243444546465[[#This Row],[COMISIONES]]*0.21</f>
        <v>0</v>
      </c>
      <c r="K96" s="18"/>
      <c r="L96" s="18"/>
      <c r="M96" s="18"/>
      <c r="O96"/>
      <c r="P96"/>
      <c r="Q96"/>
      <c r="R96"/>
      <c r="S96"/>
      <c r="U96"/>
      <c r="V96"/>
      <c r="W96"/>
      <c r="X96"/>
      <c r="Y96"/>
    </row>
    <row r="97" spans="1:25" s="6" customFormat="1" x14ac:dyDescent="0.25">
      <c r="A97"/>
      <c r="B97"/>
      <c r="C97"/>
      <c r="D97"/>
      <c r="E97"/>
      <c r="F97"/>
      <c r="G97"/>
      <c r="I97" s="18"/>
      <c r="J97" s="11">
        <f>Tabla3510182636414244454647484414243444546465[[#This Row],[COMISIONES]]*0.21</f>
        <v>0</v>
      </c>
      <c r="K97" s="18"/>
      <c r="L97" s="18"/>
      <c r="M97" s="18"/>
      <c r="O97"/>
      <c r="P97"/>
      <c r="Q97"/>
      <c r="R97"/>
      <c r="S97"/>
      <c r="U97"/>
      <c r="V97"/>
      <c r="W97"/>
      <c r="X97"/>
      <c r="Y97"/>
    </row>
    <row r="98" spans="1:25" s="6" customFormat="1" x14ac:dyDescent="0.25">
      <c r="A98"/>
      <c r="B98"/>
      <c r="C98"/>
      <c r="D98"/>
      <c r="E98"/>
      <c r="F98"/>
      <c r="G98"/>
      <c r="I98" s="18"/>
      <c r="J98" s="11">
        <f>Tabla3510182636414244454647484414243444546465[[#This Row],[COMISIONES]]*0.21</f>
        <v>0</v>
      </c>
      <c r="K98" s="18"/>
      <c r="L98" s="18"/>
      <c r="M98" s="18"/>
      <c r="O98"/>
      <c r="P98"/>
      <c r="Q98"/>
      <c r="R98"/>
      <c r="S98"/>
      <c r="U98"/>
      <c r="V98"/>
      <c r="W98"/>
      <c r="X98"/>
      <c r="Y98"/>
    </row>
    <row r="99" spans="1:25" s="6" customFormat="1" x14ac:dyDescent="0.25">
      <c r="A99"/>
      <c r="B99"/>
      <c r="C99"/>
      <c r="D99"/>
      <c r="E99"/>
      <c r="F99"/>
      <c r="G99"/>
      <c r="I99" s="18"/>
      <c r="J99" s="11">
        <f>Tabla3510182636414244454647484414243444546465[[#This Row],[COMISIONES]]*0.21</f>
        <v>0</v>
      </c>
      <c r="K99" s="18"/>
      <c r="L99" s="18"/>
      <c r="M99" s="18"/>
      <c r="O99"/>
      <c r="P99"/>
      <c r="Q99"/>
      <c r="R99"/>
      <c r="S99"/>
      <c r="U99"/>
      <c r="V99"/>
      <c r="W99"/>
      <c r="X99"/>
      <c r="Y99"/>
    </row>
    <row r="100" spans="1:25" s="6" customFormat="1" x14ac:dyDescent="0.25">
      <c r="A100"/>
      <c r="B100"/>
      <c r="C100"/>
      <c r="D100"/>
      <c r="E100"/>
      <c r="F100"/>
      <c r="G100"/>
      <c r="I100" s="18"/>
      <c r="J100" s="11">
        <f>Tabla3510182636414244454647484414243444546465[[#This Row],[COMISIONES]]*0.21</f>
        <v>0</v>
      </c>
      <c r="K100" s="18"/>
      <c r="L100" s="18"/>
      <c r="M100" s="18"/>
      <c r="O100"/>
      <c r="P100"/>
      <c r="Q100"/>
      <c r="R100"/>
      <c r="S100"/>
      <c r="U100"/>
      <c r="V100"/>
      <c r="W100"/>
      <c r="X100"/>
      <c r="Y100"/>
    </row>
    <row r="101" spans="1:25" s="6" customFormat="1" x14ac:dyDescent="0.25">
      <c r="A101"/>
      <c r="B101"/>
      <c r="C101"/>
      <c r="D101"/>
      <c r="E101"/>
      <c r="F101"/>
      <c r="G101"/>
      <c r="I101" s="18"/>
      <c r="J101" s="11">
        <f>Tabla3510182636414244454647484414243444546465[[#This Row],[COMISIONES]]*0.21</f>
        <v>0</v>
      </c>
      <c r="K101" s="18"/>
      <c r="L101" s="18"/>
      <c r="M101" s="18"/>
      <c r="O101"/>
      <c r="P101"/>
      <c r="Q101"/>
      <c r="R101"/>
      <c r="S101"/>
      <c r="U101"/>
      <c r="V101"/>
      <c r="W101"/>
      <c r="X101"/>
      <c r="Y101"/>
    </row>
    <row r="102" spans="1:25" s="6" customFormat="1" x14ac:dyDescent="0.25">
      <c r="A102"/>
      <c r="B102"/>
      <c r="C102"/>
      <c r="D102"/>
      <c r="E102"/>
      <c r="F102"/>
      <c r="G102"/>
      <c r="I102" s="18"/>
      <c r="J102" s="11">
        <f>Tabla3510182636414244454647484414243444546465[[#This Row],[COMISIONES]]*0.21</f>
        <v>0</v>
      </c>
      <c r="K102" s="18"/>
      <c r="L102" s="18"/>
      <c r="M102" s="18"/>
      <c r="O102"/>
      <c r="P102"/>
      <c r="Q102"/>
      <c r="R102"/>
      <c r="S102"/>
      <c r="U102"/>
      <c r="V102"/>
      <c r="W102"/>
      <c r="X102"/>
      <c r="Y102"/>
    </row>
    <row r="103" spans="1:25" s="6" customFormat="1" x14ac:dyDescent="0.25">
      <c r="A103"/>
      <c r="B103"/>
      <c r="C103"/>
      <c r="D103"/>
      <c r="E103"/>
      <c r="F103"/>
      <c r="G103"/>
      <c r="I103" s="18"/>
      <c r="J103" s="11">
        <f>Tabla3510182636414244454647484414243444546465[[#This Row],[COMISIONES]]*0.21</f>
        <v>0</v>
      </c>
      <c r="K103" s="18"/>
      <c r="L103" s="18"/>
      <c r="M103" s="18"/>
      <c r="O103"/>
      <c r="P103"/>
      <c r="Q103"/>
      <c r="R103"/>
      <c r="S103"/>
      <c r="U103"/>
      <c r="V103"/>
      <c r="W103"/>
      <c r="X103"/>
      <c r="Y103"/>
    </row>
    <row r="104" spans="1:25" s="6" customFormat="1" x14ac:dyDescent="0.25">
      <c r="A104"/>
      <c r="B104"/>
      <c r="C104"/>
      <c r="D104"/>
      <c r="E104"/>
      <c r="F104"/>
      <c r="G104"/>
      <c r="I104" s="18"/>
      <c r="J104" s="11">
        <f>Tabla3510182636414244454647484414243444546465[[#This Row],[COMISIONES]]*0.21</f>
        <v>0</v>
      </c>
      <c r="K104" s="18"/>
      <c r="L104" s="18"/>
      <c r="M104" s="18"/>
      <c r="O104"/>
      <c r="P104"/>
      <c r="Q104"/>
      <c r="R104"/>
      <c r="S104"/>
      <c r="U104"/>
      <c r="V104"/>
      <c r="W104"/>
      <c r="X104"/>
      <c r="Y104"/>
    </row>
    <row r="105" spans="1:25" s="6" customFormat="1" x14ac:dyDescent="0.25">
      <c r="A105"/>
      <c r="B105"/>
      <c r="C105"/>
      <c r="D105"/>
      <c r="E105"/>
      <c r="F105"/>
      <c r="G105"/>
      <c r="I105" s="18"/>
      <c r="J105" s="11">
        <f>Tabla3510182636414244454647484414243444546465[[#This Row],[COMISIONES]]*0.21</f>
        <v>0</v>
      </c>
      <c r="K105" s="18"/>
      <c r="L105" s="18"/>
      <c r="M105" s="18"/>
      <c r="O105"/>
      <c r="P105"/>
      <c r="Q105"/>
      <c r="R105"/>
      <c r="S105"/>
      <c r="U105"/>
      <c r="V105"/>
      <c r="W105"/>
      <c r="X105"/>
      <c r="Y105"/>
    </row>
    <row r="106" spans="1:25" s="6" customFormat="1" x14ac:dyDescent="0.25">
      <c r="A106"/>
      <c r="B106"/>
      <c r="C106"/>
      <c r="D106"/>
      <c r="E106"/>
      <c r="F106"/>
      <c r="G106"/>
      <c r="I106" s="18"/>
      <c r="J106" s="11">
        <f>Tabla3510182636414244454647484414243444546465[[#This Row],[COMISIONES]]*0.21</f>
        <v>0</v>
      </c>
      <c r="K106" s="18"/>
      <c r="L106" s="18"/>
      <c r="M106" s="18"/>
      <c r="O106"/>
      <c r="P106"/>
      <c r="Q106"/>
      <c r="R106"/>
      <c r="S106"/>
      <c r="U106"/>
      <c r="V106"/>
      <c r="W106"/>
      <c r="X106"/>
      <c r="Y106"/>
    </row>
    <row r="107" spans="1:25" s="6" customFormat="1" x14ac:dyDescent="0.25">
      <c r="A107"/>
      <c r="B107"/>
      <c r="C107"/>
      <c r="D107"/>
      <c r="E107"/>
      <c r="F107"/>
      <c r="G107"/>
      <c r="I107" s="18"/>
      <c r="J107" s="11">
        <f>Tabla3510182636414244454647484414243444546465[[#This Row],[COMISIONES]]*0.21</f>
        <v>0</v>
      </c>
      <c r="K107" s="18"/>
      <c r="L107" s="18"/>
      <c r="M107" s="18"/>
      <c r="O107"/>
      <c r="P107"/>
      <c r="Q107"/>
      <c r="R107"/>
      <c r="S107"/>
      <c r="U107"/>
      <c r="V107"/>
      <c r="W107"/>
      <c r="X107"/>
      <c r="Y107"/>
    </row>
    <row r="108" spans="1:25" s="6" customFormat="1" x14ac:dyDescent="0.25">
      <c r="A108"/>
      <c r="B108"/>
      <c r="C108"/>
      <c r="D108"/>
      <c r="E108"/>
      <c r="F108"/>
      <c r="G108"/>
      <c r="I108" s="18"/>
      <c r="J108" s="11">
        <f>Tabla3510182636414244454647484414243444546465[[#This Row],[COMISIONES]]*0.21</f>
        <v>0</v>
      </c>
      <c r="K108" s="18"/>
      <c r="L108" s="18"/>
      <c r="M108" s="18"/>
      <c r="O108"/>
      <c r="P108"/>
      <c r="Q108"/>
      <c r="R108"/>
      <c r="S108"/>
      <c r="U108"/>
      <c r="V108"/>
      <c r="W108"/>
      <c r="X108"/>
      <c r="Y108"/>
    </row>
    <row r="109" spans="1:25" s="6" customFormat="1" x14ac:dyDescent="0.25">
      <c r="A109"/>
      <c r="B109"/>
      <c r="C109"/>
      <c r="D109"/>
      <c r="E109"/>
      <c r="F109"/>
      <c r="G109"/>
      <c r="I109" s="18"/>
      <c r="J109" s="11">
        <f>Tabla3510182636414244454647484414243444546465[[#This Row],[COMISIONES]]*0.21</f>
        <v>0</v>
      </c>
      <c r="K109" s="18"/>
      <c r="L109" s="18"/>
      <c r="M109" s="18"/>
      <c r="O109"/>
      <c r="P109"/>
      <c r="Q109"/>
      <c r="R109"/>
      <c r="S109"/>
      <c r="U109"/>
      <c r="V109"/>
      <c r="W109"/>
      <c r="X109"/>
      <c r="Y109"/>
    </row>
    <row r="110" spans="1:25" s="6" customFormat="1" x14ac:dyDescent="0.25">
      <c r="A110"/>
      <c r="B110"/>
      <c r="C110"/>
      <c r="D110"/>
      <c r="E110"/>
      <c r="F110"/>
      <c r="G110"/>
      <c r="I110" s="18"/>
      <c r="J110" s="11">
        <f>Tabla3510182636414244454647484414243444546465[[#This Row],[COMISIONES]]*0.21</f>
        <v>0</v>
      </c>
      <c r="K110" s="18"/>
      <c r="L110" s="18"/>
      <c r="M110" s="18"/>
      <c r="O110"/>
      <c r="P110"/>
      <c r="Q110"/>
      <c r="R110"/>
      <c r="S110"/>
      <c r="U110"/>
      <c r="V110"/>
      <c r="W110"/>
      <c r="X110"/>
      <c r="Y110"/>
    </row>
    <row r="111" spans="1:25" s="6" customFormat="1" x14ac:dyDescent="0.25">
      <c r="A111"/>
      <c r="B111"/>
      <c r="C111"/>
      <c r="D111"/>
      <c r="E111"/>
      <c r="F111"/>
      <c r="G111"/>
      <c r="I111" s="18"/>
      <c r="J111" s="11">
        <f>Tabla3510182636414244454647484414243444546465[[#This Row],[COMISIONES]]*0.21</f>
        <v>0</v>
      </c>
      <c r="K111" s="18"/>
      <c r="L111" s="18"/>
      <c r="M111" s="18"/>
      <c r="O111"/>
      <c r="P111"/>
      <c r="Q111"/>
      <c r="R111"/>
      <c r="S111"/>
      <c r="U111"/>
      <c r="V111"/>
      <c r="W111"/>
      <c r="X111"/>
      <c r="Y111"/>
    </row>
    <row r="112" spans="1:25" s="6" customFormat="1" x14ac:dyDescent="0.25">
      <c r="A112"/>
      <c r="B112"/>
      <c r="C112"/>
      <c r="D112"/>
      <c r="E112"/>
      <c r="F112"/>
      <c r="G112"/>
      <c r="I112" s="18"/>
      <c r="J112" s="11">
        <f>Tabla3510182636414244454647484414243444546465[[#This Row],[COMISIONES]]*0.21</f>
        <v>0</v>
      </c>
      <c r="K112" s="18"/>
      <c r="L112" s="18"/>
      <c r="M112" s="18"/>
      <c r="O112"/>
      <c r="P112"/>
      <c r="Q112"/>
      <c r="R112"/>
      <c r="S112"/>
      <c r="U112"/>
      <c r="V112"/>
      <c r="W112"/>
      <c r="X112"/>
      <c r="Y112"/>
    </row>
    <row r="113" spans="1:25" s="6" customFormat="1" x14ac:dyDescent="0.25">
      <c r="A113"/>
      <c r="B113"/>
      <c r="C113"/>
      <c r="D113"/>
      <c r="E113"/>
      <c r="F113"/>
      <c r="G113"/>
      <c r="I113" s="18"/>
      <c r="J113" s="11">
        <f>Tabla3510182636414244454647484414243444546465[[#This Row],[COMISIONES]]*0.21</f>
        <v>0</v>
      </c>
      <c r="K113" s="18"/>
      <c r="L113" s="18"/>
      <c r="M113" s="18"/>
      <c r="O113"/>
      <c r="P113"/>
      <c r="Q113"/>
      <c r="R113"/>
      <c r="S113"/>
      <c r="U113"/>
      <c r="V113"/>
      <c r="W113"/>
      <c r="X113"/>
      <c r="Y113"/>
    </row>
    <row r="114" spans="1:25" s="6" customFormat="1" x14ac:dyDescent="0.25">
      <c r="A114"/>
      <c r="B114"/>
      <c r="C114"/>
      <c r="D114"/>
      <c r="E114"/>
      <c r="F114"/>
      <c r="G114"/>
      <c r="I114" s="18"/>
      <c r="J114" s="11">
        <f>Tabla3510182636414244454647484414243444546465[[#This Row],[COMISIONES]]*0.21</f>
        <v>0</v>
      </c>
      <c r="K114" s="18"/>
      <c r="L114" s="18"/>
      <c r="M114" s="18"/>
      <c r="O114"/>
      <c r="P114"/>
      <c r="Q114"/>
      <c r="R114"/>
      <c r="S114"/>
      <c r="U114"/>
      <c r="V114"/>
      <c r="W114"/>
      <c r="X114"/>
      <c r="Y114"/>
    </row>
    <row r="115" spans="1:25" s="6" customFormat="1" x14ac:dyDescent="0.25">
      <c r="A115"/>
      <c r="B115"/>
      <c r="C115"/>
      <c r="D115"/>
      <c r="E115"/>
      <c r="F115"/>
      <c r="G115"/>
      <c r="I115" s="18"/>
      <c r="J115" s="11">
        <f>Tabla3510182636414244454647484414243444546465[[#This Row],[COMISIONES]]*0.21</f>
        <v>0</v>
      </c>
      <c r="K115" s="18"/>
      <c r="L115" s="18"/>
      <c r="M115" s="18"/>
      <c r="O115"/>
      <c r="P115"/>
      <c r="Q115"/>
      <c r="R115"/>
      <c r="S115"/>
      <c r="U115"/>
      <c r="V115"/>
      <c r="W115"/>
      <c r="X115"/>
      <c r="Y115"/>
    </row>
    <row r="116" spans="1:25" s="6" customFormat="1" x14ac:dyDescent="0.25">
      <c r="A116"/>
      <c r="B116"/>
      <c r="C116"/>
      <c r="D116"/>
      <c r="E116"/>
      <c r="F116"/>
      <c r="G116"/>
      <c r="I116" s="18"/>
      <c r="J116" s="11">
        <f>Tabla3510182636414244454647484414243444546465[[#This Row],[COMISIONES]]*0.21</f>
        <v>0</v>
      </c>
      <c r="K116" s="18"/>
      <c r="L116" s="18"/>
      <c r="M116" s="18"/>
      <c r="O116"/>
      <c r="P116"/>
      <c r="Q116"/>
      <c r="R116"/>
      <c r="S116"/>
      <c r="U116"/>
      <c r="V116"/>
      <c r="W116"/>
      <c r="X116"/>
      <c r="Y116"/>
    </row>
    <row r="117" spans="1:25" s="6" customFormat="1" x14ac:dyDescent="0.25">
      <c r="A117"/>
      <c r="B117"/>
      <c r="C117"/>
      <c r="D117"/>
      <c r="E117"/>
      <c r="F117"/>
      <c r="G117"/>
      <c r="I117" s="18"/>
      <c r="J117" s="11">
        <f>Tabla3510182636414244454647484414243444546465[[#This Row],[COMISIONES]]*0.21</f>
        <v>0</v>
      </c>
      <c r="K117" s="18"/>
      <c r="L117" s="18"/>
      <c r="M117" s="18"/>
      <c r="O117"/>
      <c r="P117"/>
      <c r="Q117"/>
      <c r="R117"/>
      <c r="S117"/>
      <c r="U117"/>
      <c r="V117"/>
      <c r="W117"/>
      <c r="X117"/>
      <c r="Y117"/>
    </row>
    <row r="118" spans="1:25" s="6" customFormat="1" x14ac:dyDescent="0.25">
      <c r="A118"/>
      <c r="B118"/>
      <c r="C118"/>
      <c r="D118"/>
      <c r="E118"/>
      <c r="F118"/>
      <c r="G118"/>
      <c r="I118" s="18"/>
      <c r="J118" s="11">
        <f>Tabla3510182636414244454647484414243444546465[[#This Row],[COMISIONES]]*0.21</f>
        <v>0</v>
      </c>
      <c r="K118" s="18"/>
      <c r="L118" s="18"/>
      <c r="M118" s="18"/>
      <c r="O118"/>
      <c r="P118"/>
      <c r="Q118"/>
      <c r="R118"/>
      <c r="S118"/>
      <c r="U118"/>
      <c r="V118"/>
      <c r="W118"/>
      <c r="X118"/>
      <c r="Y118"/>
    </row>
    <row r="119" spans="1:25" s="6" customFormat="1" x14ac:dyDescent="0.25">
      <c r="A119"/>
      <c r="B119"/>
      <c r="C119"/>
      <c r="D119"/>
      <c r="E119"/>
      <c r="F119"/>
      <c r="G119"/>
      <c r="I119" s="18"/>
      <c r="J119" s="18"/>
      <c r="K119" s="18"/>
      <c r="L119" s="18"/>
      <c r="M119" s="18"/>
      <c r="O119"/>
      <c r="P119"/>
      <c r="Q119"/>
      <c r="R119"/>
      <c r="S119"/>
      <c r="U119"/>
      <c r="V119"/>
      <c r="W119"/>
      <c r="X119"/>
      <c r="Y119"/>
    </row>
    <row r="120" spans="1:25" s="6" customFormat="1" x14ac:dyDescent="0.25">
      <c r="A120"/>
      <c r="B120"/>
      <c r="C120"/>
      <c r="D120"/>
      <c r="E120"/>
      <c r="F120"/>
      <c r="G120"/>
      <c r="I120" s="18"/>
      <c r="J120" s="18"/>
      <c r="K120" s="18"/>
      <c r="L120" s="18"/>
      <c r="M120" s="18"/>
      <c r="O120"/>
      <c r="P120"/>
      <c r="Q120"/>
      <c r="R120"/>
      <c r="S120"/>
      <c r="U120"/>
      <c r="V120"/>
      <c r="W120"/>
      <c r="X120"/>
      <c r="Y120"/>
    </row>
    <row r="121" spans="1:25" s="6" customFormat="1" x14ac:dyDescent="0.25">
      <c r="A121"/>
      <c r="B121"/>
      <c r="C121"/>
      <c r="D121"/>
      <c r="E121"/>
      <c r="F121"/>
      <c r="G121"/>
      <c r="I121" s="18"/>
      <c r="J121" s="18"/>
      <c r="K121" s="18"/>
      <c r="L121" s="18"/>
      <c r="M121" s="18"/>
      <c r="O121"/>
      <c r="P121"/>
      <c r="Q121"/>
      <c r="R121"/>
      <c r="S121"/>
      <c r="U121"/>
      <c r="V121"/>
      <c r="W121"/>
      <c r="X121"/>
      <c r="Y121"/>
    </row>
    <row r="122" spans="1:25" s="6" customFormat="1" x14ac:dyDescent="0.25">
      <c r="A122"/>
      <c r="B122"/>
      <c r="C122"/>
      <c r="D122"/>
      <c r="E122"/>
      <c r="F122"/>
      <c r="G122"/>
      <c r="I122" s="18"/>
      <c r="J122" s="18"/>
      <c r="K122" s="18"/>
      <c r="L122" s="18"/>
      <c r="M122" s="18"/>
      <c r="O122"/>
      <c r="P122"/>
      <c r="Q122"/>
      <c r="R122"/>
      <c r="S122"/>
      <c r="U122"/>
      <c r="V122"/>
      <c r="W122"/>
      <c r="X122"/>
      <c r="Y122"/>
    </row>
    <row r="123" spans="1:25" s="6" customFormat="1" x14ac:dyDescent="0.25">
      <c r="A123"/>
      <c r="B123"/>
      <c r="C123"/>
      <c r="D123"/>
      <c r="E123"/>
      <c r="F123"/>
      <c r="G123"/>
      <c r="I123" s="18"/>
      <c r="J123" s="18"/>
      <c r="K123" s="18"/>
      <c r="L123" s="18"/>
      <c r="M123" s="18"/>
      <c r="O123"/>
      <c r="P123"/>
      <c r="Q123"/>
      <c r="R123"/>
      <c r="S123"/>
      <c r="U123"/>
      <c r="V123"/>
      <c r="W123"/>
      <c r="X123"/>
      <c r="Y123"/>
    </row>
    <row r="124" spans="1:25" s="6" customFormat="1" x14ac:dyDescent="0.25">
      <c r="A124"/>
      <c r="B124"/>
      <c r="C124"/>
      <c r="D124"/>
      <c r="E124"/>
      <c r="F124"/>
      <c r="G124"/>
      <c r="I124" s="18"/>
      <c r="J124" s="18"/>
      <c r="K124" s="18"/>
      <c r="L124" s="18"/>
      <c r="M124" s="18"/>
      <c r="O124"/>
      <c r="P124"/>
      <c r="Q124"/>
      <c r="R124"/>
      <c r="S124"/>
      <c r="U124"/>
      <c r="V124"/>
      <c r="W124"/>
      <c r="X124"/>
      <c r="Y124"/>
    </row>
    <row r="125" spans="1:25" s="6" customFormat="1" x14ac:dyDescent="0.25">
      <c r="A125"/>
      <c r="B125"/>
      <c r="C125"/>
      <c r="D125"/>
      <c r="E125"/>
      <c r="F125"/>
      <c r="G125"/>
      <c r="I125" s="18"/>
      <c r="J125" s="18"/>
      <c r="K125" s="18"/>
      <c r="L125" s="18"/>
      <c r="M125" s="18"/>
      <c r="O125"/>
      <c r="P125"/>
      <c r="Q125"/>
      <c r="R125"/>
      <c r="S125"/>
      <c r="U125"/>
      <c r="V125"/>
      <c r="W125"/>
      <c r="X125"/>
      <c r="Y125"/>
    </row>
    <row r="126" spans="1:25" s="6" customFormat="1" x14ac:dyDescent="0.25">
      <c r="A126"/>
      <c r="B126"/>
      <c r="C126"/>
      <c r="D126"/>
      <c r="E126"/>
      <c r="F126"/>
      <c r="G126"/>
      <c r="I126" s="18"/>
      <c r="J126" s="18"/>
      <c r="K126" s="18"/>
      <c r="L126" s="18"/>
      <c r="M126" s="18"/>
      <c r="O126"/>
      <c r="P126"/>
      <c r="Q126"/>
      <c r="R126"/>
      <c r="S126"/>
      <c r="U126"/>
      <c r="V126"/>
      <c r="W126"/>
      <c r="X126"/>
      <c r="Y126"/>
    </row>
    <row r="127" spans="1:25" s="6" customFormat="1" x14ac:dyDescent="0.25">
      <c r="A127"/>
      <c r="B127"/>
      <c r="C127"/>
      <c r="D127"/>
      <c r="E127"/>
      <c r="F127"/>
      <c r="G127"/>
      <c r="I127" s="18"/>
      <c r="J127" s="18"/>
      <c r="K127" s="18"/>
      <c r="L127" s="18"/>
      <c r="M127" s="18"/>
      <c r="O127"/>
      <c r="P127"/>
      <c r="Q127"/>
      <c r="R127"/>
      <c r="S127"/>
      <c r="U127"/>
      <c r="V127"/>
      <c r="W127"/>
      <c r="X127"/>
      <c r="Y127"/>
    </row>
    <row r="128" spans="1:25" s="6" customFormat="1" x14ac:dyDescent="0.25">
      <c r="A128"/>
      <c r="B128"/>
      <c r="C128"/>
      <c r="D128"/>
      <c r="E128"/>
      <c r="F128"/>
      <c r="G128"/>
      <c r="I128" s="18"/>
      <c r="J128" s="18"/>
      <c r="K128" s="18"/>
      <c r="L128" s="18"/>
      <c r="M128" s="18"/>
      <c r="O128"/>
      <c r="P128"/>
      <c r="Q128"/>
      <c r="R128"/>
      <c r="S128"/>
      <c r="U128"/>
      <c r="V128"/>
      <c r="W128"/>
      <c r="X128"/>
      <c r="Y128"/>
    </row>
    <row r="129" spans="1:25" s="6" customFormat="1" x14ac:dyDescent="0.25">
      <c r="A129"/>
      <c r="B129"/>
      <c r="C129"/>
      <c r="D129"/>
      <c r="E129"/>
      <c r="F129"/>
      <c r="G129"/>
      <c r="I129" s="18"/>
      <c r="J129" s="18"/>
      <c r="K129" s="18"/>
      <c r="L129" s="18"/>
      <c r="M129" s="18"/>
      <c r="O129"/>
      <c r="P129"/>
      <c r="Q129"/>
      <c r="R129"/>
      <c r="S129"/>
      <c r="U129"/>
      <c r="V129"/>
      <c r="W129"/>
      <c r="X129"/>
      <c r="Y129"/>
    </row>
    <row r="130" spans="1:25" s="6" customFormat="1" x14ac:dyDescent="0.25">
      <c r="A130"/>
      <c r="B130"/>
      <c r="C130"/>
      <c r="D130"/>
      <c r="E130"/>
      <c r="F130"/>
      <c r="G130"/>
      <c r="I130" s="18"/>
      <c r="J130" s="18">
        <f>Tabla3510182636414244454647484414243444546465[[#This Row],[COMISIONES]]*0.21</f>
        <v>0</v>
      </c>
      <c r="K130" s="18"/>
      <c r="L130" s="18"/>
      <c r="M130" s="18"/>
      <c r="O130"/>
      <c r="P130"/>
      <c r="Q130"/>
      <c r="R130"/>
      <c r="S130"/>
      <c r="U130"/>
      <c r="V130"/>
      <c r="W130"/>
      <c r="X130"/>
      <c r="Y130"/>
    </row>
    <row r="131" spans="1:25" s="6" customFormat="1" x14ac:dyDescent="0.25">
      <c r="A131"/>
      <c r="B131"/>
      <c r="C131"/>
      <c r="D131"/>
      <c r="E131"/>
      <c r="F131"/>
      <c r="G131"/>
      <c r="I131" s="4">
        <f>SUBTOTAL(109,Tabla3510182636414244454647484414243444546465[COMISIONES])</f>
        <v>68514.290000000008</v>
      </c>
      <c r="J131" s="4">
        <f>SUBTOTAL(109,Tabla3510182636414244454647484414243444546465[IVA 21])</f>
        <v>13977.6</v>
      </c>
      <c r="K131" s="4">
        <f>SUBTOTAL(109,Tabla3510182636414244454647484414243444546465[IVA 10,5])</f>
        <v>205.20044999999999</v>
      </c>
      <c r="L131" s="4">
        <f>SUBTOTAL(109,Tabla3510182636414244454647484414243444546465[Ret IIBB Caba])</f>
        <v>3993.6</v>
      </c>
      <c r="M131" s="4">
        <f>SUBTOTAL(109,Tabla3510182636414244454647484414243444546465[PERC IVA])</f>
        <v>1996.8</v>
      </c>
      <c r="O131"/>
      <c r="P131"/>
      <c r="Q131"/>
      <c r="R131"/>
      <c r="S131"/>
      <c r="U131"/>
      <c r="V131"/>
      <c r="W131"/>
      <c r="X131"/>
      <c r="Y131"/>
    </row>
    <row r="132" spans="1:25" s="6" customFormat="1" x14ac:dyDescent="0.25">
      <c r="A132"/>
      <c r="B132"/>
      <c r="C132"/>
      <c r="D132"/>
      <c r="E132"/>
      <c r="F132"/>
      <c r="G132"/>
      <c r="I132"/>
      <c r="J132"/>
      <c r="K132"/>
      <c r="L132"/>
      <c r="M132"/>
      <c r="O132"/>
      <c r="P132"/>
      <c r="Q132"/>
      <c r="R132"/>
      <c r="S132"/>
      <c r="U132"/>
      <c r="V132"/>
      <c r="W132"/>
      <c r="X132"/>
      <c r="Y132"/>
    </row>
    <row r="133" spans="1:25" s="6" customFormat="1" x14ac:dyDescent="0.25">
      <c r="A133"/>
      <c r="B133"/>
      <c r="C133"/>
      <c r="D133"/>
      <c r="E133"/>
      <c r="F133"/>
      <c r="G133"/>
      <c r="I133"/>
      <c r="J133"/>
      <c r="K133"/>
      <c r="L133"/>
      <c r="M133"/>
      <c r="O133"/>
      <c r="P133"/>
      <c r="Q133"/>
      <c r="R133"/>
      <c r="S133"/>
      <c r="U133"/>
      <c r="V133"/>
      <c r="W133"/>
      <c r="X133"/>
      <c r="Y133"/>
    </row>
    <row r="134" spans="1:25" s="6" customFormat="1" x14ac:dyDescent="0.25">
      <c r="A134"/>
      <c r="B134"/>
      <c r="C134"/>
      <c r="D134"/>
      <c r="E134"/>
      <c r="F134"/>
      <c r="G134"/>
      <c r="I134"/>
      <c r="J134"/>
      <c r="K134"/>
      <c r="L134"/>
      <c r="M134"/>
      <c r="O134"/>
      <c r="P134"/>
      <c r="Q134"/>
      <c r="R134"/>
      <c r="S134"/>
      <c r="U134"/>
      <c r="V134"/>
      <c r="W134"/>
      <c r="X134"/>
      <c r="Y134"/>
    </row>
    <row r="135" spans="1:25" s="6" customFormat="1" x14ac:dyDescent="0.25">
      <c r="A135"/>
      <c r="B135"/>
      <c r="C135"/>
      <c r="D135"/>
      <c r="E135"/>
      <c r="F135"/>
      <c r="G135"/>
      <c r="I135"/>
      <c r="J135"/>
      <c r="K135"/>
      <c r="L135"/>
      <c r="M135"/>
      <c r="O135"/>
      <c r="P135"/>
      <c r="Q135"/>
      <c r="R135"/>
      <c r="S135"/>
      <c r="U135"/>
      <c r="V135"/>
      <c r="W135"/>
      <c r="X135"/>
      <c r="Y135"/>
    </row>
    <row r="136" spans="1:25" s="6" customFormat="1" x14ac:dyDescent="0.25">
      <c r="A136"/>
      <c r="B136"/>
      <c r="C136"/>
      <c r="D136"/>
      <c r="E136"/>
      <c r="F136"/>
      <c r="G136"/>
      <c r="I136"/>
      <c r="J136"/>
      <c r="K136"/>
      <c r="L136"/>
      <c r="M136"/>
      <c r="O136"/>
      <c r="P136"/>
      <c r="Q136"/>
      <c r="R136"/>
      <c r="S136"/>
      <c r="U136"/>
      <c r="V136"/>
      <c r="W136"/>
      <c r="X136"/>
      <c r="Y136"/>
    </row>
    <row r="137" spans="1:25" s="6" customFormat="1" x14ac:dyDescent="0.25">
      <c r="A137"/>
      <c r="B137"/>
      <c r="C137"/>
      <c r="D137"/>
      <c r="E137"/>
      <c r="F137"/>
      <c r="G137"/>
      <c r="I137"/>
      <c r="J137"/>
      <c r="K137"/>
      <c r="L137"/>
      <c r="M137"/>
      <c r="O137"/>
      <c r="P137"/>
      <c r="Q137"/>
      <c r="R137"/>
      <c r="S137"/>
      <c r="U137"/>
      <c r="V137"/>
      <c r="W137"/>
      <c r="X137"/>
      <c r="Y137"/>
    </row>
    <row r="138" spans="1:25" s="6" customFormat="1" x14ac:dyDescent="0.25">
      <c r="A138"/>
      <c r="B138"/>
      <c r="C138"/>
      <c r="D138"/>
      <c r="E138"/>
      <c r="F138"/>
      <c r="G138"/>
      <c r="I138"/>
      <c r="J138"/>
      <c r="K138"/>
      <c r="L138"/>
      <c r="M138"/>
      <c r="O138"/>
      <c r="P138"/>
      <c r="Q138"/>
      <c r="R138"/>
      <c r="S138"/>
      <c r="U138"/>
      <c r="V138"/>
      <c r="W138"/>
      <c r="X138"/>
      <c r="Y138"/>
    </row>
    <row r="139" spans="1:25" s="6" customFormat="1" x14ac:dyDescent="0.25">
      <c r="A139"/>
      <c r="B139"/>
      <c r="C139"/>
      <c r="D139"/>
      <c r="E139"/>
      <c r="F139"/>
      <c r="G139"/>
      <c r="I139"/>
      <c r="J139"/>
      <c r="K139"/>
      <c r="L139"/>
      <c r="M139"/>
      <c r="O139"/>
      <c r="P139"/>
      <c r="Q139"/>
      <c r="R139"/>
      <c r="S139"/>
      <c r="U139"/>
      <c r="V139"/>
      <c r="W139"/>
      <c r="X139"/>
      <c r="Y139"/>
    </row>
    <row r="140" spans="1:25" s="6" customFormat="1" x14ac:dyDescent="0.25">
      <c r="A140"/>
      <c r="B140"/>
      <c r="C140"/>
      <c r="D140"/>
      <c r="E140"/>
      <c r="F140"/>
      <c r="G140"/>
      <c r="I140"/>
      <c r="J140"/>
      <c r="K140"/>
      <c r="L140"/>
      <c r="M140"/>
      <c r="O140"/>
      <c r="P140"/>
      <c r="Q140"/>
      <c r="R140"/>
      <c r="S140"/>
      <c r="U140"/>
      <c r="V140"/>
      <c r="W140"/>
      <c r="X140"/>
      <c r="Y140"/>
    </row>
    <row r="141" spans="1:25" s="6" customFormat="1" x14ac:dyDescent="0.25">
      <c r="A141"/>
      <c r="B141"/>
      <c r="C141"/>
      <c r="D141"/>
      <c r="E141"/>
      <c r="F141"/>
      <c r="G141"/>
      <c r="I141"/>
      <c r="J141"/>
      <c r="K141"/>
      <c r="L141"/>
      <c r="M141"/>
      <c r="O141"/>
      <c r="P141"/>
      <c r="Q141"/>
      <c r="R141"/>
      <c r="S141"/>
      <c r="U141"/>
      <c r="V141"/>
      <c r="W141"/>
      <c r="X141"/>
      <c r="Y141"/>
    </row>
    <row r="142" spans="1:25" s="6" customFormat="1" x14ac:dyDescent="0.25">
      <c r="A142"/>
      <c r="B142"/>
      <c r="C142"/>
      <c r="D142"/>
      <c r="E142"/>
      <c r="F142"/>
      <c r="G142"/>
      <c r="I142"/>
      <c r="J142"/>
      <c r="K142"/>
      <c r="L142"/>
      <c r="M142"/>
      <c r="O142"/>
      <c r="P142"/>
      <c r="Q142"/>
      <c r="R142"/>
      <c r="S142"/>
      <c r="U142"/>
      <c r="V142"/>
      <c r="W142"/>
      <c r="X142"/>
      <c r="Y142"/>
    </row>
    <row r="143" spans="1:25" s="6" customFormat="1" x14ac:dyDescent="0.25">
      <c r="A143"/>
      <c r="B143"/>
      <c r="C143"/>
      <c r="D143"/>
      <c r="E143"/>
      <c r="F143"/>
      <c r="G143"/>
      <c r="I143"/>
      <c r="J143"/>
      <c r="K143"/>
      <c r="L143"/>
      <c r="M143"/>
      <c r="O143"/>
      <c r="P143"/>
      <c r="Q143"/>
      <c r="R143"/>
      <c r="S143"/>
      <c r="U143"/>
      <c r="V143"/>
      <c r="W143"/>
      <c r="X143"/>
      <c r="Y143"/>
    </row>
    <row r="144" spans="1:25" s="6" customFormat="1" x14ac:dyDescent="0.25">
      <c r="A144"/>
      <c r="B144"/>
      <c r="C144"/>
      <c r="D144"/>
      <c r="E144"/>
      <c r="F144"/>
      <c r="G144"/>
      <c r="I144"/>
      <c r="J144"/>
      <c r="K144"/>
      <c r="L144"/>
      <c r="M144"/>
      <c r="O144"/>
      <c r="P144"/>
      <c r="Q144"/>
      <c r="R144"/>
      <c r="S144"/>
      <c r="U144"/>
      <c r="V144"/>
      <c r="W144"/>
      <c r="X144"/>
      <c r="Y144"/>
    </row>
    <row r="145" spans="1:25" s="6" customFormat="1" x14ac:dyDescent="0.25">
      <c r="A145"/>
      <c r="B145"/>
      <c r="C145"/>
      <c r="D145"/>
      <c r="E145"/>
      <c r="F145"/>
      <c r="G145"/>
      <c r="I145"/>
      <c r="J145"/>
      <c r="K145"/>
      <c r="L145"/>
      <c r="M145"/>
      <c r="O145"/>
      <c r="P145"/>
      <c r="Q145"/>
      <c r="R145"/>
      <c r="S145"/>
      <c r="U145"/>
      <c r="V145"/>
      <c r="W145"/>
      <c r="X145"/>
      <c r="Y145"/>
    </row>
    <row r="146" spans="1:25" s="6" customFormat="1" x14ac:dyDescent="0.25">
      <c r="A146"/>
      <c r="B146"/>
      <c r="C146"/>
      <c r="D146"/>
      <c r="E146"/>
      <c r="F146"/>
      <c r="G146"/>
      <c r="I146"/>
      <c r="J146"/>
      <c r="K146"/>
      <c r="L146"/>
      <c r="M146"/>
      <c r="O146"/>
      <c r="P146"/>
      <c r="Q146"/>
      <c r="R146"/>
      <c r="S146"/>
      <c r="U146"/>
      <c r="V146"/>
      <c r="W146"/>
      <c r="X146"/>
      <c r="Y146"/>
    </row>
    <row r="147" spans="1:25" s="6" customFormat="1" x14ac:dyDescent="0.25">
      <c r="A147"/>
      <c r="B147"/>
      <c r="C147"/>
      <c r="D147"/>
      <c r="E147"/>
      <c r="F147"/>
      <c r="G147"/>
      <c r="I147"/>
      <c r="J147"/>
      <c r="K147"/>
      <c r="L147"/>
      <c r="M147"/>
      <c r="O147"/>
      <c r="P147"/>
      <c r="Q147"/>
      <c r="R147"/>
      <c r="S147"/>
      <c r="U147"/>
      <c r="V147"/>
      <c r="W147"/>
      <c r="X147"/>
      <c r="Y147"/>
    </row>
    <row r="148" spans="1:25" s="6" customFormat="1" x14ac:dyDescent="0.25">
      <c r="A148"/>
      <c r="B148"/>
      <c r="C148"/>
      <c r="D148"/>
      <c r="E148"/>
      <c r="F148"/>
      <c r="G148"/>
      <c r="I148"/>
      <c r="J148"/>
      <c r="K148"/>
      <c r="L148"/>
      <c r="M148"/>
      <c r="O148"/>
      <c r="P148"/>
      <c r="Q148"/>
      <c r="R148"/>
      <c r="S148"/>
      <c r="U148"/>
      <c r="V148"/>
      <c r="W148"/>
      <c r="X148"/>
      <c r="Y148"/>
    </row>
    <row r="149" spans="1:25" s="6" customFormat="1" x14ac:dyDescent="0.25">
      <c r="A149"/>
      <c r="B149"/>
      <c r="C149"/>
      <c r="D149"/>
      <c r="E149"/>
      <c r="F149"/>
      <c r="G149"/>
      <c r="I149"/>
      <c r="J149"/>
      <c r="K149"/>
      <c r="L149"/>
      <c r="M149"/>
      <c r="O149"/>
      <c r="P149"/>
      <c r="Q149"/>
      <c r="R149"/>
      <c r="S149"/>
      <c r="U149"/>
      <c r="V149"/>
      <c r="W149"/>
      <c r="X149"/>
      <c r="Y149"/>
    </row>
    <row r="150" spans="1:25" s="6" customFormat="1" x14ac:dyDescent="0.25">
      <c r="A150"/>
      <c r="B150"/>
      <c r="C150"/>
      <c r="D150"/>
      <c r="E150"/>
      <c r="F150"/>
      <c r="G150"/>
      <c r="I150"/>
      <c r="J150"/>
      <c r="K150"/>
      <c r="L150"/>
      <c r="M150"/>
      <c r="O150"/>
      <c r="P150"/>
      <c r="Q150"/>
      <c r="R150"/>
      <c r="S150"/>
      <c r="U150"/>
      <c r="V150"/>
      <c r="W150"/>
      <c r="X150"/>
      <c r="Y150"/>
    </row>
    <row r="151" spans="1:25" s="6" customFormat="1" x14ac:dyDescent="0.25">
      <c r="A151"/>
      <c r="B151"/>
      <c r="C151"/>
      <c r="D151"/>
      <c r="E151"/>
      <c r="F151"/>
      <c r="G151"/>
      <c r="I151"/>
      <c r="J151"/>
      <c r="K151"/>
      <c r="L151"/>
      <c r="M151"/>
      <c r="O151"/>
      <c r="P151"/>
      <c r="Q151"/>
      <c r="R151"/>
      <c r="S151"/>
      <c r="U151"/>
      <c r="V151"/>
      <c r="W151"/>
      <c r="X151"/>
      <c r="Y151"/>
    </row>
    <row r="152" spans="1:25" s="6" customFormat="1" x14ac:dyDescent="0.25">
      <c r="A152"/>
      <c r="B152"/>
      <c r="C152"/>
      <c r="D152"/>
      <c r="E152"/>
      <c r="F152"/>
      <c r="G152"/>
      <c r="I152"/>
      <c r="J152"/>
      <c r="K152"/>
      <c r="L152"/>
      <c r="M152"/>
      <c r="O152"/>
      <c r="P152"/>
      <c r="Q152"/>
      <c r="R152"/>
      <c r="S152"/>
      <c r="U152"/>
      <c r="V152"/>
      <c r="W152"/>
      <c r="X152"/>
      <c r="Y152"/>
    </row>
    <row r="153" spans="1:25" s="6" customFormat="1" x14ac:dyDescent="0.25">
      <c r="A153"/>
      <c r="B153"/>
      <c r="C153"/>
      <c r="D153"/>
      <c r="E153"/>
      <c r="F153"/>
      <c r="G153"/>
      <c r="I153"/>
      <c r="J153"/>
      <c r="K153"/>
      <c r="L153"/>
      <c r="M153"/>
      <c r="O153"/>
      <c r="P153"/>
      <c r="Q153"/>
      <c r="R153"/>
      <c r="S153"/>
      <c r="U153"/>
      <c r="V153"/>
      <c r="W153"/>
      <c r="X153"/>
      <c r="Y153"/>
    </row>
    <row r="154" spans="1:25" s="6" customFormat="1" x14ac:dyDescent="0.25">
      <c r="A154"/>
      <c r="B154"/>
      <c r="C154"/>
      <c r="D154"/>
      <c r="E154"/>
      <c r="F154"/>
      <c r="G154"/>
      <c r="I154"/>
      <c r="J154"/>
      <c r="K154"/>
      <c r="L154"/>
      <c r="M154"/>
      <c r="O154"/>
      <c r="P154"/>
      <c r="Q154"/>
      <c r="R154"/>
      <c r="S154"/>
      <c r="U154"/>
      <c r="V154"/>
      <c r="W154"/>
      <c r="X154"/>
      <c r="Y154"/>
    </row>
    <row r="155" spans="1:25" s="6" customFormat="1" x14ac:dyDescent="0.25">
      <c r="A155"/>
      <c r="B155"/>
      <c r="C155"/>
      <c r="D155"/>
      <c r="E155"/>
      <c r="F155"/>
      <c r="G155"/>
      <c r="I155"/>
      <c r="J155"/>
      <c r="K155"/>
      <c r="L155"/>
      <c r="M155"/>
      <c r="O155"/>
      <c r="P155"/>
      <c r="Q155"/>
      <c r="R155"/>
      <c r="S155"/>
      <c r="U155"/>
      <c r="V155"/>
      <c r="W155"/>
      <c r="X155"/>
      <c r="Y155"/>
    </row>
    <row r="156" spans="1:25" s="6" customFormat="1" x14ac:dyDescent="0.25">
      <c r="A156"/>
      <c r="B156"/>
      <c r="C156"/>
      <c r="D156"/>
      <c r="E156"/>
      <c r="F156"/>
      <c r="G156"/>
      <c r="I156"/>
      <c r="J156"/>
      <c r="K156"/>
      <c r="L156"/>
      <c r="M156"/>
      <c r="O156"/>
      <c r="P156"/>
      <c r="Q156"/>
      <c r="R156"/>
      <c r="S156"/>
      <c r="U156"/>
      <c r="V156"/>
      <c r="W156"/>
      <c r="X156"/>
      <c r="Y156"/>
    </row>
    <row r="157" spans="1:25" s="6" customFormat="1" x14ac:dyDescent="0.25">
      <c r="A157"/>
      <c r="B157"/>
      <c r="C157"/>
      <c r="D157"/>
      <c r="E157"/>
      <c r="F157"/>
      <c r="G157"/>
      <c r="I157"/>
      <c r="J157"/>
      <c r="K157"/>
      <c r="L157"/>
      <c r="M157"/>
      <c r="O157"/>
      <c r="P157"/>
      <c r="Q157"/>
      <c r="R157"/>
      <c r="S157"/>
      <c r="U157"/>
      <c r="V157"/>
      <c r="W157"/>
      <c r="X157"/>
      <c r="Y157"/>
    </row>
    <row r="158" spans="1:25" s="6" customFormat="1" x14ac:dyDescent="0.25">
      <c r="A158"/>
      <c r="B158"/>
      <c r="C158"/>
      <c r="D158"/>
      <c r="E158"/>
      <c r="F158"/>
      <c r="G158"/>
      <c r="I158"/>
      <c r="J158"/>
      <c r="K158"/>
      <c r="L158"/>
      <c r="M158"/>
      <c r="O158"/>
      <c r="P158"/>
      <c r="Q158"/>
      <c r="R158"/>
      <c r="S158"/>
      <c r="U158"/>
      <c r="V158"/>
      <c r="W158"/>
      <c r="X158"/>
      <c r="Y158"/>
    </row>
    <row r="159" spans="1:25" s="6" customFormat="1" x14ac:dyDescent="0.25">
      <c r="A159"/>
      <c r="B159"/>
      <c r="C159"/>
      <c r="D159"/>
      <c r="E159"/>
      <c r="F159"/>
      <c r="G159"/>
      <c r="I159"/>
      <c r="J159"/>
      <c r="K159"/>
      <c r="L159"/>
      <c r="M159"/>
      <c r="O159"/>
      <c r="P159"/>
      <c r="Q159"/>
      <c r="R159"/>
      <c r="S159"/>
      <c r="U159"/>
      <c r="V159"/>
      <c r="W159"/>
      <c r="X159"/>
      <c r="Y159"/>
    </row>
    <row r="160" spans="1:25" s="6" customFormat="1" x14ac:dyDescent="0.25">
      <c r="A160"/>
      <c r="B160"/>
      <c r="C160"/>
      <c r="D160"/>
      <c r="E160"/>
      <c r="F160"/>
      <c r="G160"/>
      <c r="I160"/>
      <c r="J160"/>
      <c r="K160"/>
      <c r="L160"/>
      <c r="M160"/>
      <c r="O160"/>
      <c r="P160"/>
      <c r="Q160"/>
      <c r="R160"/>
      <c r="S160"/>
      <c r="U160"/>
      <c r="V160"/>
      <c r="W160"/>
      <c r="X160"/>
      <c r="Y160"/>
    </row>
    <row r="161" spans="1:25" s="6" customFormat="1" x14ac:dyDescent="0.25">
      <c r="A161"/>
      <c r="B161"/>
      <c r="C161"/>
      <c r="D161"/>
      <c r="E161"/>
      <c r="F161"/>
      <c r="G161"/>
      <c r="I161"/>
      <c r="J161"/>
      <c r="K161"/>
      <c r="L161"/>
      <c r="M161"/>
      <c r="O161"/>
      <c r="P161"/>
      <c r="Q161"/>
      <c r="R161"/>
      <c r="S161"/>
      <c r="U161"/>
      <c r="V161"/>
      <c r="W161"/>
      <c r="X161"/>
      <c r="Y161"/>
    </row>
    <row r="162" spans="1:25" s="6" customFormat="1" x14ac:dyDescent="0.25">
      <c r="A162"/>
      <c r="B162"/>
      <c r="C162"/>
      <c r="D162"/>
      <c r="E162"/>
      <c r="F162"/>
      <c r="G162"/>
      <c r="I162"/>
      <c r="J162"/>
      <c r="K162"/>
      <c r="L162"/>
      <c r="M162"/>
      <c r="O162"/>
      <c r="P162"/>
      <c r="Q162"/>
      <c r="R162"/>
      <c r="S162"/>
      <c r="U162"/>
      <c r="V162"/>
      <c r="W162"/>
      <c r="X162"/>
      <c r="Y162"/>
    </row>
    <row r="163" spans="1:25" s="6" customFormat="1" x14ac:dyDescent="0.25">
      <c r="A163"/>
      <c r="B163"/>
      <c r="C163"/>
      <c r="D163"/>
      <c r="E163"/>
      <c r="F163"/>
      <c r="G163"/>
      <c r="I163"/>
      <c r="J163"/>
      <c r="K163"/>
      <c r="L163"/>
      <c r="M163"/>
      <c r="O163"/>
      <c r="P163"/>
      <c r="Q163"/>
      <c r="R163"/>
      <c r="S163"/>
      <c r="U163"/>
      <c r="V163"/>
      <c r="W163"/>
      <c r="X163"/>
      <c r="Y163"/>
    </row>
    <row r="164" spans="1:25" s="6" customFormat="1" x14ac:dyDescent="0.25">
      <c r="A164"/>
      <c r="B164"/>
      <c r="C164"/>
      <c r="D164"/>
      <c r="E164"/>
      <c r="F164"/>
      <c r="G164"/>
      <c r="I164"/>
      <c r="J164"/>
      <c r="K164"/>
      <c r="L164"/>
      <c r="M164"/>
      <c r="O164"/>
      <c r="P164"/>
      <c r="Q164"/>
      <c r="R164"/>
      <c r="S164"/>
      <c r="U164"/>
      <c r="V164"/>
      <c r="W164"/>
      <c r="X164"/>
      <c r="Y164"/>
    </row>
    <row r="165" spans="1:25" s="6" customFormat="1" x14ac:dyDescent="0.25">
      <c r="A165"/>
      <c r="B165"/>
      <c r="C165"/>
      <c r="D165"/>
      <c r="E165"/>
      <c r="F165"/>
      <c r="G165"/>
      <c r="I165"/>
      <c r="J165"/>
      <c r="K165"/>
      <c r="L165"/>
      <c r="M165"/>
      <c r="O165"/>
      <c r="P165"/>
      <c r="Q165"/>
      <c r="R165"/>
      <c r="S165"/>
      <c r="U165"/>
      <c r="V165"/>
      <c r="W165"/>
      <c r="X165"/>
      <c r="Y165"/>
    </row>
    <row r="237" spans="1:31" s="6" customFormat="1" x14ac:dyDescent="0.25">
      <c r="A237"/>
      <c r="B237"/>
      <c r="C237"/>
      <c r="D237"/>
      <c r="E237"/>
      <c r="F237"/>
      <c r="G237"/>
      <c r="I237"/>
      <c r="J237"/>
      <c r="K237"/>
      <c r="L237"/>
      <c r="M237"/>
      <c r="O237"/>
      <c r="P237"/>
      <c r="Q237"/>
      <c r="R237"/>
      <c r="S237"/>
      <c r="U237"/>
      <c r="V237"/>
      <c r="W237"/>
      <c r="X237"/>
      <c r="Y237"/>
      <c r="AA237"/>
      <c r="AB237"/>
      <c r="AC237"/>
      <c r="AD237"/>
      <c r="AE237"/>
    </row>
    <row r="238" spans="1:31" s="6" customFormat="1" x14ac:dyDescent="0.25">
      <c r="A238"/>
      <c r="B238"/>
      <c r="C238"/>
      <c r="D238"/>
      <c r="E238"/>
      <c r="F238"/>
      <c r="G238"/>
      <c r="I238"/>
      <c r="J238"/>
      <c r="K238"/>
      <c r="L238"/>
      <c r="M238"/>
      <c r="O238"/>
      <c r="P238"/>
      <c r="Q238"/>
      <c r="R238"/>
      <c r="S238"/>
      <c r="U238"/>
      <c r="V238"/>
      <c r="W238"/>
      <c r="X238"/>
      <c r="Y238"/>
      <c r="AA238"/>
      <c r="AB238"/>
      <c r="AC238"/>
      <c r="AD238"/>
      <c r="AE238"/>
    </row>
    <row r="239" spans="1:31" s="6" customFormat="1" x14ac:dyDescent="0.25">
      <c r="A239"/>
      <c r="B239"/>
      <c r="C239"/>
      <c r="D239"/>
      <c r="E239"/>
      <c r="F239"/>
      <c r="G239"/>
      <c r="I239"/>
      <c r="J239"/>
      <c r="K239"/>
      <c r="L239"/>
      <c r="M239"/>
      <c r="O239"/>
      <c r="P239"/>
      <c r="Q239"/>
      <c r="R239"/>
      <c r="S239"/>
      <c r="U239"/>
      <c r="V239"/>
      <c r="W239"/>
      <c r="X239"/>
      <c r="Y239"/>
      <c r="AA239"/>
      <c r="AB239"/>
      <c r="AC239"/>
      <c r="AD239"/>
      <c r="AE239"/>
    </row>
    <row r="240" spans="1:31" s="6" customFormat="1" x14ac:dyDescent="0.25">
      <c r="A240"/>
      <c r="B240"/>
      <c r="C240"/>
      <c r="D240"/>
      <c r="E240"/>
      <c r="F240"/>
      <c r="G240"/>
      <c r="I240"/>
      <c r="J240"/>
      <c r="K240"/>
      <c r="L240"/>
      <c r="M240"/>
      <c r="O240"/>
      <c r="P240"/>
      <c r="Q240"/>
      <c r="R240"/>
      <c r="S240"/>
      <c r="U240"/>
      <c r="V240"/>
      <c r="W240"/>
      <c r="X240"/>
      <c r="Y240"/>
      <c r="AA240"/>
      <c r="AB240"/>
      <c r="AC240"/>
      <c r="AD240"/>
      <c r="AE240"/>
    </row>
    <row r="241" spans="1:31" s="6" customFormat="1" x14ac:dyDescent="0.25">
      <c r="A241"/>
      <c r="B241"/>
      <c r="C241"/>
      <c r="D241"/>
      <c r="E241"/>
      <c r="F241"/>
      <c r="G241"/>
      <c r="I241"/>
      <c r="J241"/>
      <c r="K241"/>
      <c r="L241"/>
      <c r="M241"/>
      <c r="O241"/>
      <c r="P241"/>
      <c r="Q241"/>
      <c r="R241"/>
      <c r="S241"/>
      <c r="U241"/>
      <c r="V241"/>
      <c r="W241"/>
      <c r="X241"/>
      <c r="Y241"/>
      <c r="AA241"/>
      <c r="AB241"/>
      <c r="AC241"/>
      <c r="AD241"/>
      <c r="AE241"/>
    </row>
    <row r="242" spans="1:31" s="6" customFormat="1" x14ac:dyDescent="0.25">
      <c r="A242"/>
      <c r="B242"/>
      <c r="C242"/>
      <c r="D242"/>
      <c r="E242"/>
      <c r="F242"/>
      <c r="G242"/>
      <c r="I242"/>
      <c r="J242"/>
      <c r="K242"/>
      <c r="L242"/>
      <c r="M242"/>
      <c r="O242"/>
      <c r="P242"/>
      <c r="Q242"/>
      <c r="R242"/>
      <c r="S242"/>
      <c r="U242"/>
      <c r="V242"/>
      <c r="W242"/>
      <c r="X242"/>
      <c r="Y242"/>
      <c r="AA242"/>
      <c r="AB242"/>
      <c r="AC242"/>
      <c r="AD242"/>
      <c r="AE242"/>
    </row>
    <row r="243" spans="1:31" s="6" customFormat="1" x14ac:dyDescent="0.25">
      <c r="A243"/>
      <c r="B243"/>
      <c r="C243"/>
      <c r="D243"/>
      <c r="E243"/>
      <c r="F243"/>
      <c r="G243"/>
      <c r="I243"/>
      <c r="J243"/>
      <c r="K243"/>
      <c r="L243"/>
      <c r="M243"/>
      <c r="O243"/>
      <c r="P243"/>
      <c r="Q243"/>
      <c r="R243"/>
      <c r="S243"/>
      <c r="U243"/>
      <c r="V243"/>
      <c r="W243"/>
      <c r="X243"/>
      <c r="Y243"/>
      <c r="AA243"/>
      <c r="AB243"/>
      <c r="AC243"/>
      <c r="AD243"/>
      <c r="AE243"/>
    </row>
    <row r="244" spans="1:31" s="6" customFormat="1" x14ac:dyDescent="0.25">
      <c r="A244"/>
      <c r="B244"/>
      <c r="C244"/>
      <c r="D244"/>
      <c r="E244"/>
      <c r="F244"/>
      <c r="G244"/>
      <c r="I244"/>
      <c r="J244"/>
      <c r="K244"/>
      <c r="L244"/>
      <c r="M244"/>
      <c r="O244"/>
      <c r="P244"/>
      <c r="Q244"/>
      <c r="R244"/>
      <c r="S244"/>
      <c r="U244"/>
      <c r="V244"/>
      <c r="W244"/>
      <c r="X244"/>
      <c r="Y244"/>
      <c r="AA244"/>
      <c r="AB244"/>
      <c r="AC244"/>
      <c r="AD244"/>
      <c r="AE244"/>
    </row>
    <row r="245" spans="1:31" s="6" customFormat="1" x14ac:dyDescent="0.25">
      <c r="A245"/>
      <c r="B245"/>
      <c r="C245"/>
      <c r="D245"/>
      <c r="E245"/>
      <c r="F245"/>
      <c r="G245"/>
      <c r="I245"/>
      <c r="J245"/>
      <c r="K245"/>
      <c r="L245"/>
      <c r="M245"/>
      <c r="O245"/>
      <c r="P245"/>
      <c r="Q245"/>
      <c r="R245"/>
      <c r="S245"/>
      <c r="U245"/>
      <c r="V245"/>
      <c r="W245"/>
      <c r="X245"/>
      <c r="Y245"/>
      <c r="AA245"/>
      <c r="AB245"/>
      <c r="AC245"/>
      <c r="AD245"/>
      <c r="AE245"/>
    </row>
    <row r="246" spans="1:31" s="6" customFormat="1" x14ac:dyDescent="0.25">
      <c r="A246"/>
      <c r="B246"/>
      <c r="C246"/>
      <c r="D246"/>
      <c r="E246"/>
      <c r="F246"/>
      <c r="G246"/>
      <c r="I246"/>
      <c r="J246"/>
      <c r="K246"/>
      <c r="L246"/>
      <c r="M246"/>
      <c r="O246"/>
      <c r="P246"/>
      <c r="Q246"/>
      <c r="R246"/>
      <c r="S246"/>
      <c r="U246"/>
      <c r="V246"/>
      <c r="W246"/>
      <c r="X246"/>
      <c r="Y246"/>
      <c r="AA246"/>
      <c r="AB246"/>
      <c r="AC246"/>
      <c r="AD246"/>
      <c r="AE246"/>
    </row>
    <row r="247" spans="1:31" s="6" customFormat="1" x14ac:dyDescent="0.25">
      <c r="A247"/>
      <c r="B247"/>
      <c r="C247"/>
      <c r="D247"/>
      <c r="E247"/>
      <c r="F247"/>
      <c r="G247"/>
      <c r="I247"/>
      <c r="J247"/>
      <c r="K247"/>
      <c r="L247"/>
      <c r="M247"/>
      <c r="O247"/>
      <c r="P247"/>
      <c r="Q247"/>
      <c r="R247"/>
      <c r="S247"/>
      <c r="U247"/>
      <c r="V247"/>
      <c r="W247"/>
      <c r="X247"/>
      <c r="Y247"/>
      <c r="AA247"/>
      <c r="AB247"/>
      <c r="AC247"/>
      <c r="AD247"/>
      <c r="AE247"/>
    </row>
    <row r="248" spans="1:31" s="6" customFormat="1" x14ac:dyDescent="0.25">
      <c r="A248"/>
      <c r="B248"/>
      <c r="C248"/>
      <c r="D248"/>
      <c r="E248"/>
      <c r="F248"/>
      <c r="G248"/>
      <c r="I248"/>
      <c r="J248"/>
      <c r="K248"/>
      <c r="L248"/>
      <c r="M248"/>
      <c r="O248"/>
      <c r="P248"/>
      <c r="Q248"/>
      <c r="R248"/>
      <c r="S248"/>
      <c r="U248"/>
      <c r="V248"/>
      <c r="W248"/>
      <c r="X248"/>
      <c r="Y248"/>
      <c r="AA248"/>
      <c r="AB248"/>
      <c r="AC248"/>
      <c r="AD248"/>
      <c r="AE248"/>
    </row>
    <row r="249" spans="1:31" s="6" customFormat="1" x14ac:dyDescent="0.25">
      <c r="A249"/>
      <c r="B249"/>
      <c r="C249"/>
      <c r="D249"/>
      <c r="E249"/>
      <c r="F249"/>
      <c r="G249"/>
      <c r="I249"/>
      <c r="J249"/>
      <c r="K249"/>
      <c r="L249"/>
      <c r="M249"/>
      <c r="O249"/>
      <c r="P249"/>
      <c r="Q249"/>
      <c r="R249"/>
      <c r="S249"/>
      <c r="U249"/>
      <c r="V249"/>
      <c r="W249"/>
      <c r="X249"/>
      <c r="Y249"/>
      <c r="AA249"/>
      <c r="AB249"/>
      <c r="AC249"/>
      <c r="AD249"/>
      <c r="AE249"/>
    </row>
  </sheetData>
  <mergeCells count="5">
    <mergeCell ref="B10:F10"/>
    <mergeCell ref="I10:M10"/>
    <mergeCell ref="O10:S10"/>
    <mergeCell ref="U10:Y10"/>
    <mergeCell ref="AA10:AE10"/>
  </mergeCells>
  <pageMargins left="0.7" right="0.7" top="0.75" bottom="0.75" header="0.3" footer="0.3"/>
  <pageSetup paperSize="9" orientation="portrait" horizontalDpi="300" r:id="rId1"/>
  <drawing r:id="rId2"/>
  <tableParts count="5"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9C7E-46B4-4407-A48F-70EE1CCF7605}">
  <dimension ref="A1:AE249"/>
  <sheetViews>
    <sheetView showGridLines="0" zoomScale="115" zoomScaleNormal="115" workbookViewId="0">
      <selection activeCell="F3" sqref="F3:G7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4" bestFit="1" customWidth="1"/>
    <col min="4" max="4" width="12.140625" bestFit="1" customWidth="1"/>
    <col min="5" max="5" width="11.5703125" customWidth="1"/>
    <col min="6" max="6" width="13" bestFit="1" customWidth="1"/>
    <col min="7" max="7" width="13" customWidth="1"/>
    <col min="8" max="8" width="2.5703125" style="6" customWidth="1"/>
    <col min="9" max="9" width="12.7109375" customWidth="1"/>
    <col min="12" max="12" width="12.85546875" customWidth="1"/>
    <col min="14" max="14" width="2.5703125" style="6" customWidth="1"/>
    <col min="15" max="15" width="15.42578125" bestFit="1" customWidth="1"/>
    <col min="16" max="16" width="12.28515625" bestFit="1" customWidth="1"/>
    <col min="18" max="18" width="15.7109375" bestFit="1" customWidth="1"/>
    <col min="20" max="20" width="2.85546875" style="6" customWidth="1"/>
    <col min="26" max="26" width="3.140625" style="6" customWidth="1"/>
    <col min="27" max="27" width="13.85546875" customWidth="1"/>
    <col min="30" max="30" width="14" customWidth="1"/>
  </cols>
  <sheetData>
    <row r="1" spans="1:31" x14ac:dyDescent="0.25">
      <c r="H1"/>
      <c r="N1"/>
      <c r="T1" s="50"/>
      <c r="Z1" s="50"/>
    </row>
    <row r="2" spans="1:31" x14ac:dyDescent="0.25">
      <c r="C2" s="15" t="s">
        <v>2</v>
      </c>
      <c r="D2" s="16" t="s">
        <v>0</v>
      </c>
      <c r="E2" s="16" t="s">
        <v>1</v>
      </c>
      <c r="F2" s="16" t="s">
        <v>3</v>
      </c>
      <c r="G2" s="37" t="s">
        <v>20</v>
      </c>
      <c r="H2"/>
      <c r="N2"/>
      <c r="T2" s="50"/>
      <c r="Z2" s="50"/>
    </row>
    <row r="3" spans="1:31" x14ac:dyDescent="0.25">
      <c r="B3" s="25" t="str">
        <f>+B10</f>
        <v>EXTRACTO BBVA</v>
      </c>
      <c r="C3" s="14">
        <v>308604.67000000004</v>
      </c>
      <c r="D3" s="14">
        <v>64635.580799999996</v>
      </c>
      <c r="E3" s="14">
        <v>85.699950000000001</v>
      </c>
      <c r="F3" s="14">
        <v>13924.91</v>
      </c>
      <c r="G3" s="38">
        <v>20412.72</v>
      </c>
      <c r="H3"/>
      <c r="I3" t="s">
        <v>5</v>
      </c>
      <c r="N3"/>
      <c r="T3" s="50"/>
      <c r="Z3" s="50"/>
    </row>
    <row r="4" spans="1:31" x14ac:dyDescent="0.25">
      <c r="B4" s="25" t="str">
        <f>+I10</f>
        <v>Extracto santander</v>
      </c>
      <c r="C4" s="14">
        <v>69624.17</v>
      </c>
      <c r="D4" s="14">
        <v>14208.6</v>
      </c>
      <c r="E4" s="14">
        <v>206.23785000000001</v>
      </c>
      <c r="F4" s="14">
        <v>3198</v>
      </c>
      <c r="G4" s="14">
        <v>2029.8</v>
      </c>
      <c r="H4"/>
      <c r="N4"/>
      <c r="T4" s="50"/>
      <c r="Z4" s="50"/>
    </row>
    <row r="5" spans="1:31" x14ac:dyDescent="0.25">
      <c r="B5" s="25" t="s">
        <v>24</v>
      </c>
      <c r="C5" s="14">
        <v>47044.1</v>
      </c>
      <c r="D5" s="14">
        <v>9879.2609999999986</v>
      </c>
      <c r="E5" s="14" t="s">
        <v>18</v>
      </c>
      <c r="F5" s="14">
        <v>1014.67</v>
      </c>
      <c r="G5" s="14">
        <v>1411.32</v>
      </c>
      <c r="H5"/>
      <c r="N5"/>
      <c r="T5" s="50"/>
      <c r="Z5" s="50"/>
    </row>
    <row r="6" spans="1:31" x14ac:dyDescent="0.25">
      <c r="B6" s="28" t="s">
        <v>22</v>
      </c>
      <c r="C6" s="14">
        <v>55983.46</v>
      </c>
      <c r="D6" s="14">
        <v>11550</v>
      </c>
      <c r="E6" s="14">
        <v>103.2633</v>
      </c>
      <c r="F6" s="14">
        <v>3300</v>
      </c>
      <c r="G6" s="38">
        <v>1650</v>
      </c>
      <c r="H6"/>
      <c r="N6"/>
      <c r="T6" s="50"/>
      <c r="Z6" s="50"/>
    </row>
    <row r="7" spans="1:31" x14ac:dyDescent="0.25">
      <c r="B7" s="28" t="s">
        <v>13</v>
      </c>
      <c r="C7" s="14">
        <v>4958.67</v>
      </c>
      <c r="D7" s="14">
        <v>1041.3207</v>
      </c>
      <c r="E7" s="14" t="s">
        <v>18</v>
      </c>
      <c r="F7" s="14">
        <v>352.89</v>
      </c>
      <c r="G7" s="38">
        <v>148.76</v>
      </c>
      <c r="H7"/>
      <c r="N7"/>
      <c r="T7" s="50"/>
      <c r="Z7" s="50"/>
    </row>
    <row r="8" spans="1:31" x14ac:dyDescent="0.25">
      <c r="A8" s="26"/>
      <c r="B8" s="26"/>
      <c r="C8" s="27">
        <f>SUM(C3:C7)</f>
        <v>486215.07</v>
      </c>
      <c r="D8" s="27">
        <f>SUM(D3:D7)</f>
        <v>101314.7625</v>
      </c>
      <c r="E8" s="27">
        <f>SUM(E3:E7)</f>
        <v>395.20110000000005</v>
      </c>
      <c r="F8" s="27">
        <f>SUM(F3:F7)</f>
        <v>21790.469999999998</v>
      </c>
      <c r="G8" s="27"/>
      <c r="H8"/>
      <c r="N8"/>
      <c r="T8" s="50"/>
      <c r="Z8" s="50"/>
    </row>
    <row r="9" spans="1:31" x14ac:dyDescent="0.25">
      <c r="A9" s="26"/>
      <c r="B9" s="26"/>
      <c r="H9"/>
      <c r="N9"/>
      <c r="T9" s="50"/>
      <c r="Z9" s="50"/>
    </row>
    <row r="10" spans="1:31" ht="16.5" customHeight="1" x14ac:dyDescent="0.3">
      <c r="B10" s="52" t="s">
        <v>14</v>
      </c>
      <c r="C10" s="52"/>
      <c r="D10" s="52"/>
      <c r="E10" s="52"/>
      <c r="F10" s="52"/>
      <c r="G10" s="39"/>
      <c r="I10" s="52" t="s">
        <v>23</v>
      </c>
      <c r="J10" s="52"/>
      <c r="K10" s="52"/>
      <c r="L10" s="52"/>
      <c r="M10" s="52"/>
      <c r="O10" s="52" t="s">
        <v>21</v>
      </c>
      <c r="P10" s="52"/>
      <c r="Q10" s="52"/>
      <c r="R10" s="52"/>
      <c r="S10" s="52"/>
      <c r="T10" s="43"/>
      <c r="U10" s="52" t="s">
        <v>24</v>
      </c>
      <c r="V10" s="52"/>
      <c r="W10" s="52"/>
      <c r="X10" s="52"/>
      <c r="Y10" s="52"/>
      <c r="AA10" s="52" t="s">
        <v>13</v>
      </c>
      <c r="AB10" s="52"/>
      <c r="AC10" s="52"/>
      <c r="AD10" s="52"/>
      <c r="AE10" s="52"/>
    </row>
    <row r="11" spans="1:31" s="5" customFormat="1" x14ac:dyDescent="0.25">
      <c r="B11" s="10" t="s">
        <v>2</v>
      </c>
      <c r="C11" s="9" t="s">
        <v>0</v>
      </c>
      <c r="D11" s="9" t="s">
        <v>1</v>
      </c>
      <c r="E11" s="9" t="s">
        <v>3</v>
      </c>
      <c r="F11" s="9" t="s">
        <v>4</v>
      </c>
      <c r="G11" s="9"/>
      <c r="H11" s="7"/>
      <c r="I11" s="12" t="s">
        <v>2</v>
      </c>
      <c r="J11" s="13" t="s">
        <v>0</v>
      </c>
      <c r="K11" s="13" t="s">
        <v>1</v>
      </c>
      <c r="L11" s="13" t="s">
        <v>3</v>
      </c>
      <c r="M11" s="13" t="s">
        <v>4</v>
      </c>
      <c r="N11" s="7"/>
      <c r="O11" s="12" t="s">
        <v>2</v>
      </c>
      <c r="P11" s="13" t="s">
        <v>0</v>
      </c>
      <c r="Q11" s="13" t="s">
        <v>1</v>
      </c>
      <c r="R11" s="13" t="s">
        <v>3</v>
      </c>
      <c r="S11" s="13" t="s">
        <v>4</v>
      </c>
      <c r="T11" s="44"/>
      <c r="U11" s="12" t="s">
        <v>2</v>
      </c>
      <c r="V11" s="13" t="s">
        <v>0</v>
      </c>
      <c r="W11" s="13" t="s">
        <v>1</v>
      </c>
      <c r="X11" s="13" t="s">
        <v>3</v>
      </c>
      <c r="Y11" s="13" t="s">
        <v>4</v>
      </c>
      <c r="Z11" s="51"/>
      <c r="AA11" s="5" t="s">
        <v>2</v>
      </c>
      <c r="AB11" s="5" t="s">
        <v>0</v>
      </c>
      <c r="AC11" s="5" t="s">
        <v>1</v>
      </c>
      <c r="AD11" s="5" t="s">
        <v>3</v>
      </c>
      <c r="AE11" s="5" t="s">
        <v>4</v>
      </c>
    </row>
    <row r="12" spans="1:31" x14ac:dyDescent="0.25">
      <c r="B12" s="2">
        <v>48105.2</v>
      </c>
      <c r="C12" s="2">
        <f>Tabla1316243221222335262728221222324252626370[[#This Row],[COMISIONES]]*0.21</f>
        <v>10102.091999999999</v>
      </c>
      <c r="D12" s="3"/>
      <c r="E12" s="3">
        <v>2886.31</v>
      </c>
      <c r="F12" s="1">
        <v>721.57</v>
      </c>
      <c r="G12" s="1"/>
      <c r="H12" s="8"/>
      <c r="I12" s="3">
        <v>1964.17</v>
      </c>
      <c r="J12" s="11" t="s">
        <v>18</v>
      </c>
      <c r="K12" s="11">
        <f>Tabla351018263641424445464748441424344454646572[[#This Row],[COMISIONES]]*0.105</f>
        <v>206.23785000000001</v>
      </c>
      <c r="L12" s="1"/>
      <c r="N12" s="8"/>
      <c r="O12" s="3">
        <v>55000</v>
      </c>
      <c r="P12" s="11">
        <f>Tabla3568131422304081828485868788881828384858686673[[#This Row],[COMISIONES]]*0.21</f>
        <v>11550</v>
      </c>
      <c r="Q12" s="11"/>
      <c r="R12" s="1">
        <v>3300</v>
      </c>
      <c r="S12" s="11">
        <v>1650</v>
      </c>
      <c r="T12" s="45"/>
      <c r="U12" s="11">
        <v>47044.1</v>
      </c>
      <c r="V12" s="11">
        <f>Tabla35611192734431121315161718191112131415161716775[[#This Row],[COMISIONES]]*0.21</f>
        <v>9879.2609999999986</v>
      </c>
      <c r="W12" s="11"/>
      <c r="X12" s="11">
        <v>1014.67</v>
      </c>
      <c r="Y12" s="11">
        <v>1411.32</v>
      </c>
      <c r="AA12" s="3">
        <v>4958.67</v>
      </c>
      <c r="AB12" s="3">
        <f>Tabla736976[[#This Row],[COMISIONES]]*0.21</f>
        <v>1041.3207</v>
      </c>
      <c r="AC12" s="3"/>
      <c r="AD12" s="3">
        <v>352.89</v>
      </c>
      <c r="AE12" s="3">
        <v>148.76</v>
      </c>
    </row>
    <row r="13" spans="1:31" x14ac:dyDescent="0.25">
      <c r="B13" s="3">
        <v>59000</v>
      </c>
      <c r="C13" s="2">
        <f>Tabla1316243221222335262728221222324252626370[[#This Row],[COMISIONES]]*0.21</f>
        <v>12390</v>
      </c>
      <c r="D13" s="3" t="s">
        <v>18</v>
      </c>
      <c r="E13" s="3">
        <v>3540</v>
      </c>
      <c r="F13" s="3">
        <v>1770</v>
      </c>
      <c r="G13" s="3"/>
      <c r="H13" s="8"/>
      <c r="I13" s="11">
        <v>53300</v>
      </c>
      <c r="J13" s="11">
        <f>Tabla351018263641424445464748441424344454646572[[#This Row],[COMISIONES]]*0.21</f>
        <v>11193</v>
      </c>
      <c r="K13" s="11"/>
      <c r="L13" s="1">
        <v>3198</v>
      </c>
      <c r="M13">
        <v>1599</v>
      </c>
      <c r="N13" s="8"/>
      <c r="O13" s="11">
        <v>983.46</v>
      </c>
      <c r="P13" s="11" t="s">
        <v>18</v>
      </c>
      <c r="Q13" s="11">
        <f>Tabla3568131422304081828485868788881828384858686673[[#This Row],[COMISIONES]]*0.105</f>
        <v>103.2633</v>
      </c>
      <c r="R13" s="11"/>
      <c r="S13" s="11"/>
      <c r="T13" s="45"/>
      <c r="U13" s="11"/>
      <c r="V13" s="11">
        <f>Tabla35611192734431121315161718191112131415161716775[[#This Row],[COMISIONES]]*0.21</f>
        <v>0</v>
      </c>
      <c r="W13" s="11"/>
      <c r="X13" s="11"/>
      <c r="Y13" s="11"/>
      <c r="AA13" s="3"/>
      <c r="AB13" s="3">
        <f>Tabla736976[[#This Row],[COMISIONES]]*0.21</f>
        <v>0</v>
      </c>
      <c r="AC13" s="3"/>
      <c r="AD13" s="3"/>
      <c r="AE13" s="3"/>
    </row>
    <row r="14" spans="1:31" x14ac:dyDescent="0.25">
      <c r="B14" s="3">
        <v>84550</v>
      </c>
      <c r="C14" s="2">
        <f>Tabla1316243221222335262728221222324252626370[[#This Row],[COMISIONES]]*0.21</f>
        <v>17755.5</v>
      </c>
      <c r="D14" s="3" t="s">
        <v>18</v>
      </c>
      <c r="E14" s="3">
        <v>5073</v>
      </c>
      <c r="F14" s="3">
        <v>2536.5</v>
      </c>
      <c r="G14" s="3"/>
      <c r="I14" s="1">
        <v>14360</v>
      </c>
      <c r="J14" s="11">
        <f>Tabla351018263641424445464748441424344454646572[[#This Row],[COMISIONES]]*0.21</f>
        <v>3015.6</v>
      </c>
      <c r="K14" s="11"/>
      <c r="L14" s="11"/>
      <c r="M14" s="23">
        <v>430.8</v>
      </c>
      <c r="O14" s="11"/>
      <c r="P14" s="11">
        <f>Tabla3568131422304081828485868788881828384858686673[[#This Row],[COMISIONES]]*0.21</f>
        <v>0</v>
      </c>
      <c r="Q14" s="11"/>
      <c r="R14" s="11"/>
      <c r="S14" s="11"/>
      <c r="T14" s="45"/>
      <c r="U14" s="11"/>
      <c r="V14" s="11">
        <f>Tabla35611192734431121315161718191112131415161716775[[#This Row],[COMISIONES]]*0.21</f>
        <v>0</v>
      </c>
      <c r="W14" s="11"/>
      <c r="X14" s="11"/>
      <c r="Y14" s="11"/>
      <c r="AA14" s="3"/>
      <c r="AB14" s="3">
        <f>Tabla736976[[#This Row],[COMISIONES]]*0.21</f>
        <v>0</v>
      </c>
      <c r="AC14" s="3"/>
      <c r="AD14" s="3"/>
      <c r="AE14" s="3"/>
    </row>
    <row r="15" spans="1:31" x14ac:dyDescent="0.25">
      <c r="B15" s="3">
        <v>816.19</v>
      </c>
      <c r="C15" s="2" t="s">
        <v>18</v>
      </c>
      <c r="D15" s="3">
        <f>Tabla1316243221222335262728221222324252626370[[#This Row],[COMISIONES]]*0.105</f>
        <v>85.699950000000001</v>
      </c>
      <c r="E15" s="3"/>
      <c r="F15" s="3"/>
      <c r="G15" s="3"/>
      <c r="H15" s="8"/>
      <c r="I15" s="1"/>
      <c r="J15" s="11">
        <f>Tabla351018263641424445464748441424344454646572[[#This Row],[COMISIONES]]*0.21</f>
        <v>0</v>
      </c>
      <c r="K15" s="11"/>
      <c r="L15" s="11"/>
      <c r="M15" s="23"/>
      <c r="N15" s="8"/>
      <c r="O15" s="11"/>
      <c r="P15" s="11">
        <f>Tabla3568131422304081828485868788881828384858686673[[#This Row],[COMISIONES]]*0.21</f>
        <v>0</v>
      </c>
      <c r="Q15" s="11"/>
      <c r="R15" s="11"/>
      <c r="S15" s="11"/>
      <c r="T15" s="45"/>
      <c r="U15" s="11"/>
      <c r="V15" s="11">
        <f>Tabla35611192734431121315161718191112131415161716775[[#This Row],[COMISIONES]]*0.21</f>
        <v>0</v>
      </c>
      <c r="W15" s="11"/>
      <c r="X15" s="11"/>
      <c r="Y15" s="11"/>
      <c r="AA15" s="3"/>
      <c r="AB15" s="3">
        <f>Tabla736976[[#This Row],[COMISIONES]]*0.21</f>
        <v>0</v>
      </c>
      <c r="AC15" s="3"/>
      <c r="AD15" s="3"/>
      <c r="AE15" s="3"/>
    </row>
    <row r="16" spans="1:31" x14ac:dyDescent="0.25">
      <c r="B16" s="3">
        <v>300</v>
      </c>
      <c r="C16" s="2">
        <f>Tabla1316243221222335262728221222324252626370[[#This Row],[COMISIONES]]*0.21</f>
        <v>63</v>
      </c>
      <c r="D16" s="3"/>
      <c r="E16" s="3">
        <v>1492.68</v>
      </c>
      <c r="F16" s="3">
        <v>746.34</v>
      </c>
      <c r="G16" s="3"/>
      <c r="I16" s="1"/>
      <c r="J16" s="11">
        <f>Tabla351018263641424445464748441424344454646572[[#This Row],[COMISIONES]]*0.21</f>
        <v>0</v>
      </c>
      <c r="K16" s="11"/>
      <c r="L16" s="11"/>
      <c r="M16" s="23"/>
      <c r="O16" s="11"/>
      <c r="P16" s="11">
        <f>Tabla3568131422304081828485868788881828384858686673[[#This Row],[COMISIONES]]*0.21</f>
        <v>0</v>
      </c>
      <c r="Q16" s="11"/>
      <c r="R16" s="11"/>
      <c r="S16" s="11"/>
      <c r="T16" s="45"/>
      <c r="U16" s="11"/>
      <c r="V16" s="11">
        <f>Tabla35611192734431121315161718191112131415161716775[[#This Row],[COMISIONES]]*0.21</f>
        <v>0</v>
      </c>
      <c r="W16" s="11"/>
      <c r="X16" s="11"/>
      <c r="Y16" s="11"/>
      <c r="AA16" s="3"/>
      <c r="AB16" s="3">
        <f>Tabla736976[[#This Row],[COMISIONES]]*0.21</f>
        <v>0</v>
      </c>
      <c r="AC16" s="3"/>
      <c r="AD16" s="3"/>
      <c r="AE16" s="3"/>
    </row>
    <row r="17" spans="2:31" x14ac:dyDescent="0.25">
      <c r="B17" s="3">
        <v>300</v>
      </c>
      <c r="C17" s="2">
        <f>Tabla1316243221222335262728221222324252626370[[#This Row],[COMISIONES]]*0.21</f>
        <v>63</v>
      </c>
      <c r="D17" s="3"/>
      <c r="E17" s="3"/>
      <c r="F17" s="3"/>
      <c r="G17" s="3"/>
      <c r="I17" s="11"/>
      <c r="J17" s="11">
        <f>Tabla351018263641424445464748441424344454646572[[#This Row],[COMISIONES]]*0.21</f>
        <v>0</v>
      </c>
      <c r="K17" s="11"/>
      <c r="L17" s="11"/>
      <c r="M17" s="11"/>
      <c r="O17" s="11"/>
      <c r="P17" s="11">
        <f>Tabla3568131422304081828485868788881828384858686673[[#This Row],[COMISIONES]]*0.21</f>
        <v>0</v>
      </c>
      <c r="Q17" s="11"/>
      <c r="R17" s="11"/>
      <c r="S17" s="11"/>
      <c r="T17" s="45"/>
      <c r="U17" s="11"/>
      <c r="V17" s="11">
        <f>Tabla35611192734431121315161718191112131415161716775[[#This Row],[COMISIONES]]*0.21</f>
        <v>0</v>
      </c>
      <c r="W17" s="11"/>
      <c r="X17" s="11"/>
      <c r="Y17" s="11"/>
      <c r="AA17" s="3"/>
      <c r="AB17" s="3">
        <f>Tabla736976[[#This Row],[COMISIONES]]*0.21</f>
        <v>0</v>
      </c>
      <c r="AC17" s="3"/>
      <c r="AD17" s="3"/>
      <c r="AE17" s="3"/>
    </row>
    <row r="18" spans="2:31" x14ac:dyDescent="0.25">
      <c r="B18" s="3">
        <v>300</v>
      </c>
      <c r="C18" s="2">
        <f>Tabla1316243221222335262728221222324252626370[[#This Row],[COMISIONES]]*0.21</f>
        <v>63</v>
      </c>
      <c r="D18" s="3"/>
      <c r="E18" s="3">
        <v>932.92</v>
      </c>
      <c r="F18" s="3">
        <v>466.46</v>
      </c>
      <c r="G18" s="3"/>
      <c r="I18" s="11"/>
      <c r="J18" s="11">
        <f>Tabla351018263641424445464748441424344454646572[[#This Row],[COMISIONES]]*0.21</f>
        <v>0</v>
      </c>
      <c r="K18" s="11"/>
      <c r="L18" s="11"/>
      <c r="M18" s="11"/>
      <c r="O18" s="11"/>
      <c r="P18" s="11">
        <f>Tabla3568131422304081828485868788881828384858686673[[#This Row],[COMISIONES]]*0.21</f>
        <v>0</v>
      </c>
      <c r="Q18" s="11"/>
      <c r="R18" s="11"/>
      <c r="S18" s="11"/>
      <c r="T18" s="45"/>
      <c r="U18" s="11"/>
      <c r="V18" s="11">
        <f>Tabla35611192734431121315161718191112131415161716775[[#This Row],[COMISIONES]]*0.21</f>
        <v>0</v>
      </c>
      <c r="W18" s="11"/>
      <c r="X18" s="11"/>
      <c r="Y18" s="11"/>
      <c r="AA18" s="3"/>
      <c r="AB18" s="3">
        <f>Tabla736976[[#This Row],[COMISIONES]]*0.21</f>
        <v>0</v>
      </c>
      <c r="AC18" s="3"/>
      <c r="AD18" s="3"/>
      <c r="AE18" s="3"/>
    </row>
    <row r="19" spans="2:31" x14ac:dyDescent="0.25">
      <c r="B19" s="3">
        <v>24878.04</v>
      </c>
      <c r="C19" s="2">
        <f>Tabla1316243221222335262728221222324252626370[[#This Row],[COMISIONES]]*0.21</f>
        <v>5224.3883999999998</v>
      </c>
      <c r="D19" s="3"/>
      <c r="E19" s="3"/>
      <c r="F19" s="3"/>
      <c r="G19" s="3"/>
      <c r="I19" s="11"/>
      <c r="J19" s="11">
        <f>Tabla351018263641424445464748441424344454646572[[#This Row],[COMISIONES]]*0.21</f>
        <v>0</v>
      </c>
      <c r="K19" s="11"/>
      <c r="L19" s="11"/>
      <c r="M19" s="11"/>
      <c r="O19" s="11"/>
      <c r="P19" s="11">
        <f>Tabla3568131422304081828485868788881828384858686673[[#This Row],[COMISIONES]]*0.21</f>
        <v>0</v>
      </c>
      <c r="Q19" s="11"/>
      <c r="R19" s="11"/>
      <c r="S19" s="11"/>
      <c r="T19" s="45"/>
      <c r="U19" s="11"/>
      <c r="V19" s="11">
        <f>Tabla35611192734431121315161718191112131415161716775[[#This Row],[COMISIONES]]*0.21</f>
        <v>0</v>
      </c>
      <c r="W19" s="11"/>
      <c r="X19" s="11"/>
      <c r="Y19" s="11"/>
      <c r="AA19" s="3"/>
      <c r="AB19" s="3">
        <f>Tabla736976[[#This Row],[COMISIONES]]*0.21</f>
        <v>0</v>
      </c>
      <c r="AC19" s="3"/>
      <c r="AD19" s="3"/>
      <c r="AE19" s="3"/>
    </row>
    <row r="20" spans="2:31" x14ac:dyDescent="0.25">
      <c r="B20" s="3">
        <v>300</v>
      </c>
      <c r="C20" s="2">
        <f>Tabla1316243221222335262728221222324252626370[[#This Row],[COMISIONES]]*0.21</f>
        <v>63</v>
      </c>
      <c r="D20" s="3"/>
      <c r="E20" s="3"/>
      <c r="F20" s="3"/>
      <c r="G20" s="3"/>
      <c r="I20" s="11"/>
      <c r="J20" s="11">
        <f>Tabla351018263641424445464748441424344454646572[[#This Row],[COMISIONES]]*0.21</f>
        <v>0</v>
      </c>
      <c r="K20" s="11"/>
      <c r="L20" s="11"/>
      <c r="M20" s="11"/>
      <c r="O20" s="11"/>
      <c r="P20" s="11">
        <f>Tabla3568131422304081828485868788881828384858686673[[#This Row],[COMISIONES]]*0.21</f>
        <v>0</v>
      </c>
      <c r="Q20" s="11"/>
      <c r="R20" s="11"/>
      <c r="S20" s="11"/>
      <c r="T20" s="45"/>
      <c r="U20" s="11"/>
      <c r="V20" s="11">
        <f>Tabla35611192734431121315161718191112131415161716775[[#This Row],[COMISIONES]]*0.21</f>
        <v>0</v>
      </c>
      <c r="W20" s="11"/>
      <c r="X20" s="11"/>
      <c r="Y20" s="11"/>
      <c r="AA20" s="3"/>
      <c r="AB20" s="3">
        <f>Tabla736976[[#This Row],[COMISIONES]]*0.21</f>
        <v>0</v>
      </c>
      <c r="AC20" s="3"/>
      <c r="AD20" s="3"/>
      <c r="AE20" s="3"/>
    </row>
    <row r="21" spans="2:31" x14ac:dyDescent="0.25">
      <c r="B21" s="3">
        <v>3265.24</v>
      </c>
      <c r="C21" s="2">
        <f>Tabla1316243221222335262728221222324252626370[[#This Row],[COMISIONES]]*0.21</f>
        <v>685.70039999999995</v>
      </c>
      <c r="D21" s="3"/>
      <c r="E21" s="3"/>
      <c r="F21" s="3"/>
      <c r="G21" s="3"/>
      <c r="I21" s="11"/>
      <c r="J21" s="11">
        <f>Tabla351018263641424445464748441424344454646572[[#This Row],[COMISIONES]]*0.21</f>
        <v>0</v>
      </c>
      <c r="K21" s="11"/>
      <c r="L21" s="11"/>
      <c r="M21" s="11"/>
      <c r="O21" s="11"/>
      <c r="P21" s="11">
        <f>Tabla3568131422304081828485868788881828384858686673[[#This Row],[COMISIONES]]*0.21</f>
        <v>0</v>
      </c>
      <c r="Q21" s="11"/>
      <c r="R21" s="11"/>
      <c r="S21" s="11"/>
      <c r="T21" s="45"/>
      <c r="U21" s="11"/>
      <c r="V21" s="11">
        <f>Tabla35611192734431121315161718191112131415161716775[[#This Row],[COMISIONES]]*0.21</f>
        <v>0</v>
      </c>
      <c r="W21" s="11"/>
      <c r="X21" s="11"/>
      <c r="Y21" s="11"/>
      <c r="AA21" s="3"/>
      <c r="AB21" s="3">
        <f>Tabla736976[[#This Row],[COMISIONES]]*0.21</f>
        <v>0</v>
      </c>
      <c r="AC21" s="3"/>
      <c r="AD21" s="3"/>
      <c r="AE21" s="3"/>
    </row>
    <row r="22" spans="2:31" x14ac:dyDescent="0.25">
      <c r="B22" s="3">
        <v>300</v>
      </c>
      <c r="C22" s="2">
        <f>Tabla1316243221222335262728221222324252626370[[#This Row],[COMISIONES]]*0.21</f>
        <v>63</v>
      </c>
      <c r="D22" s="3"/>
      <c r="E22" s="3"/>
      <c r="F22" s="3">
        <v>1288.3499999999999</v>
      </c>
      <c r="G22" s="3"/>
      <c r="I22" s="11"/>
      <c r="J22" s="11">
        <f>Tabla351018263641424445464748441424344454646572[[#This Row],[COMISIONES]]*0.21</f>
        <v>0</v>
      </c>
      <c r="K22" s="11"/>
      <c r="L22" s="11"/>
      <c r="M22" s="11"/>
      <c r="O22" s="40"/>
      <c r="P22" s="40">
        <f>Tabla3568131422304081828485868788881828384858686673[[#This Row],[COMISIONES]]*0.21</f>
        <v>0</v>
      </c>
      <c r="Q22" s="40"/>
      <c r="R22" s="40"/>
      <c r="S22" s="40"/>
      <c r="T22" s="46"/>
      <c r="U22" s="11"/>
      <c r="V22" s="11">
        <f>Tabla35611192734431121315161718191112131415161716775[[#This Row],[COMISIONES]]*0.21</f>
        <v>0</v>
      </c>
      <c r="W22" s="11"/>
      <c r="X22" s="11"/>
      <c r="Y22" s="11"/>
      <c r="AA22" s="3"/>
      <c r="AB22" s="3">
        <f>Tabla736976[[#This Row],[COMISIONES]]*0.21</f>
        <v>0</v>
      </c>
      <c r="AC22" s="3"/>
      <c r="AD22" s="3"/>
      <c r="AE22" s="3"/>
    </row>
    <row r="23" spans="2:31" x14ac:dyDescent="0.25">
      <c r="B23" s="3">
        <v>300</v>
      </c>
      <c r="C23" s="2">
        <f>Tabla1316243221222335262728221222324252626370[[#This Row],[COMISIONES]]*0.21</f>
        <v>63</v>
      </c>
      <c r="D23" s="3"/>
      <c r="E23" s="3"/>
      <c r="F23" s="3">
        <v>1288.3499999999999</v>
      </c>
      <c r="G23" s="3"/>
      <c r="I23" s="11"/>
      <c r="J23" s="11">
        <f>Tabla351018263641424445464748441424344454646572[[#This Row],[COMISIONES]]*0.21</f>
        <v>0</v>
      </c>
      <c r="K23" s="11"/>
      <c r="L23" s="11"/>
      <c r="M23" s="11"/>
      <c r="O23" s="40"/>
      <c r="P23" s="40">
        <f>Tabla3568131422304081828485868788881828384858686673[[#This Row],[COMISIONES]]*0.21</f>
        <v>0</v>
      </c>
      <c r="Q23" s="40"/>
      <c r="R23" s="40"/>
      <c r="S23" s="40"/>
      <c r="T23" s="46"/>
      <c r="U23" s="11"/>
      <c r="V23" s="11">
        <f>Tabla35611192734431121315161718191112131415161716775[[#This Row],[COMISIONES]]*0.21</f>
        <v>0</v>
      </c>
      <c r="W23" s="11"/>
      <c r="X23" s="11"/>
      <c r="Y23" s="11"/>
      <c r="AA23" s="3"/>
      <c r="AB23" s="3">
        <f>Tabla736976[[#This Row],[COMISIONES]]*0.21</f>
        <v>0</v>
      </c>
      <c r="AC23" s="3"/>
      <c r="AD23" s="3"/>
      <c r="AE23" s="3"/>
    </row>
    <row r="24" spans="2:31" x14ac:dyDescent="0.25">
      <c r="B24" s="3">
        <v>300</v>
      </c>
      <c r="C24" s="2">
        <f>Tabla1316243221222335262728221222324252626370[[#This Row],[COMISIONES]]*0.21</f>
        <v>63</v>
      </c>
      <c r="D24" s="3"/>
      <c r="E24" s="3"/>
      <c r="F24" s="3">
        <v>9018.4500000000007</v>
      </c>
      <c r="G24" s="3"/>
      <c r="I24" s="11"/>
      <c r="J24" s="11">
        <f>Tabla351018263641424445464748441424344454646572[[#This Row],[COMISIONES]]*0.21</f>
        <v>0</v>
      </c>
      <c r="K24" s="11"/>
      <c r="L24" s="11"/>
      <c r="M24" s="11"/>
      <c r="O24" s="40"/>
      <c r="P24" s="40">
        <f>Tabla3568131422304081828485868788881828384858686673[[#This Row],[COMISIONES]]*0.21</f>
        <v>0</v>
      </c>
      <c r="Q24" s="40"/>
      <c r="R24" s="40"/>
      <c r="S24" s="40"/>
      <c r="T24" s="46"/>
      <c r="U24" s="11"/>
      <c r="V24" s="11">
        <f>Tabla35611192734431121315161718191112131415161716775[[#This Row],[COMISIONES]]*0.21</f>
        <v>0</v>
      </c>
      <c r="W24" s="11"/>
      <c r="X24" s="11"/>
      <c r="Y24" s="11"/>
      <c r="AA24" s="3"/>
      <c r="AB24" s="3">
        <f>Tabla736976[[#This Row],[COMISIONES]]*0.21</f>
        <v>0</v>
      </c>
      <c r="AC24" s="3"/>
      <c r="AD24" s="3"/>
      <c r="AE24" s="3"/>
    </row>
    <row r="25" spans="2:31" x14ac:dyDescent="0.25">
      <c r="B25" s="3">
        <v>85890</v>
      </c>
      <c r="C25" s="2">
        <f>Tabla1316243221222335262728221222324252626370[[#This Row],[COMISIONES]]*0.21</f>
        <v>18036.899999999998</v>
      </c>
      <c r="D25" s="3"/>
      <c r="E25" s="3"/>
      <c r="F25" s="3">
        <v>2576.6999999999998</v>
      </c>
      <c r="G25" s="3"/>
      <c r="I25" s="11"/>
      <c r="J25" s="11">
        <f>Tabla351018263641424445464748441424344454646572[[#This Row],[COMISIONES]]*0.21</f>
        <v>0</v>
      </c>
      <c r="K25" s="11"/>
      <c r="L25" s="11"/>
      <c r="M25" s="11"/>
      <c r="O25" s="41"/>
      <c r="P25" s="42">
        <f>Tabla3568131422304081828485868788881828384858686673[[#This Row],[COMISIONES]]*0.21</f>
        <v>0</v>
      </c>
      <c r="Q25" s="42"/>
      <c r="R25" s="42"/>
      <c r="S25" s="42"/>
      <c r="T25" s="47"/>
      <c r="U25" s="18"/>
      <c r="V25" s="18">
        <f>Tabla35611192734431121315161718191112131415161716775[[#This Row],[COMISIONES]]*0.21</f>
        <v>0</v>
      </c>
      <c r="W25" s="18"/>
      <c r="X25" s="18"/>
      <c r="Y25" s="18"/>
      <c r="AA25" s="3"/>
      <c r="AB25" s="3">
        <f>Tabla736976[[#This Row],[COMISIONES]]*0.21</f>
        <v>0</v>
      </c>
      <c r="AC25" s="3"/>
      <c r="AD25" s="3"/>
      <c r="AE25" s="3"/>
    </row>
    <row r="26" spans="2:31" x14ac:dyDescent="0.25">
      <c r="B26" s="3"/>
      <c r="C26" s="2">
        <f>Tabla1316243221222335262728221222324252626370[[#This Row],[COMISIONES]]*0.21</f>
        <v>0</v>
      </c>
      <c r="D26" s="3"/>
      <c r="E26" s="3"/>
      <c r="F26" s="3"/>
      <c r="G26" s="3"/>
      <c r="I26" s="11"/>
      <c r="J26" s="11">
        <f>Tabla351018263641424445464748441424344454646572[[#This Row],[COMISIONES]]*0.21</f>
        <v>0</v>
      </c>
      <c r="K26" s="11"/>
      <c r="L26" s="11"/>
      <c r="M26" s="11"/>
      <c r="O26" s="40"/>
      <c r="P26" s="40">
        <f>Tabla3568131422304081828485868788881828384858686673[[#This Row],[COMISIONES]]*0.21</f>
        <v>0</v>
      </c>
      <c r="Q26" s="40"/>
      <c r="R26" s="40"/>
      <c r="S26" s="40"/>
      <c r="T26" s="46"/>
      <c r="U26" s="18"/>
      <c r="V26" s="18">
        <f>Tabla35611192734431121315161718191112131415161716775[[#This Row],[COMISIONES]]*0.21</f>
        <v>0</v>
      </c>
      <c r="W26" s="18"/>
      <c r="X26" s="18"/>
      <c r="Y26" s="18"/>
      <c r="AA26" s="3"/>
      <c r="AB26" s="3">
        <f>Tabla736976[[#This Row],[COMISIONES]]*0.21</f>
        <v>0</v>
      </c>
      <c r="AC26" s="3"/>
      <c r="AD26" s="3"/>
      <c r="AE26" s="3"/>
    </row>
    <row r="27" spans="2:31" x14ac:dyDescent="0.25">
      <c r="B27" s="3"/>
      <c r="C27" s="2">
        <f>Tabla1316243221222335262728221222324252626370[[#This Row],[COMISIONES]]*0.21</f>
        <v>0</v>
      </c>
      <c r="D27" s="3"/>
      <c r="E27" s="1"/>
      <c r="F27" s="3"/>
      <c r="G27" s="3"/>
      <c r="I27" s="11"/>
      <c r="J27" s="11">
        <f>Tabla351018263641424445464748441424344454646572[[#This Row],[COMISIONES]]*0.21</f>
        <v>0</v>
      </c>
      <c r="K27" s="11"/>
      <c r="L27" s="11"/>
      <c r="M27" s="11"/>
      <c r="O27" s="40"/>
      <c r="P27" s="40">
        <f>Tabla3568131422304081828485868788881828384858686673[[#This Row],[COMISIONES]]*0.21</f>
        <v>0</v>
      </c>
      <c r="Q27" s="40"/>
      <c r="R27" s="40"/>
      <c r="S27" s="40"/>
      <c r="T27" s="46"/>
      <c r="U27" s="40"/>
      <c r="V27" s="40">
        <f>Tabla35611192734431121315161718191112131415161716775[[#This Row],[COMISIONES]]*0.21</f>
        <v>0</v>
      </c>
      <c r="W27" s="40"/>
      <c r="X27" s="40"/>
      <c r="Y27" s="40"/>
      <c r="AA27" s="4">
        <f>SUM(Tabla736976[COMISIONES])</f>
        <v>4958.67</v>
      </c>
      <c r="AB27" s="4">
        <f>SUM(Tabla736976[IVA 21])</f>
        <v>1041.3207</v>
      </c>
      <c r="AC27" s="4">
        <f>SUM(Tabla736976[IVA 10,5])</f>
        <v>0</v>
      </c>
      <c r="AD27" s="4">
        <f>SUM(Tabla736976[Ret IIBB Caba])</f>
        <v>352.89</v>
      </c>
      <c r="AE27" s="4">
        <f>SUM(Tabla736976[PERC IVA])</f>
        <v>148.76</v>
      </c>
    </row>
    <row r="28" spans="2:31" x14ac:dyDescent="0.25">
      <c r="B28" s="3"/>
      <c r="C28" s="2">
        <f>Tabla1316243221222335262728221222324252626370[[#This Row],[COMISIONES]]*0.21</f>
        <v>0</v>
      </c>
      <c r="D28" s="3"/>
      <c r="E28" s="3"/>
      <c r="F28" s="3"/>
      <c r="G28" s="3"/>
      <c r="I28" s="11"/>
      <c r="J28" s="11">
        <f>Tabla351018263641424445464748441424344454646572[[#This Row],[COMISIONES]]*0.21</f>
        <v>0</v>
      </c>
      <c r="K28" s="11"/>
      <c r="L28" s="11"/>
      <c r="M28" s="11"/>
      <c r="O28" s="40"/>
      <c r="P28" s="40">
        <f>Tabla3568131422304081828485868788881828384858686673[[#This Row],[COMISIONES]]*0.21</f>
        <v>0</v>
      </c>
      <c r="Q28" s="40"/>
      <c r="R28" s="40"/>
      <c r="S28" s="40"/>
      <c r="T28" s="46"/>
      <c r="U28" s="40"/>
      <c r="V28" s="40">
        <f>Tabla35611192734431121315161718191112131415161716775[[#This Row],[COMISIONES]]*0.21</f>
        <v>0</v>
      </c>
      <c r="W28" s="40"/>
      <c r="X28" s="40"/>
      <c r="Y28" s="40"/>
    </row>
    <row r="29" spans="2:31" x14ac:dyDescent="0.25">
      <c r="B29" s="3"/>
      <c r="C29" s="2">
        <f>Tabla1316243221222335262728221222324252626370[[#This Row],[COMISIONES]]*0.21</f>
        <v>0</v>
      </c>
      <c r="D29" s="3"/>
      <c r="E29" s="3"/>
      <c r="F29" s="3"/>
      <c r="G29" s="3"/>
      <c r="I29" s="11"/>
      <c r="J29" s="11">
        <f>Tabla351018263641424445464748441424344454646572[[#This Row],[COMISIONES]]*0.21</f>
        <v>0</v>
      </c>
      <c r="K29" s="11"/>
      <c r="L29" s="11"/>
      <c r="M29" s="11"/>
      <c r="O29" s="40"/>
      <c r="P29" s="40">
        <f>Tabla3568131422304081828485868788881828384858686673[[#This Row],[COMISIONES]]*0.21</f>
        <v>0</v>
      </c>
      <c r="Q29" s="40"/>
      <c r="R29" s="40"/>
      <c r="S29" s="40"/>
      <c r="T29" s="46"/>
      <c r="U29" s="40"/>
      <c r="V29" s="40">
        <f>Tabla35611192734431121315161718191112131415161716775[[#This Row],[COMISIONES]]*0.21</f>
        <v>0</v>
      </c>
      <c r="W29" s="40"/>
      <c r="X29" s="40"/>
      <c r="Y29" s="40"/>
    </row>
    <row r="30" spans="2:31" x14ac:dyDescent="0.25">
      <c r="B30" s="3"/>
      <c r="C30" s="2">
        <f>Tabla1316243221222335262728221222324252626370[[#This Row],[COMISIONES]]*0.21</f>
        <v>0</v>
      </c>
      <c r="D30" s="3"/>
      <c r="E30" s="3"/>
      <c r="F30" s="3"/>
      <c r="G30" s="3"/>
      <c r="I30" s="11"/>
      <c r="J30" s="11">
        <f>Tabla351018263641424445464748441424344454646572[[#This Row],[COMISIONES]]*0.21</f>
        <v>0</v>
      </c>
      <c r="K30" s="11"/>
      <c r="L30" s="11"/>
      <c r="M30" s="11"/>
      <c r="O30" s="40"/>
      <c r="P30" s="40">
        <f>Tabla3568131422304081828485868788881828384858686673[[#This Row],[COMISIONES]]*0.21</f>
        <v>0</v>
      </c>
      <c r="Q30" s="40"/>
      <c r="R30" s="40"/>
      <c r="S30" s="40"/>
      <c r="T30" s="46"/>
      <c r="U30" s="40"/>
      <c r="V30" s="40">
        <f>Tabla35611192734431121315161718191112131415161716775[[#This Row],[COMISIONES]]*0.21</f>
        <v>0</v>
      </c>
      <c r="W30" s="40"/>
      <c r="X30" s="40"/>
      <c r="Y30" s="40"/>
    </row>
    <row r="31" spans="2:31" x14ac:dyDescent="0.25">
      <c r="B31" s="3"/>
      <c r="C31" s="2">
        <f>Tabla1316243221222335262728221222324252626370[[#This Row],[COMISIONES]]*0.21</f>
        <v>0</v>
      </c>
      <c r="D31" s="3"/>
      <c r="E31" s="3"/>
      <c r="F31" s="3"/>
      <c r="G31" s="3"/>
      <c r="I31" s="11"/>
      <c r="J31" s="11">
        <f>Tabla351018263641424445464748441424344454646572[[#This Row],[COMISIONES]]*0.21</f>
        <v>0</v>
      </c>
      <c r="K31" s="11"/>
      <c r="L31" s="11"/>
      <c r="M31" s="11"/>
      <c r="O31" s="40"/>
      <c r="P31" s="40">
        <f>Tabla3568131422304081828485868788881828384858686673[[#This Row],[COMISIONES]]*0.21</f>
        <v>0</v>
      </c>
      <c r="Q31" s="40"/>
      <c r="R31" s="40"/>
      <c r="S31" s="40"/>
      <c r="T31" s="46"/>
      <c r="U31" s="40"/>
      <c r="V31" s="40">
        <f>Tabla35611192734431121315161718191112131415161716775[[#This Row],[COMISIONES]]*0.21</f>
        <v>0</v>
      </c>
      <c r="W31" s="40"/>
      <c r="X31" s="40"/>
      <c r="Y31" s="40"/>
    </row>
    <row r="32" spans="2:31" x14ac:dyDescent="0.25">
      <c r="B32" s="3"/>
      <c r="C32" s="2">
        <f>Tabla1316243221222335262728221222324252626370[[#This Row],[COMISIONES]]*0.21</f>
        <v>0</v>
      </c>
      <c r="D32" s="3"/>
      <c r="E32" s="3"/>
      <c r="F32" s="3"/>
      <c r="G32" s="3"/>
      <c r="I32" s="11"/>
      <c r="J32" s="11">
        <f>Tabla351018263641424445464748441424344454646572[[#This Row],[COMISIONES]]*0.21</f>
        <v>0</v>
      </c>
      <c r="K32" s="11"/>
      <c r="L32" s="11"/>
      <c r="M32" s="11"/>
      <c r="O32" s="40"/>
      <c r="P32" s="40">
        <f>Tabla3568131422304081828485868788881828384858686673[[#This Row],[COMISIONES]]*0.21</f>
        <v>0</v>
      </c>
      <c r="Q32" s="40"/>
      <c r="R32" s="40"/>
      <c r="S32" s="40"/>
      <c r="T32" s="46"/>
      <c r="U32" s="40"/>
      <c r="V32" s="40">
        <f>Tabla35611192734431121315161718191112131415161716775[[#This Row],[COMISIONES]]*0.21</f>
        <v>0</v>
      </c>
      <c r="W32" s="40"/>
      <c r="X32" s="40"/>
      <c r="Y32" s="40"/>
    </row>
    <row r="33" spans="1:25" x14ac:dyDescent="0.25">
      <c r="B33" s="3"/>
      <c r="C33" s="2">
        <f>Tabla1316243221222335262728221222324252626370[[#This Row],[COMISIONES]]*0.21</f>
        <v>0</v>
      </c>
      <c r="D33" s="3"/>
      <c r="E33" s="3"/>
      <c r="F33" s="3"/>
      <c r="G33" s="3"/>
      <c r="I33" s="11"/>
      <c r="J33" s="11">
        <f>Tabla351018263641424445464748441424344454646572[[#This Row],[COMISIONES]]*0.21</f>
        <v>0</v>
      </c>
      <c r="K33" s="11"/>
      <c r="L33" s="11"/>
      <c r="M33" s="11"/>
      <c r="O33" s="40"/>
      <c r="P33" s="40">
        <f>Tabla3568131422304081828485868788881828384858686673[[#This Row],[COMISIONES]]*0.21</f>
        <v>0</v>
      </c>
      <c r="Q33" s="40"/>
      <c r="R33" s="40"/>
      <c r="S33" s="40"/>
      <c r="T33" s="46"/>
      <c r="U33" s="40"/>
      <c r="V33" s="40">
        <f>Tabla35611192734431121315161718191112131415161716775[[#This Row],[COMISIONES]]*0.21</f>
        <v>0</v>
      </c>
      <c r="W33" s="40"/>
      <c r="X33" s="40"/>
      <c r="Y33" s="40"/>
    </row>
    <row r="34" spans="1:25" x14ac:dyDescent="0.25">
      <c r="B34" s="3"/>
      <c r="C34" s="2">
        <f>Tabla1316243221222335262728221222324252626370[[#This Row],[COMISIONES]]*0.21</f>
        <v>0</v>
      </c>
      <c r="D34" s="3"/>
      <c r="E34" s="3"/>
      <c r="F34" s="3"/>
      <c r="G34" s="3"/>
      <c r="I34" s="11"/>
      <c r="J34" s="11">
        <f>Tabla351018263641424445464748441424344454646572[[#This Row],[COMISIONES]]*0.21</f>
        <v>0</v>
      </c>
      <c r="K34" s="11"/>
      <c r="L34" s="11"/>
      <c r="M34" s="11"/>
      <c r="O34" s="40"/>
      <c r="P34" s="40">
        <f>Tabla3568131422304081828485868788881828384858686673[[#This Row],[COMISIONES]]*0.21</f>
        <v>0</v>
      </c>
      <c r="Q34" s="40"/>
      <c r="R34" s="40"/>
      <c r="S34" s="40"/>
      <c r="T34" s="46"/>
      <c r="U34" s="40"/>
      <c r="V34" s="40">
        <f>Tabla35611192734431121315161718191112131415161716775[[#This Row],[COMISIONES]]*0.21</f>
        <v>0</v>
      </c>
      <c r="W34" s="40"/>
      <c r="X34" s="40"/>
      <c r="Y34" s="40"/>
    </row>
    <row r="35" spans="1:25" x14ac:dyDescent="0.25">
      <c r="B35" s="3"/>
      <c r="C35" s="2">
        <f>Tabla1316243221222335262728221222324252626370[[#This Row],[COMISIONES]]*0.21</f>
        <v>0</v>
      </c>
      <c r="D35" s="3"/>
      <c r="E35" s="3"/>
      <c r="F35" s="3"/>
      <c r="G35" s="3"/>
      <c r="I35" s="11"/>
      <c r="J35" s="11">
        <f>Tabla351018263641424445464748441424344454646572[[#This Row],[COMISIONES]]*0.21</f>
        <v>0</v>
      </c>
      <c r="K35" s="11"/>
      <c r="L35" s="11"/>
      <c r="M35" s="11"/>
      <c r="O35" s="40"/>
      <c r="P35" s="40">
        <f>Tabla3568131422304081828485868788881828384858686673[[#This Row],[COMISIONES]]*0.21</f>
        <v>0</v>
      </c>
      <c r="Q35" s="40"/>
      <c r="R35" s="40"/>
      <c r="S35" s="40"/>
      <c r="T35" s="46"/>
      <c r="U35" s="40"/>
      <c r="V35" s="40">
        <f>Tabla35611192734431121315161718191112131415161716775[[#This Row],[COMISIONES]]*0.21</f>
        <v>0</v>
      </c>
      <c r="W35" s="40"/>
      <c r="X35" s="40"/>
      <c r="Y35" s="40"/>
    </row>
    <row r="36" spans="1:25" x14ac:dyDescent="0.25">
      <c r="B36" s="3"/>
      <c r="C36" s="2">
        <f>Tabla1316243221222335262728221222324252626370[[#This Row],[COMISIONES]]*0.21</f>
        <v>0</v>
      </c>
      <c r="D36" s="3"/>
      <c r="E36" s="3"/>
      <c r="F36" s="3"/>
      <c r="G36" s="3"/>
      <c r="I36" s="11"/>
      <c r="J36" s="11">
        <f>Tabla351018263641424445464748441424344454646572[[#This Row],[COMISIONES]]*0.21</f>
        <v>0</v>
      </c>
      <c r="K36" s="11"/>
      <c r="L36" s="11"/>
      <c r="M36" s="11"/>
      <c r="O36" s="40"/>
      <c r="P36" s="40">
        <f>Tabla3568131422304081828485868788881828384858686673[[#This Row],[COMISIONES]]*0.21</f>
        <v>0</v>
      </c>
      <c r="Q36" s="40"/>
      <c r="R36" s="40"/>
      <c r="S36" s="40"/>
      <c r="T36" s="46"/>
      <c r="U36" s="40"/>
      <c r="V36" s="40">
        <f>Tabla35611192734431121315161718191112131415161716775[[#This Row],[COMISIONES]]*0.21</f>
        <v>0</v>
      </c>
      <c r="W36" s="40"/>
      <c r="X36" s="40"/>
      <c r="Y36" s="40"/>
    </row>
    <row r="37" spans="1:25" x14ac:dyDescent="0.25">
      <c r="B37" s="3"/>
      <c r="C37" s="2">
        <f>Tabla1316243221222335262728221222324252626370[[#This Row],[COMISIONES]]*0.21</f>
        <v>0</v>
      </c>
      <c r="D37" s="3"/>
      <c r="E37" s="3"/>
      <c r="F37" s="3"/>
      <c r="G37" s="3"/>
      <c r="I37" s="11"/>
      <c r="J37" s="11">
        <f>Tabla351018263641424445464748441424344454646572[[#This Row],[COMISIONES]]*0.21</f>
        <v>0</v>
      </c>
      <c r="K37" s="11"/>
      <c r="L37" s="11"/>
      <c r="M37" s="11"/>
      <c r="O37" s="40"/>
      <c r="P37" s="40">
        <f>Tabla3568131422304081828485868788881828384858686673[[#This Row],[COMISIONES]]*0.21</f>
        <v>0</v>
      </c>
      <c r="Q37" s="40"/>
      <c r="R37" s="40"/>
      <c r="S37" s="40"/>
      <c r="T37" s="46"/>
      <c r="U37" s="40"/>
      <c r="V37" s="40">
        <f>Tabla35611192734431121315161718191112131415161716775[[#This Row],[COMISIONES]]*0.21</f>
        <v>0</v>
      </c>
      <c r="W37" s="40"/>
      <c r="X37" s="40"/>
      <c r="Y37" s="40"/>
    </row>
    <row r="38" spans="1:25" x14ac:dyDescent="0.25">
      <c r="B38" s="3"/>
      <c r="C38" s="2">
        <f>Tabla1316243221222335262728221222324252626370[[#This Row],[COMISIONES]]*0.21</f>
        <v>0</v>
      </c>
      <c r="D38" s="3"/>
      <c r="E38" s="3"/>
      <c r="F38" s="3"/>
      <c r="G38" s="3"/>
      <c r="I38" s="11"/>
      <c r="J38" s="11">
        <f>Tabla351018263641424445464748441424344454646572[[#This Row],[COMISIONES]]*0.21</f>
        <v>0</v>
      </c>
      <c r="K38" s="11"/>
      <c r="L38" s="11"/>
      <c r="M38" s="11"/>
      <c r="O38" s="40"/>
      <c r="P38" s="40">
        <f>Tabla3568131422304081828485868788881828384858686673[[#This Row],[COMISIONES]]*0.21</f>
        <v>0</v>
      </c>
      <c r="Q38" s="40"/>
      <c r="R38" s="40"/>
      <c r="S38" s="40"/>
      <c r="T38" s="46"/>
      <c r="U38" s="40"/>
      <c r="V38" s="40">
        <f>Tabla35611192734431121315161718191112131415161716775[[#This Row],[COMISIONES]]*0.21</f>
        <v>0</v>
      </c>
      <c r="W38" s="40"/>
      <c r="X38" s="40"/>
      <c r="Y38" s="40"/>
    </row>
    <row r="39" spans="1:25" x14ac:dyDescent="0.25">
      <c r="B39" s="3"/>
      <c r="C39" s="2">
        <f>Tabla1316243221222335262728221222324252626370[[#This Row],[COMISIONES]]*0.21</f>
        <v>0</v>
      </c>
      <c r="D39" s="3"/>
      <c r="E39" s="3"/>
      <c r="F39" s="3"/>
      <c r="G39" s="3"/>
      <c r="H39" s="8"/>
      <c r="I39" s="11"/>
      <c r="J39" s="11">
        <f>Tabla351018263641424445464748441424344454646572[[#This Row],[COMISIONES]]*0.21</f>
        <v>0</v>
      </c>
      <c r="K39" s="11"/>
      <c r="L39" s="11"/>
      <c r="M39" s="11"/>
      <c r="N39" s="8"/>
      <c r="O39" s="40"/>
      <c r="P39" s="40">
        <f>Tabla3568131422304081828485868788881828384858686673[[#This Row],[COMISIONES]]*0.21</f>
        <v>0</v>
      </c>
      <c r="Q39" s="40"/>
      <c r="R39" s="40"/>
      <c r="S39" s="40"/>
      <c r="T39" s="46"/>
      <c r="U39" s="40"/>
      <c r="V39" s="40">
        <f>Tabla35611192734431121315161718191112131415161716775[[#This Row],[COMISIONES]]*0.21</f>
        <v>0</v>
      </c>
      <c r="W39" s="40"/>
      <c r="X39" s="40"/>
      <c r="Y39" s="40"/>
    </row>
    <row r="40" spans="1:25" x14ac:dyDescent="0.25">
      <c r="B40" s="3"/>
      <c r="C40" s="2">
        <f>Tabla1316243221222335262728221222324252626370[[#This Row],[COMISIONES]]*0.21</f>
        <v>0</v>
      </c>
      <c r="D40" s="3"/>
      <c r="E40" s="3"/>
      <c r="F40" s="3"/>
      <c r="G40" s="3"/>
      <c r="I40" s="11"/>
      <c r="J40" s="11">
        <f>Tabla351018263641424445464748441424344454646572[[#This Row],[COMISIONES]]*0.21</f>
        <v>0</v>
      </c>
      <c r="K40" s="11"/>
      <c r="L40" s="11"/>
      <c r="M40" s="11"/>
      <c r="O40" s="40"/>
      <c r="P40" s="40">
        <f>Tabla3568131422304081828485868788881828384858686673[[#This Row],[COMISIONES]]*0.21</f>
        <v>0</v>
      </c>
      <c r="Q40" s="40"/>
      <c r="R40" s="40"/>
      <c r="S40" s="40"/>
      <c r="T40" s="46"/>
      <c r="U40" s="40"/>
      <c r="V40" s="40">
        <f>Tabla35611192734431121315161718191112131415161716775[[#This Row],[COMISIONES]]*0.21</f>
        <v>0</v>
      </c>
      <c r="W40" s="40"/>
      <c r="X40" s="40"/>
      <c r="Y40" s="40"/>
    </row>
    <row r="41" spans="1:25" x14ac:dyDescent="0.25">
      <c r="B41" s="3"/>
      <c r="C41" s="2">
        <f>Tabla1316243221222335262728221222324252626370[[#This Row],[COMISIONES]]*0.21</f>
        <v>0</v>
      </c>
      <c r="D41" s="3"/>
      <c r="E41" s="3"/>
      <c r="F41" s="3"/>
      <c r="G41" s="3"/>
      <c r="I41" s="11"/>
      <c r="J41" s="11">
        <f>Tabla351018263641424445464748441424344454646572[[#This Row],[COMISIONES]]*0.21</f>
        <v>0</v>
      </c>
      <c r="K41" s="11"/>
      <c r="L41" s="11"/>
      <c r="M41" s="11"/>
      <c r="O41" s="40"/>
      <c r="P41" s="40">
        <f>Tabla3568131422304081828485868788881828384858686673[[#This Row],[COMISIONES]]*0.21</f>
        <v>0</v>
      </c>
      <c r="Q41" s="40"/>
      <c r="R41" s="40"/>
      <c r="S41" s="40"/>
      <c r="T41" s="46"/>
      <c r="U41" s="40"/>
      <c r="V41" s="40">
        <f>Tabla35611192734431121315161718191112131415161716775[[#This Row],[COMISIONES]]*0.21</f>
        <v>0</v>
      </c>
      <c r="W41" s="40"/>
      <c r="X41" s="40"/>
      <c r="Y41" s="40"/>
    </row>
    <row r="42" spans="1:25" x14ac:dyDescent="0.25">
      <c r="B42" s="3"/>
      <c r="C42" s="2">
        <f>Tabla1316243221222335262728221222324252626370[[#This Row],[COMISIONES]]*0.21</f>
        <v>0</v>
      </c>
      <c r="D42" s="3"/>
      <c r="E42" s="3"/>
      <c r="F42" s="3"/>
      <c r="G42" s="3"/>
      <c r="I42" s="11"/>
      <c r="J42" s="11">
        <f>Tabla351018263641424445464748441424344454646572[[#This Row],[COMISIONES]]*0.21</f>
        <v>0</v>
      </c>
      <c r="K42" s="11"/>
      <c r="L42" s="11"/>
      <c r="M42" s="11"/>
      <c r="O42" s="40"/>
      <c r="P42" s="40">
        <f>Tabla3568131422304081828485868788881828384858686673[[#This Row],[COMISIONES]]*0.21</f>
        <v>0</v>
      </c>
      <c r="Q42" s="40"/>
      <c r="R42" s="40"/>
      <c r="S42" s="40"/>
      <c r="T42" s="46"/>
      <c r="U42" s="40"/>
      <c r="V42" s="40">
        <f>Tabla35611192734431121315161718191112131415161716775[[#This Row],[COMISIONES]]*0.21</f>
        <v>0</v>
      </c>
      <c r="W42" s="40"/>
      <c r="X42" s="40"/>
      <c r="Y42" s="40"/>
    </row>
    <row r="43" spans="1:25" x14ac:dyDescent="0.25">
      <c r="B43" s="3"/>
      <c r="C43" s="2">
        <f>Tabla1316243221222335262728221222324252626370[[#This Row],[COMISIONES]]*0.21</f>
        <v>0</v>
      </c>
      <c r="D43" s="3"/>
      <c r="E43" s="3"/>
      <c r="F43" s="3"/>
      <c r="G43" s="3"/>
      <c r="I43" s="11"/>
      <c r="J43" s="11">
        <f>Tabla351018263641424445464748441424344454646572[[#This Row],[COMISIONES]]*0.21</f>
        <v>0</v>
      </c>
      <c r="K43" s="11"/>
      <c r="L43" s="11"/>
      <c r="M43" s="11"/>
      <c r="O43" s="40"/>
      <c r="P43" s="40">
        <f>Tabla3568131422304081828485868788881828384858686673[[#This Row],[COMISIONES]]*0.21</f>
        <v>0</v>
      </c>
      <c r="Q43" s="40"/>
      <c r="R43" s="40"/>
      <c r="S43" s="40"/>
      <c r="T43" s="46"/>
      <c r="U43" s="40"/>
      <c r="V43" s="40">
        <f>Tabla35611192734431121315161718191112131415161716775[[#This Row],[COMISIONES]]*0.21</f>
        <v>0</v>
      </c>
      <c r="W43" s="40"/>
      <c r="X43" s="40"/>
      <c r="Y43" s="40"/>
    </row>
    <row r="44" spans="1:25" x14ac:dyDescent="0.25">
      <c r="B44" s="3"/>
      <c r="C44" s="2">
        <f>Tabla1316243221222335262728221222324252626370[[#This Row],[COMISIONES]]*0.21</f>
        <v>0</v>
      </c>
      <c r="D44" s="3"/>
      <c r="E44" s="3"/>
      <c r="F44" s="3"/>
      <c r="G44" s="3"/>
      <c r="I44" s="11"/>
      <c r="J44" s="11">
        <f>Tabla351018263641424445464748441424344454646572[[#This Row],[COMISIONES]]*0.21</f>
        <v>0</v>
      </c>
      <c r="K44" s="11"/>
      <c r="L44" s="11"/>
      <c r="M44" s="11"/>
      <c r="O44" s="40"/>
      <c r="P44" s="40">
        <f>Tabla3568131422304081828485868788881828384858686673[[#This Row],[COMISIONES]]*0.21</f>
        <v>0</v>
      </c>
      <c r="Q44" s="40"/>
      <c r="R44" s="40"/>
      <c r="S44" s="40"/>
      <c r="T44" s="46"/>
      <c r="U44" s="40"/>
      <c r="V44" s="40">
        <f>Tabla35611192734431121315161718191112131415161716775[[#This Row],[COMISIONES]]*0.21</f>
        <v>0</v>
      </c>
      <c r="W44" s="40"/>
      <c r="X44" s="40"/>
      <c r="Y44" s="40"/>
    </row>
    <row r="45" spans="1:25" x14ac:dyDescent="0.25">
      <c r="B45" s="3"/>
      <c r="C45" s="2">
        <f>Tabla1316243221222335262728221222324252626370[[#This Row],[COMISIONES]]*0.21</f>
        <v>0</v>
      </c>
      <c r="D45" s="3"/>
      <c r="E45" s="3"/>
      <c r="F45" s="3"/>
      <c r="G45" s="3"/>
      <c r="I45" s="11"/>
      <c r="J45" s="11">
        <f>Tabla351018263641424445464748441424344454646572[[#This Row],[COMISIONES]]*0.21</f>
        <v>0</v>
      </c>
      <c r="K45" s="11"/>
      <c r="L45" s="11"/>
      <c r="M45" s="11"/>
      <c r="O45" s="40"/>
      <c r="P45" s="40">
        <f>Tabla3568131422304081828485868788881828384858686673[[#This Row],[COMISIONES]]*0.21</f>
        <v>0</v>
      </c>
      <c r="Q45" s="40"/>
      <c r="R45" s="40"/>
      <c r="S45" s="40"/>
      <c r="T45" s="46"/>
      <c r="U45" s="40"/>
      <c r="V45" s="40">
        <f>Tabla35611192734431121315161718191112131415161716775[[#This Row],[COMISIONES]]*0.21</f>
        <v>0</v>
      </c>
      <c r="W45" s="40"/>
      <c r="X45" s="40"/>
      <c r="Y45" s="40"/>
    </row>
    <row r="46" spans="1:25" s="6" customFormat="1" x14ac:dyDescent="0.25">
      <c r="A46"/>
      <c r="B46" s="3"/>
      <c r="C46" s="2">
        <f>Tabla1316243221222335262728221222324252626370[[#This Row],[COMISIONES]]*0.21</f>
        <v>0</v>
      </c>
      <c r="D46" s="3"/>
      <c r="E46" s="3"/>
      <c r="F46" s="3"/>
      <c r="G46" s="3"/>
      <c r="I46" s="11"/>
      <c r="J46" s="11">
        <f>Tabla351018263641424445464748441424344454646572[[#This Row],[COMISIONES]]*0.21</f>
        <v>0</v>
      </c>
      <c r="K46" s="11"/>
      <c r="L46" s="11"/>
      <c r="M46" s="11"/>
      <c r="O46" s="40"/>
      <c r="P46" s="40">
        <f>Tabla3568131422304081828485868788881828384858686673[[#This Row],[COMISIONES]]*0.21</f>
        <v>0</v>
      </c>
      <c r="Q46" s="40"/>
      <c r="R46" s="40"/>
      <c r="S46" s="40"/>
      <c r="T46" s="46"/>
      <c r="U46" s="40"/>
      <c r="V46" s="40">
        <f>Tabla35611192734431121315161718191112131415161716775[[#This Row],[COMISIONES]]*0.21</f>
        <v>0</v>
      </c>
      <c r="W46" s="40"/>
      <c r="X46" s="40"/>
      <c r="Y46" s="40"/>
    </row>
    <row r="47" spans="1:25" s="6" customFormat="1" x14ac:dyDescent="0.25">
      <c r="A47"/>
      <c r="B47" s="2"/>
      <c r="C47" s="2">
        <f>Tabla1316243221222335262728221222324252626370[[#This Row],[COMISIONES]]*0.21</f>
        <v>0</v>
      </c>
      <c r="D47" s="2"/>
      <c r="E47" s="2"/>
      <c r="F47"/>
      <c r="G47"/>
      <c r="I47" s="11"/>
      <c r="J47" s="11">
        <f>Tabla351018263641424445464748441424344454646572[[#This Row],[COMISIONES]]*0.21</f>
        <v>0</v>
      </c>
      <c r="K47" s="11"/>
      <c r="L47" s="11"/>
      <c r="M47" s="11"/>
      <c r="O47" s="40"/>
      <c r="P47" s="40">
        <f>Tabla3568131422304081828485868788881828384858686673[[#This Row],[COMISIONES]]*0.21</f>
        <v>0</v>
      </c>
      <c r="Q47" s="40"/>
      <c r="R47" s="40"/>
      <c r="S47" s="40"/>
      <c r="T47" s="46"/>
      <c r="U47" s="40"/>
      <c r="V47" s="40">
        <f>Tabla35611192734431121315161718191112131415161716775[[#This Row],[COMISIONES]]*0.21</f>
        <v>0</v>
      </c>
      <c r="W47" s="40"/>
      <c r="X47" s="40"/>
      <c r="Y47" s="40"/>
    </row>
    <row r="48" spans="1:25" s="6" customFormat="1" x14ac:dyDescent="0.25">
      <c r="A48"/>
      <c r="B48" s="2"/>
      <c r="C48" s="2">
        <f>Tabla1316243221222335262728221222324252626370[[#This Row],[COMISIONES]]*0.21</f>
        <v>0</v>
      </c>
      <c r="D48" s="2"/>
      <c r="E48" s="2"/>
      <c r="F48"/>
      <c r="G48"/>
      <c r="I48" s="11"/>
      <c r="J48" s="11">
        <f>Tabla351018263641424445464748441424344454646572[[#This Row],[COMISIONES]]*0.21</f>
        <v>0</v>
      </c>
      <c r="K48" s="11"/>
      <c r="L48" s="11"/>
      <c r="M48" s="11"/>
      <c r="O48" s="40"/>
      <c r="P48" s="40">
        <f>Tabla3568131422304081828485868788881828384858686673[[#This Row],[COMISIONES]]*0.21</f>
        <v>0</v>
      </c>
      <c r="Q48" s="40"/>
      <c r="R48" s="40"/>
      <c r="S48" s="40"/>
      <c r="T48" s="46"/>
      <c r="U48" s="40"/>
      <c r="V48" s="40">
        <f>Tabla35611192734431121315161718191112131415161716775[[#This Row],[COMISIONES]]*0.21</f>
        <v>0</v>
      </c>
      <c r="W48" s="40"/>
      <c r="X48" s="40"/>
      <c r="Y48" s="40"/>
    </row>
    <row r="49" spans="1:25" s="6" customFormat="1" x14ac:dyDescent="0.25">
      <c r="A49"/>
      <c r="B49" s="2"/>
      <c r="C49" s="2">
        <f>Tabla1316243221222335262728221222324252626370[[#This Row],[COMISIONES]]*0.21</f>
        <v>0</v>
      </c>
      <c r="D49" s="2"/>
      <c r="E49" s="2"/>
      <c r="F49"/>
      <c r="G49"/>
      <c r="I49" s="11"/>
      <c r="J49" s="11">
        <f>Tabla351018263641424445464748441424344454646572[[#This Row],[COMISIONES]]*0.21</f>
        <v>0</v>
      </c>
      <c r="K49" s="11"/>
      <c r="L49" s="11"/>
      <c r="M49" s="11"/>
      <c r="O49" s="40"/>
      <c r="P49" s="40">
        <f>Tabla3568131422304081828485868788881828384858686673[[#This Row],[COMISIONES]]*0.21</f>
        <v>0</v>
      </c>
      <c r="Q49" s="40"/>
      <c r="R49" s="40"/>
      <c r="S49" s="40"/>
      <c r="T49" s="46"/>
      <c r="U49" s="40"/>
      <c r="V49" s="40">
        <f>Tabla35611192734431121315161718191112131415161716775[[#This Row],[COMISIONES]]*0.21</f>
        <v>0</v>
      </c>
      <c r="W49" s="40"/>
      <c r="X49" s="40"/>
      <c r="Y49" s="40"/>
    </row>
    <row r="50" spans="1:25" s="6" customFormat="1" x14ac:dyDescent="0.25">
      <c r="A50"/>
      <c r="B50" s="2"/>
      <c r="C50" s="2">
        <f>Tabla1316243221222335262728221222324252626370[[#This Row],[COMISIONES]]*0.21</f>
        <v>0</v>
      </c>
      <c r="D50" s="2"/>
      <c r="E50" s="2"/>
      <c r="F50"/>
      <c r="G50"/>
      <c r="I50" s="11"/>
      <c r="J50" s="11">
        <f>Tabla351018263641424445464748441424344454646572[[#This Row],[COMISIONES]]*0.21</f>
        <v>0</v>
      </c>
      <c r="K50" s="11"/>
      <c r="L50" s="11"/>
      <c r="M50" s="11"/>
      <c r="O50" s="40"/>
      <c r="P50" s="40">
        <f>Tabla3568131422304081828485868788881828384858686673[[#This Row],[COMISIONES]]*0.21</f>
        <v>0</v>
      </c>
      <c r="Q50" s="40"/>
      <c r="R50" s="40"/>
      <c r="S50" s="40"/>
      <c r="T50" s="46"/>
      <c r="U50" s="40"/>
      <c r="V50" s="40">
        <f>Tabla35611192734431121315161718191112131415161716775[[#This Row],[COMISIONES]]*0.21</f>
        <v>0</v>
      </c>
      <c r="W50" s="40"/>
      <c r="X50" s="40"/>
      <c r="Y50" s="40"/>
    </row>
    <row r="51" spans="1:25" s="6" customFormat="1" x14ac:dyDescent="0.25">
      <c r="A51"/>
      <c r="B51" s="2"/>
      <c r="C51" s="2">
        <f>Tabla1316243221222335262728221222324252626370[[#This Row],[COMISIONES]]*0.21</f>
        <v>0</v>
      </c>
      <c r="D51" s="2"/>
      <c r="E51" s="2"/>
      <c r="F51"/>
      <c r="G51"/>
      <c r="I51" s="11"/>
      <c r="J51" s="11">
        <f>Tabla351018263641424445464748441424344454646572[[#This Row],[COMISIONES]]*0.21</f>
        <v>0</v>
      </c>
      <c r="K51" s="11"/>
      <c r="L51" s="11"/>
      <c r="M51" s="11"/>
      <c r="O51" s="40"/>
      <c r="P51" s="40">
        <f>Tabla3568131422304081828485868788881828384858686673[[#This Row],[COMISIONES]]*0.21</f>
        <v>0</v>
      </c>
      <c r="Q51" s="40"/>
      <c r="R51" s="40"/>
      <c r="S51" s="40"/>
      <c r="T51" s="48"/>
      <c r="U51" s="4">
        <f>SUBTOTAL(109,Tabla35611192734431121315161718191112131415161716775[COMISIONES])</f>
        <v>47044.1</v>
      </c>
      <c r="V51" s="4">
        <f>SUBTOTAL(109,Tabla35611192734431121315161718191112131415161716775[IVA 21])</f>
        <v>9879.2609999999986</v>
      </c>
      <c r="W51" s="4">
        <f>SUBTOTAL(109,Tabla35611192734431121315161718191112131415161716775[IVA 10,5])</f>
        <v>0</v>
      </c>
      <c r="X51" s="4">
        <f>SUBTOTAL(109,Tabla35611192734431121315161718191112131415161716775[Ret IIBB Caba])</f>
        <v>1014.67</v>
      </c>
      <c r="Y51" s="4">
        <f>SUBTOTAL(109,Tabla35611192734431121315161718191112131415161716775[PERC IVA])</f>
        <v>1411.32</v>
      </c>
    </row>
    <row r="52" spans="1:25" s="6" customFormat="1" x14ac:dyDescent="0.25">
      <c r="A52"/>
      <c r="B52" s="2"/>
      <c r="C52" s="2">
        <f>Tabla1316243221222335262728221222324252626370[[#This Row],[COMISIONES]]*0.21</f>
        <v>0</v>
      </c>
      <c r="D52" s="2"/>
      <c r="E52" s="2"/>
      <c r="F52"/>
      <c r="G52"/>
      <c r="I52" s="11"/>
      <c r="J52" s="11">
        <f>Tabla351018263641424445464748441424344454646572[[#This Row],[COMISIONES]]*0.21</f>
        <v>0</v>
      </c>
      <c r="K52" s="11"/>
      <c r="L52" s="11"/>
      <c r="M52" s="11"/>
      <c r="O52" s="40"/>
      <c r="P52" s="40">
        <f>Tabla3568131422304081828485868788881828384858686673[[#This Row],[COMISIONES]]*0.21</f>
        <v>0</v>
      </c>
      <c r="Q52" s="40"/>
      <c r="R52" s="40"/>
      <c r="S52" s="40"/>
      <c r="T52" s="48"/>
      <c r="U52"/>
      <c r="V52"/>
      <c r="W52"/>
      <c r="X52"/>
      <c r="Y52"/>
    </row>
    <row r="53" spans="1:25" s="6" customFormat="1" x14ac:dyDescent="0.25">
      <c r="A53"/>
      <c r="B53" s="2"/>
      <c r="C53" s="2">
        <f>Tabla1316243221222335262728221222324252626370[[#This Row],[COMISIONES]]*0.21</f>
        <v>0</v>
      </c>
      <c r="D53" s="2"/>
      <c r="E53" s="2"/>
      <c r="F53"/>
      <c r="G53"/>
      <c r="I53" s="11"/>
      <c r="J53" s="11">
        <f>Tabla351018263641424445464748441424344454646572[[#This Row],[COMISIONES]]*0.21</f>
        <v>0</v>
      </c>
      <c r="K53" s="11"/>
      <c r="L53" s="11"/>
      <c r="M53" s="11"/>
      <c r="O53" s="40"/>
      <c r="P53" s="40">
        <f>Tabla3568131422304081828485868788881828384858686673[[#This Row],[COMISIONES]]*0.21</f>
        <v>0</v>
      </c>
      <c r="Q53" s="40"/>
      <c r="R53" s="40"/>
      <c r="S53" s="40"/>
      <c r="T53" s="48"/>
      <c r="U53"/>
      <c r="V53"/>
      <c r="W53"/>
      <c r="X53"/>
      <c r="Y53"/>
    </row>
    <row r="54" spans="1:25" s="6" customFormat="1" x14ac:dyDescent="0.25">
      <c r="A54"/>
      <c r="B54" s="2"/>
      <c r="C54" s="2">
        <f>Tabla1316243221222335262728221222324252626370[[#This Row],[COMISIONES]]*0.21</f>
        <v>0</v>
      </c>
      <c r="D54" s="1"/>
      <c r="E54" s="2"/>
      <c r="F54"/>
      <c r="G54"/>
      <c r="I54" s="11"/>
      <c r="J54" s="11">
        <f>Tabla351018263641424445464748441424344454646572[[#This Row],[COMISIONES]]*0.21</f>
        <v>0</v>
      </c>
      <c r="K54" s="11"/>
      <c r="L54" s="11"/>
      <c r="M54" s="11"/>
      <c r="O54" s="40"/>
      <c r="P54" s="40">
        <f>Tabla3568131422304081828485868788881828384858686673[[#This Row],[COMISIONES]]*0.21</f>
        <v>0</v>
      </c>
      <c r="Q54" s="40"/>
      <c r="R54" s="40"/>
      <c r="S54" s="40"/>
      <c r="T54" s="48"/>
      <c r="U54"/>
      <c r="V54"/>
      <c r="W54"/>
      <c r="X54"/>
      <c r="Y54"/>
    </row>
    <row r="55" spans="1:25" s="6" customFormat="1" x14ac:dyDescent="0.25">
      <c r="A55"/>
      <c r="B55" s="2"/>
      <c r="C55" s="2">
        <f>Tabla1316243221222335262728221222324252626370[[#This Row],[COMISIONES]]*0.21</f>
        <v>0</v>
      </c>
      <c r="D55" s="2"/>
      <c r="E55" s="2"/>
      <c r="F55"/>
      <c r="G55"/>
      <c r="I55" s="11"/>
      <c r="J55" s="11">
        <f>Tabla351018263641424445464748441424344454646572[[#This Row],[COMISIONES]]*0.21</f>
        <v>0</v>
      </c>
      <c r="K55" s="11"/>
      <c r="L55" s="11"/>
      <c r="M55" s="11"/>
      <c r="O55" s="40"/>
      <c r="P55" s="40">
        <f>Tabla3568131422304081828485868788881828384858686673[[#This Row],[COMISIONES]]*0.21</f>
        <v>0</v>
      </c>
      <c r="Q55" s="40"/>
      <c r="R55" s="40"/>
      <c r="S55" s="40"/>
      <c r="T55" s="48"/>
      <c r="U55"/>
      <c r="V55"/>
      <c r="W55"/>
      <c r="X55"/>
      <c r="Y55"/>
    </row>
    <row r="56" spans="1:25" s="6" customFormat="1" x14ac:dyDescent="0.25">
      <c r="A56"/>
      <c r="B56" s="2"/>
      <c r="C56" s="2">
        <f>Tabla1316243221222335262728221222324252626370[[#This Row],[COMISIONES]]*0.21</f>
        <v>0</v>
      </c>
      <c r="D56" s="2"/>
      <c r="E56" s="2"/>
      <c r="F56"/>
      <c r="G56"/>
      <c r="I56" s="11"/>
      <c r="J56" s="11">
        <f>Tabla351018263641424445464748441424344454646572[[#This Row],[COMISIONES]]*0.21</f>
        <v>0</v>
      </c>
      <c r="K56" s="11"/>
      <c r="L56" s="11"/>
      <c r="M56" s="11"/>
      <c r="O56" s="40"/>
      <c r="P56" s="40">
        <f>Tabla3568131422304081828485868788881828384858686673[[#This Row],[COMISIONES]]*0.21</f>
        <v>0</v>
      </c>
      <c r="Q56" s="40"/>
      <c r="R56" s="40"/>
      <c r="S56" s="40"/>
      <c r="T56" s="48"/>
      <c r="U56"/>
      <c r="V56"/>
      <c r="W56"/>
      <c r="X56"/>
      <c r="Y56"/>
    </row>
    <row r="57" spans="1:25" s="6" customFormat="1" x14ac:dyDescent="0.25">
      <c r="A57"/>
      <c r="B57" s="4">
        <f>SUBTOTAL(109,Tabla1316243221222335262728221222324252626370[COMISIONES])</f>
        <v>308604.67000000004</v>
      </c>
      <c r="C57" s="4">
        <f>SUBTOTAL(109,Tabla1316243221222335262728221222324252626370[IVA 21])</f>
        <v>64635.580799999996</v>
      </c>
      <c r="D57" s="4">
        <f>SUBTOTAL(109,Tabla1316243221222335262728221222324252626370[IVA 10,5])</f>
        <v>85.699950000000001</v>
      </c>
      <c r="E57" s="4">
        <f>SUBTOTAL(109,Tabla1316243221222335262728221222324252626370[Ret IIBB Caba])</f>
        <v>13924.91</v>
      </c>
      <c r="F57" s="4">
        <f>SUBTOTAL(109,Tabla1316243221222335262728221222324252626370[PERC IVA])</f>
        <v>20412.72</v>
      </c>
      <c r="G57" s="4"/>
      <c r="I57" s="11"/>
      <c r="J57" s="11">
        <f>Tabla351018263641424445464748441424344454646572[[#This Row],[COMISIONES]]*0.21</f>
        <v>0</v>
      </c>
      <c r="K57" s="11"/>
      <c r="L57" s="11"/>
      <c r="M57" s="11"/>
      <c r="O57" s="40"/>
      <c r="P57" s="40">
        <f>Tabla3568131422304081828485868788881828384858686673[[#This Row],[COMISIONES]]*0.21</f>
        <v>0</v>
      </c>
      <c r="Q57" s="40"/>
      <c r="R57" s="40"/>
      <c r="S57" s="40"/>
      <c r="T57" s="48"/>
      <c r="U57"/>
      <c r="V57"/>
      <c r="W57"/>
      <c r="X57"/>
      <c r="Y57"/>
    </row>
    <row r="58" spans="1:25" s="6" customFormat="1" x14ac:dyDescent="0.25">
      <c r="A58"/>
      <c r="B58"/>
      <c r="C58"/>
      <c r="D58"/>
      <c r="E58"/>
      <c r="F58"/>
      <c r="G58"/>
      <c r="I58" s="11"/>
      <c r="J58" s="11">
        <f>Tabla351018263641424445464748441424344454646572[[#This Row],[COMISIONES]]*0.21</f>
        <v>0</v>
      </c>
      <c r="K58" s="11"/>
      <c r="L58" s="11"/>
      <c r="M58" s="11"/>
      <c r="O58" s="40"/>
      <c r="P58" s="40">
        <f>Tabla3568131422304081828485868788881828384858686673[[#This Row],[COMISIONES]]*0.21</f>
        <v>0</v>
      </c>
      <c r="Q58" s="40"/>
      <c r="R58" s="40"/>
      <c r="S58" s="40"/>
      <c r="T58" s="48"/>
      <c r="U58"/>
      <c r="V58"/>
      <c r="W58"/>
      <c r="X58"/>
      <c r="Y58"/>
    </row>
    <row r="59" spans="1:25" s="6" customFormat="1" x14ac:dyDescent="0.25">
      <c r="A59"/>
      <c r="B59"/>
      <c r="C59"/>
      <c r="D59"/>
      <c r="E59"/>
      <c r="F59"/>
      <c r="G59"/>
      <c r="I59" s="11"/>
      <c r="J59" s="11">
        <f>Tabla351018263641424445464748441424344454646572[[#This Row],[COMISIONES]]*0.21</f>
        <v>0</v>
      </c>
      <c r="K59" s="11"/>
      <c r="L59" s="11"/>
      <c r="M59" s="11"/>
      <c r="O59" s="40"/>
      <c r="P59" s="40">
        <f>Tabla3568131422304081828485868788881828384858686673[[#This Row],[COMISIONES]]*0.21</f>
        <v>0</v>
      </c>
      <c r="Q59" s="40"/>
      <c r="R59" s="40"/>
      <c r="S59" s="40"/>
      <c r="T59" s="48"/>
      <c r="U59"/>
      <c r="V59"/>
      <c r="W59"/>
      <c r="X59"/>
      <c r="Y59"/>
    </row>
    <row r="60" spans="1:25" s="6" customFormat="1" x14ac:dyDescent="0.25">
      <c r="A60"/>
      <c r="B60"/>
      <c r="C60"/>
      <c r="D60"/>
      <c r="E60"/>
      <c r="F60"/>
      <c r="G60"/>
      <c r="I60" s="11"/>
      <c r="J60" s="11">
        <f>Tabla351018263641424445464748441424344454646572[[#This Row],[COMISIONES]]*0.21</f>
        <v>0</v>
      </c>
      <c r="K60" s="11"/>
      <c r="L60" s="11"/>
      <c r="M60" s="11"/>
      <c r="O60" s="40"/>
      <c r="P60" s="40">
        <f>Tabla3568131422304081828485868788881828384858686673[[#This Row],[COMISIONES]]*0.21</f>
        <v>0</v>
      </c>
      <c r="Q60" s="40"/>
      <c r="R60" s="40"/>
      <c r="S60" s="40"/>
      <c r="T60" s="48"/>
      <c r="U60"/>
      <c r="V60"/>
      <c r="W60"/>
      <c r="X60"/>
      <c r="Y60"/>
    </row>
    <row r="61" spans="1:25" s="6" customFormat="1" x14ac:dyDescent="0.25">
      <c r="A61"/>
      <c r="B61"/>
      <c r="C61"/>
      <c r="D61"/>
      <c r="E61"/>
      <c r="F61"/>
      <c r="G61"/>
      <c r="I61" s="11"/>
      <c r="J61" s="11">
        <f>Tabla351018263641424445464748441424344454646572[[#This Row],[COMISIONES]]*0.21</f>
        <v>0</v>
      </c>
      <c r="K61" s="11"/>
      <c r="L61" s="11"/>
      <c r="M61" s="11"/>
      <c r="O61" s="40"/>
      <c r="P61" s="40">
        <f>Tabla3568131422304081828485868788881828384858686673[[#This Row],[COMISIONES]]*0.21</f>
        <v>0</v>
      </c>
      <c r="Q61" s="40"/>
      <c r="R61" s="40"/>
      <c r="S61" s="40"/>
      <c r="T61" s="48"/>
      <c r="U61"/>
      <c r="V61"/>
      <c r="W61"/>
      <c r="X61"/>
      <c r="Y61"/>
    </row>
    <row r="62" spans="1:25" s="6" customFormat="1" x14ac:dyDescent="0.25">
      <c r="A62"/>
      <c r="B62"/>
      <c r="C62"/>
      <c r="D62"/>
      <c r="E62"/>
      <c r="F62"/>
      <c r="G62"/>
      <c r="I62" s="11"/>
      <c r="J62" s="11">
        <f>Tabla351018263641424445464748441424344454646572[[#This Row],[COMISIONES]]*0.21</f>
        <v>0</v>
      </c>
      <c r="K62" s="11"/>
      <c r="L62" s="11"/>
      <c r="M62" s="11"/>
      <c r="O62" s="40"/>
      <c r="P62" s="40">
        <f>Tabla3568131422304081828485868788881828384858686673[[#This Row],[COMISIONES]]*0.21</f>
        <v>0</v>
      </c>
      <c r="Q62" s="40"/>
      <c r="R62" s="40"/>
      <c r="S62" s="40"/>
      <c r="T62" s="48"/>
      <c r="U62"/>
      <c r="V62"/>
      <c r="W62"/>
      <c r="X62"/>
      <c r="Y62"/>
    </row>
    <row r="63" spans="1:25" s="6" customFormat="1" x14ac:dyDescent="0.25">
      <c r="A63"/>
      <c r="B63"/>
      <c r="C63"/>
      <c r="D63"/>
      <c r="E63"/>
      <c r="F63"/>
      <c r="G63"/>
      <c r="I63" s="18"/>
      <c r="J63" s="11">
        <f>Tabla351018263641424445464748441424344454646572[[#This Row],[COMISIONES]]*0.21</f>
        <v>0</v>
      </c>
      <c r="K63" s="18"/>
      <c r="L63" s="18"/>
      <c r="M63" s="18"/>
      <c r="O63" s="40"/>
      <c r="P63" s="40">
        <f>Tabla3568131422304081828485868788881828384858686673[[#This Row],[COMISIONES]]*0.21</f>
        <v>0</v>
      </c>
      <c r="Q63" s="40"/>
      <c r="R63" s="40"/>
      <c r="S63" s="40"/>
      <c r="T63" s="48"/>
      <c r="U63"/>
      <c r="V63"/>
      <c r="W63"/>
      <c r="X63"/>
      <c r="Y63"/>
    </row>
    <row r="64" spans="1:25" s="6" customFormat="1" x14ac:dyDescent="0.25">
      <c r="A64"/>
      <c r="B64"/>
      <c r="C64"/>
      <c r="D64"/>
      <c r="E64"/>
      <c r="F64"/>
      <c r="G64"/>
      <c r="I64" s="18"/>
      <c r="J64" s="11">
        <f>Tabla351018263641424445464748441424344454646572[[#This Row],[COMISIONES]]*0.21</f>
        <v>0</v>
      </c>
      <c r="K64" s="18"/>
      <c r="L64" s="18"/>
      <c r="M64" s="18"/>
      <c r="O64" s="40"/>
      <c r="P64" s="40">
        <f>Tabla3568131422304081828485868788881828384858686673[[#This Row],[COMISIONES]]*0.21</f>
        <v>0</v>
      </c>
      <c r="Q64" s="40"/>
      <c r="R64" s="40"/>
      <c r="S64" s="40"/>
      <c r="T64" s="49"/>
      <c r="U64"/>
      <c r="V64"/>
      <c r="W64"/>
      <c r="X64"/>
      <c r="Y64"/>
    </row>
    <row r="65" spans="1:25" s="6" customFormat="1" x14ac:dyDescent="0.25">
      <c r="A65"/>
      <c r="B65"/>
      <c r="C65"/>
      <c r="D65"/>
      <c r="E65"/>
      <c r="F65"/>
      <c r="G65"/>
      <c r="I65" s="18"/>
      <c r="J65" s="11">
        <f>Tabla351018263641424445464748441424344454646572[[#This Row],[COMISIONES]]*0.21</f>
        <v>0</v>
      </c>
      <c r="K65" s="18"/>
      <c r="L65" s="18"/>
      <c r="M65" s="18"/>
      <c r="O65" s="40"/>
      <c r="P65" s="40">
        <f>Tabla3568131422304081828485868788881828384858686673[[#This Row],[COMISIONES]]*0.21</f>
        <v>0</v>
      </c>
      <c r="Q65" s="40"/>
      <c r="R65" s="40"/>
      <c r="S65" s="40"/>
      <c r="U65"/>
      <c r="V65"/>
      <c r="W65"/>
      <c r="X65"/>
      <c r="Y65"/>
    </row>
    <row r="66" spans="1:25" s="6" customFormat="1" x14ac:dyDescent="0.25">
      <c r="A66"/>
      <c r="B66"/>
      <c r="C66"/>
      <c r="D66"/>
      <c r="E66"/>
      <c r="F66"/>
      <c r="G66"/>
      <c r="I66" s="18"/>
      <c r="J66" s="11">
        <f>Tabla351018263641424445464748441424344454646572[[#This Row],[COMISIONES]]*0.21</f>
        <v>0</v>
      </c>
      <c r="K66" s="18"/>
      <c r="L66" s="18"/>
      <c r="M66" s="18"/>
      <c r="O66" s="40"/>
      <c r="P66" s="40">
        <f>Tabla3568131422304081828485868788881828384858686673[[#This Row],[COMISIONES]]*0.21</f>
        <v>0</v>
      </c>
      <c r="Q66" s="40"/>
      <c r="R66" s="40"/>
      <c r="S66" s="40"/>
      <c r="U66"/>
      <c r="V66"/>
      <c r="W66"/>
      <c r="X66"/>
      <c r="Y66"/>
    </row>
    <row r="67" spans="1:25" s="6" customFormat="1" x14ac:dyDescent="0.25">
      <c r="A67"/>
      <c r="B67"/>
      <c r="C67"/>
      <c r="D67"/>
      <c r="E67"/>
      <c r="F67"/>
      <c r="G67"/>
      <c r="I67" s="18"/>
      <c r="J67" s="11">
        <f>Tabla351018263641424445464748441424344454646572[[#This Row],[COMISIONES]]*0.21</f>
        <v>0</v>
      </c>
      <c r="K67" s="18"/>
      <c r="L67" s="18"/>
      <c r="M67" s="18"/>
      <c r="O67" s="40"/>
      <c r="P67" s="40">
        <f>Tabla3568131422304081828485868788881828384858686673[[#This Row],[COMISIONES]]*0.21</f>
        <v>0</v>
      </c>
      <c r="Q67" s="40"/>
      <c r="R67" s="40"/>
      <c r="S67" s="40"/>
      <c r="U67"/>
      <c r="V67"/>
      <c r="W67"/>
      <c r="X67"/>
      <c r="Y67"/>
    </row>
    <row r="68" spans="1:25" s="6" customFormat="1" x14ac:dyDescent="0.25">
      <c r="A68"/>
      <c r="B68"/>
      <c r="C68"/>
      <c r="D68"/>
      <c r="E68"/>
      <c r="F68"/>
      <c r="G68"/>
      <c r="I68" s="18"/>
      <c r="J68" s="11">
        <f>Tabla351018263641424445464748441424344454646572[[#This Row],[COMISIONES]]*0.21</f>
        <v>0</v>
      </c>
      <c r="K68" s="18"/>
      <c r="L68" s="18"/>
      <c r="M68" s="18"/>
      <c r="O68" s="40"/>
      <c r="P68" s="40">
        <f>Tabla3568131422304081828485868788881828384858686673[[#This Row],[COMISIONES]]*0.21</f>
        <v>0</v>
      </c>
      <c r="Q68" s="40"/>
      <c r="R68" s="40"/>
      <c r="S68" s="40"/>
      <c r="U68"/>
      <c r="V68"/>
      <c r="W68"/>
      <c r="X68"/>
      <c r="Y68"/>
    </row>
    <row r="69" spans="1:25" s="6" customFormat="1" x14ac:dyDescent="0.25">
      <c r="A69"/>
      <c r="B69"/>
      <c r="C69"/>
      <c r="D69"/>
      <c r="E69"/>
      <c r="F69"/>
      <c r="G69"/>
      <c r="I69" s="18"/>
      <c r="J69" s="11">
        <f>Tabla351018263641424445464748441424344454646572[[#This Row],[COMISIONES]]*0.21</f>
        <v>0</v>
      </c>
      <c r="K69" s="18"/>
      <c r="L69" s="18"/>
      <c r="M69" s="18"/>
      <c r="O69" s="40"/>
      <c r="P69" s="40">
        <f>Tabla3568131422304081828485868788881828384858686673[[#This Row],[COMISIONES]]*0.21</f>
        <v>0</v>
      </c>
      <c r="Q69" s="40"/>
      <c r="R69" s="40"/>
      <c r="S69" s="40"/>
      <c r="U69"/>
      <c r="V69"/>
      <c r="W69"/>
      <c r="X69"/>
      <c r="Y69"/>
    </row>
    <row r="70" spans="1:25" s="6" customFormat="1" x14ac:dyDescent="0.25">
      <c r="A70"/>
      <c r="B70"/>
      <c r="C70"/>
      <c r="D70"/>
      <c r="E70"/>
      <c r="F70"/>
      <c r="G70"/>
      <c r="I70" s="18"/>
      <c r="J70" s="11">
        <f>Tabla351018263641424445464748441424344454646572[[#This Row],[COMISIONES]]*0.21</f>
        <v>0</v>
      </c>
      <c r="K70" s="18"/>
      <c r="L70" s="18"/>
      <c r="M70" s="18"/>
      <c r="O70" s="40"/>
      <c r="P70" s="40">
        <f>Tabla3568131422304081828485868788881828384858686673[[#This Row],[COMISIONES]]*0.21</f>
        <v>0</v>
      </c>
      <c r="Q70" s="40"/>
      <c r="R70" s="40"/>
      <c r="S70" s="40"/>
      <c r="U70"/>
      <c r="V70"/>
      <c r="W70"/>
      <c r="X70"/>
      <c r="Y70"/>
    </row>
    <row r="71" spans="1:25" s="6" customFormat="1" x14ac:dyDescent="0.25">
      <c r="A71"/>
      <c r="B71"/>
      <c r="C71"/>
      <c r="D71"/>
      <c r="E71"/>
      <c r="F71"/>
      <c r="G71"/>
      <c r="I71" s="18"/>
      <c r="J71" s="11">
        <f>Tabla351018263641424445464748441424344454646572[[#This Row],[COMISIONES]]*0.21</f>
        <v>0</v>
      </c>
      <c r="K71" s="18"/>
      <c r="L71" s="18"/>
      <c r="M71" s="18"/>
      <c r="O71" s="40"/>
      <c r="P71" s="40">
        <f>Tabla3568131422304081828485868788881828384858686673[[#This Row],[COMISIONES]]*0.21</f>
        <v>0</v>
      </c>
      <c r="Q71" s="40"/>
      <c r="R71" s="40"/>
      <c r="S71" s="40"/>
      <c r="U71"/>
      <c r="V71"/>
      <c r="W71"/>
      <c r="X71"/>
      <c r="Y71"/>
    </row>
    <row r="72" spans="1:25" s="6" customFormat="1" x14ac:dyDescent="0.25">
      <c r="A72"/>
      <c r="B72"/>
      <c r="C72"/>
      <c r="D72"/>
      <c r="E72"/>
      <c r="F72"/>
      <c r="G72"/>
      <c r="I72" s="18"/>
      <c r="J72" s="11">
        <f>Tabla351018263641424445464748441424344454646572[[#This Row],[COMISIONES]]*0.21</f>
        <v>0</v>
      </c>
      <c r="K72" s="18"/>
      <c r="L72" s="18"/>
      <c r="M72" s="18"/>
      <c r="O72" s="40"/>
      <c r="P72" s="40">
        <f>Tabla3568131422304081828485868788881828384858686673[[#This Row],[COMISIONES]]*0.21</f>
        <v>0</v>
      </c>
      <c r="Q72" s="40"/>
      <c r="R72" s="40"/>
      <c r="S72" s="40"/>
      <c r="U72"/>
      <c r="V72"/>
      <c r="W72"/>
      <c r="X72"/>
      <c r="Y72"/>
    </row>
    <row r="73" spans="1:25" s="6" customFormat="1" x14ac:dyDescent="0.25">
      <c r="A73"/>
      <c r="B73"/>
      <c r="C73"/>
      <c r="D73"/>
      <c r="E73"/>
      <c r="F73"/>
      <c r="G73"/>
      <c r="I73" s="18"/>
      <c r="J73" s="11">
        <f>Tabla351018263641424445464748441424344454646572[[#This Row],[COMISIONES]]*0.21</f>
        <v>0</v>
      </c>
      <c r="K73" s="18"/>
      <c r="L73" s="18"/>
      <c r="M73" s="18"/>
      <c r="O73" s="40"/>
      <c r="P73" s="40">
        <f>Tabla3568131422304081828485868788881828384858686673[[#This Row],[COMISIONES]]*0.21</f>
        <v>0</v>
      </c>
      <c r="Q73" s="40"/>
      <c r="R73" s="40"/>
      <c r="S73" s="40"/>
      <c r="U73"/>
      <c r="V73"/>
      <c r="W73"/>
      <c r="X73"/>
      <c r="Y73"/>
    </row>
    <row r="74" spans="1:25" s="6" customFormat="1" x14ac:dyDescent="0.25">
      <c r="A74"/>
      <c r="B74"/>
      <c r="C74"/>
      <c r="D74"/>
      <c r="E74"/>
      <c r="F74"/>
      <c r="G74"/>
      <c r="I74" s="18"/>
      <c r="J74" s="11">
        <f>Tabla351018263641424445464748441424344454646572[[#This Row],[COMISIONES]]*0.21</f>
        <v>0</v>
      </c>
      <c r="K74" s="18"/>
      <c r="L74" s="18"/>
      <c r="M74" s="18"/>
      <c r="O74" s="40"/>
      <c r="P74" s="40">
        <f>Tabla3568131422304081828485868788881828384858686673[[#This Row],[COMISIONES]]*0.21</f>
        <v>0</v>
      </c>
      <c r="Q74" s="40"/>
      <c r="R74" s="40"/>
      <c r="S74" s="40"/>
      <c r="U74"/>
      <c r="V74"/>
      <c r="W74"/>
      <c r="X74"/>
      <c r="Y74"/>
    </row>
    <row r="75" spans="1:25" s="6" customFormat="1" x14ac:dyDescent="0.25">
      <c r="A75"/>
      <c r="B75"/>
      <c r="C75"/>
      <c r="D75"/>
      <c r="E75"/>
      <c r="F75"/>
      <c r="G75"/>
      <c r="I75" s="18"/>
      <c r="J75" s="11">
        <f>Tabla351018263641424445464748441424344454646572[[#This Row],[COMISIONES]]*0.21</f>
        <v>0</v>
      </c>
      <c r="K75" s="18"/>
      <c r="L75" s="18"/>
      <c r="M75" s="18"/>
      <c r="O75" s="40"/>
      <c r="P75" s="40">
        <f>Tabla3568131422304081828485868788881828384858686673[[#This Row],[COMISIONES]]*0.21</f>
        <v>0</v>
      </c>
      <c r="Q75" s="40"/>
      <c r="R75" s="40"/>
      <c r="S75" s="40"/>
      <c r="U75"/>
      <c r="V75"/>
      <c r="W75"/>
      <c r="X75"/>
      <c r="Y75"/>
    </row>
    <row r="76" spans="1:25" s="6" customFormat="1" x14ac:dyDescent="0.25">
      <c r="A76"/>
      <c r="B76"/>
      <c r="C76"/>
      <c r="D76"/>
      <c r="E76"/>
      <c r="F76"/>
      <c r="G76"/>
      <c r="I76" s="18"/>
      <c r="J76" s="11">
        <f>Tabla351018263641424445464748441424344454646572[[#This Row],[COMISIONES]]*0.21</f>
        <v>0</v>
      </c>
      <c r="K76" s="18"/>
      <c r="L76" s="18"/>
      <c r="M76" s="18"/>
      <c r="O76" s="40"/>
      <c r="P76" s="40">
        <f>Tabla3568131422304081828485868788881828384858686673[[#This Row],[COMISIONES]]*0.21</f>
        <v>0</v>
      </c>
      <c r="Q76" s="40"/>
      <c r="R76" s="40"/>
      <c r="S76" s="40"/>
      <c r="U76"/>
      <c r="V76"/>
      <c r="W76"/>
      <c r="X76"/>
      <c r="Y76"/>
    </row>
    <row r="77" spans="1:25" s="6" customFormat="1" x14ac:dyDescent="0.25">
      <c r="A77"/>
      <c r="B77"/>
      <c r="C77"/>
      <c r="D77"/>
      <c r="E77"/>
      <c r="F77"/>
      <c r="G77"/>
      <c r="I77" s="18"/>
      <c r="J77" s="11">
        <f>Tabla351018263641424445464748441424344454646572[[#This Row],[COMISIONES]]*0.21</f>
        <v>0</v>
      </c>
      <c r="K77" s="18"/>
      <c r="L77" s="18"/>
      <c r="M77" s="18"/>
      <c r="O77" s="4">
        <f>SUBTOTAL(109,Tabla3568131422304081828485868788881828384858686673[COMISIONES])</f>
        <v>55983.46</v>
      </c>
      <c r="P77" s="4">
        <f>SUBTOTAL(109,Tabla3568131422304081828485868788881828384858686673[IVA 21])</f>
        <v>11550</v>
      </c>
      <c r="Q77" s="4">
        <f>SUBTOTAL(109,Tabla3568131422304081828485868788881828384858686673[IVA 10,5])</f>
        <v>103.2633</v>
      </c>
      <c r="R77" s="4">
        <f>SUBTOTAL(109,Tabla3568131422304081828485868788881828384858686673[Ret IIBB Caba])</f>
        <v>3300</v>
      </c>
      <c r="S77" s="4">
        <f>SUBTOTAL(109,Tabla3568131422304081828485868788881828384858686673[PERC IVA])</f>
        <v>1650</v>
      </c>
      <c r="U77"/>
      <c r="V77"/>
      <c r="W77"/>
      <c r="X77"/>
      <c r="Y77"/>
    </row>
    <row r="78" spans="1:25" s="6" customFormat="1" x14ac:dyDescent="0.25">
      <c r="A78"/>
      <c r="B78"/>
      <c r="C78"/>
      <c r="D78"/>
      <c r="E78"/>
      <c r="F78"/>
      <c r="G78"/>
      <c r="I78" s="18"/>
      <c r="J78" s="11">
        <f>Tabla351018263641424445464748441424344454646572[[#This Row],[COMISIONES]]*0.21</f>
        <v>0</v>
      </c>
      <c r="K78" s="18"/>
      <c r="L78" s="18"/>
      <c r="M78" s="18"/>
      <c r="O78"/>
      <c r="P78"/>
      <c r="Q78"/>
      <c r="R78"/>
      <c r="S78"/>
      <c r="U78"/>
      <c r="V78"/>
      <c r="W78"/>
      <c r="X78"/>
      <c r="Y78"/>
    </row>
    <row r="79" spans="1:25" s="6" customFormat="1" x14ac:dyDescent="0.25">
      <c r="A79"/>
      <c r="B79"/>
      <c r="C79"/>
      <c r="D79"/>
      <c r="E79"/>
      <c r="F79"/>
      <c r="G79"/>
      <c r="I79" s="18"/>
      <c r="J79" s="11">
        <f>Tabla351018263641424445464748441424344454646572[[#This Row],[COMISIONES]]*0.21</f>
        <v>0</v>
      </c>
      <c r="K79" s="18"/>
      <c r="L79" s="18"/>
      <c r="M79" s="18"/>
      <c r="O79"/>
      <c r="P79"/>
      <c r="Q79"/>
      <c r="R79"/>
      <c r="S79"/>
      <c r="U79"/>
      <c r="V79"/>
      <c r="W79"/>
      <c r="X79"/>
      <c r="Y79"/>
    </row>
    <row r="80" spans="1:25" s="6" customFormat="1" x14ac:dyDescent="0.25">
      <c r="A80"/>
      <c r="B80"/>
      <c r="C80"/>
      <c r="D80"/>
      <c r="E80"/>
      <c r="F80"/>
      <c r="G80"/>
      <c r="I80" s="18"/>
      <c r="J80" s="11">
        <f>Tabla351018263641424445464748441424344454646572[[#This Row],[COMISIONES]]*0.21</f>
        <v>0</v>
      </c>
      <c r="K80" s="18"/>
      <c r="L80" s="18"/>
      <c r="M80" s="18"/>
      <c r="O80"/>
      <c r="P80"/>
      <c r="Q80"/>
      <c r="R80"/>
      <c r="S80"/>
      <c r="U80"/>
      <c r="V80"/>
      <c r="W80"/>
      <c r="X80"/>
      <c r="Y80"/>
    </row>
    <row r="81" spans="1:25" s="6" customFormat="1" x14ac:dyDescent="0.25">
      <c r="A81"/>
      <c r="B81"/>
      <c r="C81"/>
      <c r="D81"/>
      <c r="E81"/>
      <c r="F81"/>
      <c r="G81"/>
      <c r="I81" s="18"/>
      <c r="J81" s="11">
        <f>Tabla351018263641424445464748441424344454646572[[#This Row],[COMISIONES]]*0.21</f>
        <v>0</v>
      </c>
      <c r="K81" s="18"/>
      <c r="L81" s="18"/>
      <c r="M81" s="18"/>
      <c r="O81"/>
      <c r="P81"/>
      <c r="Q81"/>
      <c r="R81"/>
      <c r="S81"/>
      <c r="U81"/>
      <c r="V81"/>
      <c r="W81"/>
      <c r="X81"/>
      <c r="Y81"/>
    </row>
    <row r="82" spans="1:25" s="6" customFormat="1" x14ac:dyDescent="0.25">
      <c r="A82"/>
      <c r="B82"/>
      <c r="C82"/>
      <c r="D82"/>
      <c r="E82"/>
      <c r="F82"/>
      <c r="G82"/>
      <c r="I82" s="18"/>
      <c r="J82" s="11">
        <f>Tabla351018263641424445464748441424344454646572[[#This Row],[COMISIONES]]*0.21</f>
        <v>0</v>
      </c>
      <c r="K82" s="18"/>
      <c r="L82" s="18"/>
      <c r="M82" s="18"/>
      <c r="O82"/>
      <c r="P82"/>
      <c r="Q82"/>
      <c r="R82"/>
      <c r="S82"/>
      <c r="U82"/>
      <c r="V82"/>
      <c r="W82"/>
      <c r="X82"/>
      <c r="Y82"/>
    </row>
    <row r="83" spans="1:25" s="6" customFormat="1" x14ac:dyDescent="0.25">
      <c r="A83"/>
      <c r="B83"/>
      <c r="C83"/>
      <c r="D83"/>
      <c r="E83"/>
      <c r="F83"/>
      <c r="G83"/>
      <c r="I83" s="18"/>
      <c r="J83" s="11">
        <f>Tabla351018263641424445464748441424344454646572[[#This Row],[COMISIONES]]*0.21</f>
        <v>0</v>
      </c>
      <c r="K83" s="18"/>
      <c r="L83" s="18"/>
      <c r="M83" s="18"/>
      <c r="O83"/>
      <c r="P83"/>
      <c r="Q83"/>
      <c r="R83"/>
      <c r="S83"/>
      <c r="U83"/>
      <c r="V83"/>
      <c r="W83"/>
      <c r="X83"/>
      <c r="Y83"/>
    </row>
    <row r="84" spans="1:25" s="6" customFormat="1" x14ac:dyDescent="0.25">
      <c r="A84"/>
      <c r="B84"/>
      <c r="C84"/>
      <c r="D84"/>
      <c r="E84"/>
      <c r="F84"/>
      <c r="G84"/>
      <c r="I84" s="18"/>
      <c r="J84" s="11">
        <f>Tabla351018263641424445464748441424344454646572[[#This Row],[COMISIONES]]*0.21</f>
        <v>0</v>
      </c>
      <c r="K84" s="18"/>
      <c r="L84" s="18"/>
      <c r="M84" s="18"/>
      <c r="O84"/>
      <c r="P84"/>
      <c r="Q84"/>
      <c r="R84"/>
      <c r="S84"/>
      <c r="U84"/>
      <c r="V84"/>
      <c r="W84"/>
      <c r="X84"/>
      <c r="Y84"/>
    </row>
    <row r="85" spans="1:25" s="6" customFormat="1" x14ac:dyDescent="0.25">
      <c r="A85"/>
      <c r="B85"/>
      <c r="C85"/>
      <c r="D85"/>
      <c r="E85"/>
      <c r="F85"/>
      <c r="G85"/>
      <c r="I85" s="18"/>
      <c r="J85" s="11">
        <f>Tabla351018263641424445464748441424344454646572[[#This Row],[COMISIONES]]*0.21</f>
        <v>0</v>
      </c>
      <c r="K85" s="18"/>
      <c r="L85" s="18"/>
      <c r="M85" s="18"/>
      <c r="O85"/>
      <c r="P85"/>
      <c r="Q85"/>
      <c r="R85"/>
      <c r="S85"/>
      <c r="U85"/>
      <c r="V85"/>
      <c r="W85"/>
      <c r="X85"/>
      <c r="Y85"/>
    </row>
    <row r="86" spans="1:25" s="6" customFormat="1" x14ac:dyDescent="0.25">
      <c r="A86"/>
      <c r="B86"/>
      <c r="C86"/>
      <c r="D86"/>
      <c r="E86"/>
      <c r="F86"/>
      <c r="G86"/>
      <c r="I86" s="18"/>
      <c r="J86" s="11">
        <f>Tabla351018263641424445464748441424344454646572[[#This Row],[COMISIONES]]*0.21</f>
        <v>0</v>
      </c>
      <c r="K86" s="18"/>
      <c r="L86" s="18"/>
      <c r="M86" s="18"/>
      <c r="O86"/>
      <c r="P86"/>
      <c r="Q86"/>
      <c r="R86"/>
      <c r="S86"/>
      <c r="U86"/>
      <c r="V86"/>
      <c r="W86"/>
      <c r="X86"/>
      <c r="Y86"/>
    </row>
    <row r="87" spans="1:25" s="6" customFormat="1" x14ac:dyDescent="0.25">
      <c r="A87"/>
      <c r="B87"/>
      <c r="C87"/>
      <c r="D87"/>
      <c r="E87"/>
      <c r="F87"/>
      <c r="G87"/>
      <c r="I87" s="18"/>
      <c r="J87" s="11">
        <f>Tabla351018263641424445464748441424344454646572[[#This Row],[COMISIONES]]*0.21</f>
        <v>0</v>
      </c>
      <c r="K87" s="18"/>
      <c r="L87" s="18"/>
      <c r="M87" s="18"/>
      <c r="O87"/>
      <c r="P87"/>
      <c r="Q87"/>
      <c r="R87"/>
      <c r="S87"/>
      <c r="U87"/>
      <c r="V87"/>
      <c r="W87"/>
      <c r="X87"/>
      <c r="Y87"/>
    </row>
    <row r="88" spans="1:25" s="6" customFormat="1" x14ac:dyDescent="0.25">
      <c r="A88"/>
      <c r="B88"/>
      <c r="C88"/>
      <c r="D88"/>
      <c r="E88"/>
      <c r="F88"/>
      <c r="G88"/>
      <c r="I88" s="18"/>
      <c r="J88" s="11">
        <f>Tabla351018263641424445464748441424344454646572[[#This Row],[COMISIONES]]*0.21</f>
        <v>0</v>
      </c>
      <c r="K88" s="18"/>
      <c r="L88" s="18"/>
      <c r="M88" s="18"/>
      <c r="O88"/>
      <c r="P88"/>
      <c r="Q88"/>
      <c r="R88"/>
      <c r="S88"/>
      <c r="U88"/>
      <c r="V88"/>
      <c r="W88"/>
      <c r="X88"/>
      <c r="Y88"/>
    </row>
    <row r="89" spans="1:25" s="6" customFormat="1" x14ac:dyDescent="0.25">
      <c r="A89"/>
      <c r="B89"/>
      <c r="C89"/>
      <c r="D89"/>
      <c r="E89"/>
      <c r="F89"/>
      <c r="G89"/>
      <c r="I89" s="18"/>
      <c r="J89" s="11">
        <f>Tabla351018263641424445464748441424344454646572[[#This Row],[COMISIONES]]*0.21</f>
        <v>0</v>
      </c>
      <c r="K89" s="18"/>
      <c r="L89" s="18"/>
      <c r="M89" s="18"/>
      <c r="O89"/>
      <c r="P89"/>
      <c r="Q89"/>
      <c r="R89"/>
      <c r="S89"/>
      <c r="U89"/>
      <c r="V89"/>
      <c r="W89"/>
      <c r="X89"/>
      <c r="Y89"/>
    </row>
    <row r="90" spans="1:25" s="6" customFormat="1" x14ac:dyDescent="0.25">
      <c r="A90"/>
      <c r="B90"/>
      <c r="C90"/>
      <c r="D90"/>
      <c r="E90"/>
      <c r="F90"/>
      <c r="G90"/>
      <c r="I90" s="18"/>
      <c r="J90" s="11">
        <f>Tabla351018263641424445464748441424344454646572[[#This Row],[COMISIONES]]*0.21</f>
        <v>0</v>
      </c>
      <c r="K90" s="18"/>
      <c r="L90" s="18"/>
      <c r="M90" s="18"/>
      <c r="O90"/>
      <c r="P90"/>
      <c r="Q90"/>
      <c r="R90"/>
      <c r="S90"/>
      <c r="U90"/>
      <c r="V90"/>
      <c r="W90"/>
      <c r="X90"/>
      <c r="Y90"/>
    </row>
    <row r="91" spans="1:25" s="6" customFormat="1" x14ac:dyDescent="0.25">
      <c r="A91"/>
      <c r="B91"/>
      <c r="C91"/>
      <c r="D91"/>
      <c r="E91"/>
      <c r="F91"/>
      <c r="G91"/>
      <c r="I91" s="18"/>
      <c r="J91" s="11">
        <f>Tabla351018263641424445464748441424344454646572[[#This Row],[COMISIONES]]*0.21</f>
        <v>0</v>
      </c>
      <c r="K91" s="18"/>
      <c r="L91" s="18"/>
      <c r="M91" s="18"/>
      <c r="O91"/>
      <c r="P91"/>
      <c r="Q91"/>
      <c r="R91"/>
      <c r="S91"/>
      <c r="U91"/>
      <c r="V91"/>
      <c r="W91"/>
      <c r="X91"/>
      <c r="Y91"/>
    </row>
    <row r="92" spans="1:25" s="6" customFormat="1" x14ac:dyDescent="0.25">
      <c r="A92"/>
      <c r="B92"/>
      <c r="C92"/>
      <c r="D92"/>
      <c r="E92"/>
      <c r="F92"/>
      <c r="G92"/>
      <c r="I92" s="18"/>
      <c r="J92" s="11">
        <f>Tabla351018263641424445464748441424344454646572[[#This Row],[COMISIONES]]*0.21</f>
        <v>0</v>
      </c>
      <c r="K92" s="18"/>
      <c r="L92" s="18"/>
      <c r="M92" s="18"/>
      <c r="O92"/>
      <c r="P92"/>
      <c r="Q92"/>
      <c r="R92"/>
      <c r="S92"/>
      <c r="U92"/>
      <c r="V92"/>
      <c r="W92"/>
      <c r="X92"/>
      <c r="Y92"/>
    </row>
    <row r="93" spans="1:25" s="6" customFormat="1" x14ac:dyDescent="0.25">
      <c r="A93"/>
      <c r="B93"/>
      <c r="C93"/>
      <c r="D93"/>
      <c r="E93"/>
      <c r="F93"/>
      <c r="G93"/>
      <c r="I93" s="18"/>
      <c r="J93" s="11">
        <f>Tabla351018263641424445464748441424344454646572[[#This Row],[COMISIONES]]*0.21</f>
        <v>0</v>
      </c>
      <c r="K93" s="18"/>
      <c r="L93" s="18"/>
      <c r="M93" s="18"/>
      <c r="O93"/>
      <c r="P93"/>
      <c r="Q93"/>
      <c r="R93"/>
      <c r="S93"/>
      <c r="U93"/>
      <c r="V93"/>
      <c r="W93"/>
      <c r="X93"/>
      <c r="Y93"/>
    </row>
    <row r="94" spans="1:25" s="6" customFormat="1" x14ac:dyDescent="0.25">
      <c r="A94"/>
      <c r="B94"/>
      <c r="C94"/>
      <c r="D94"/>
      <c r="E94"/>
      <c r="F94"/>
      <c r="G94"/>
      <c r="I94" s="18"/>
      <c r="J94" s="11">
        <f>Tabla351018263641424445464748441424344454646572[[#This Row],[COMISIONES]]*0.21</f>
        <v>0</v>
      </c>
      <c r="K94" s="18"/>
      <c r="L94" s="18"/>
      <c r="M94" s="18"/>
      <c r="O94"/>
      <c r="P94"/>
      <c r="Q94"/>
      <c r="R94"/>
      <c r="S94"/>
      <c r="U94"/>
      <c r="V94"/>
      <c r="W94"/>
      <c r="X94"/>
      <c r="Y94"/>
    </row>
    <row r="95" spans="1:25" s="6" customFormat="1" x14ac:dyDescent="0.25">
      <c r="A95"/>
      <c r="B95"/>
      <c r="C95"/>
      <c r="D95"/>
      <c r="E95"/>
      <c r="F95"/>
      <c r="G95"/>
      <c r="I95" s="18"/>
      <c r="J95" s="11">
        <f>Tabla351018263641424445464748441424344454646572[[#This Row],[COMISIONES]]*0.21</f>
        <v>0</v>
      </c>
      <c r="K95" s="18"/>
      <c r="L95" s="18"/>
      <c r="M95" s="18"/>
      <c r="O95"/>
      <c r="P95"/>
      <c r="Q95"/>
      <c r="R95"/>
      <c r="S95"/>
      <c r="U95"/>
      <c r="V95"/>
      <c r="W95"/>
      <c r="X95"/>
      <c r="Y95"/>
    </row>
    <row r="96" spans="1:25" s="6" customFormat="1" x14ac:dyDescent="0.25">
      <c r="A96"/>
      <c r="B96"/>
      <c r="C96"/>
      <c r="D96"/>
      <c r="E96"/>
      <c r="F96"/>
      <c r="G96"/>
      <c r="I96" s="18"/>
      <c r="J96" s="11">
        <f>Tabla351018263641424445464748441424344454646572[[#This Row],[COMISIONES]]*0.21</f>
        <v>0</v>
      </c>
      <c r="K96" s="18"/>
      <c r="L96" s="18"/>
      <c r="M96" s="18"/>
      <c r="O96"/>
      <c r="P96"/>
      <c r="Q96"/>
      <c r="R96"/>
      <c r="S96"/>
      <c r="U96"/>
      <c r="V96"/>
      <c r="W96"/>
      <c r="X96"/>
      <c r="Y96"/>
    </row>
    <row r="97" spans="1:25" s="6" customFormat="1" x14ac:dyDescent="0.25">
      <c r="A97"/>
      <c r="B97"/>
      <c r="C97"/>
      <c r="D97"/>
      <c r="E97"/>
      <c r="F97"/>
      <c r="G97"/>
      <c r="I97" s="18"/>
      <c r="J97" s="11">
        <f>Tabla351018263641424445464748441424344454646572[[#This Row],[COMISIONES]]*0.21</f>
        <v>0</v>
      </c>
      <c r="K97" s="18"/>
      <c r="L97" s="18"/>
      <c r="M97" s="18"/>
      <c r="O97"/>
      <c r="P97"/>
      <c r="Q97"/>
      <c r="R97"/>
      <c r="S97"/>
      <c r="U97"/>
      <c r="V97"/>
      <c r="W97"/>
      <c r="X97"/>
      <c r="Y97"/>
    </row>
    <row r="98" spans="1:25" s="6" customFormat="1" x14ac:dyDescent="0.25">
      <c r="A98"/>
      <c r="B98"/>
      <c r="C98"/>
      <c r="D98"/>
      <c r="E98"/>
      <c r="F98"/>
      <c r="G98"/>
      <c r="I98" s="18"/>
      <c r="J98" s="11">
        <f>Tabla351018263641424445464748441424344454646572[[#This Row],[COMISIONES]]*0.21</f>
        <v>0</v>
      </c>
      <c r="K98" s="18"/>
      <c r="L98" s="18"/>
      <c r="M98" s="18"/>
      <c r="O98"/>
      <c r="P98"/>
      <c r="Q98"/>
      <c r="R98"/>
      <c r="S98"/>
      <c r="U98"/>
      <c r="V98"/>
      <c r="W98"/>
      <c r="X98"/>
      <c r="Y98"/>
    </row>
    <row r="99" spans="1:25" s="6" customFormat="1" x14ac:dyDescent="0.25">
      <c r="A99"/>
      <c r="B99"/>
      <c r="C99"/>
      <c r="D99"/>
      <c r="E99"/>
      <c r="F99"/>
      <c r="G99"/>
      <c r="I99" s="18"/>
      <c r="J99" s="11">
        <f>Tabla351018263641424445464748441424344454646572[[#This Row],[COMISIONES]]*0.21</f>
        <v>0</v>
      </c>
      <c r="K99" s="18"/>
      <c r="L99" s="18"/>
      <c r="M99" s="18"/>
      <c r="O99"/>
      <c r="P99"/>
      <c r="Q99"/>
      <c r="R99"/>
      <c r="S99"/>
      <c r="U99"/>
      <c r="V99"/>
      <c r="W99"/>
      <c r="X99"/>
      <c r="Y99"/>
    </row>
    <row r="100" spans="1:25" s="6" customFormat="1" x14ac:dyDescent="0.25">
      <c r="A100"/>
      <c r="B100"/>
      <c r="C100"/>
      <c r="D100"/>
      <c r="E100"/>
      <c r="F100"/>
      <c r="G100"/>
      <c r="I100" s="18"/>
      <c r="J100" s="11">
        <f>Tabla351018263641424445464748441424344454646572[[#This Row],[COMISIONES]]*0.21</f>
        <v>0</v>
      </c>
      <c r="K100" s="18"/>
      <c r="L100" s="18"/>
      <c r="M100" s="18"/>
      <c r="O100"/>
      <c r="P100"/>
      <c r="Q100"/>
      <c r="R100"/>
      <c r="S100"/>
      <c r="U100"/>
      <c r="V100"/>
      <c r="W100"/>
      <c r="X100"/>
      <c r="Y100"/>
    </row>
    <row r="101" spans="1:25" s="6" customFormat="1" x14ac:dyDescent="0.25">
      <c r="A101"/>
      <c r="B101"/>
      <c r="C101"/>
      <c r="D101"/>
      <c r="E101"/>
      <c r="F101"/>
      <c r="G101"/>
      <c r="I101" s="18"/>
      <c r="J101" s="11">
        <f>Tabla351018263641424445464748441424344454646572[[#This Row],[COMISIONES]]*0.21</f>
        <v>0</v>
      </c>
      <c r="K101" s="18"/>
      <c r="L101" s="18"/>
      <c r="M101" s="18"/>
      <c r="O101"/>
      <c r="P101"/>
      <c r="Q101"/>
      <c r="R101"/>
      <c r="S101"/>
      <c r="U101"/>
      <c r="V101"/>
      <c r="W101"/>
      <c r="X101"/>
      <c r="Y101"/>
    </row>
    <row r="102" spans="1:25" s="6" customFormat="1" x14ac:dyDescent="0.25">
      <c r="A102"/>
      <c r="B102"/>
      <c r="C102"/>
      <c r="D102"/>
      <c r="E102"/>
      <c r="F102"/>
      <c r="G102"/>
      <c r="I102" s="18"/>
      <c r="J102" s="11">
        <f>Tabla351018263641424445464748441424344454646572[[#This Row],[COMISIONES]]*0.21</f>
        <v>0</v>
      </c>
      <c r="K102" s="18"/>
      <c r="L102" s="18"/>
      <c r="M102" s="18"/>
      <c r="O102"/>
      <c r="P102"/>
      <c r="Q102"/>
      <c r="R102"/>
      <c r="S102"/>
      <c r="U102"/>
      <c r="V102"/>
      <c r="W102"/>
      <c r="X102"/>
      <c r="Y102"/>
    </row>
    <row r="103" spans="1:25" s="6" customFormat="1" x14ac:dyDescent="0.25">
      <c r="A103"/>
      <c r="B103"/>
      <c r="C103"/>
      <c r="D103"/>
      <c r="E103"/>
      <c r="F103"/>
      <c r="G103"/>
      <c r="I103" s="18"/>
      <c r="J103" s="11">
        <f>Tabla351018263641424445464748441424344454646572[[#This Row],[COMISIONES]]*0.21</f>
        <v>0</v>
      </c>
      <c r="K103" s="18"/>
      <c r="L103" s="18"/>
      <c r="M103" s="18"/>
      <c r="O103"/>
      <c r="P103"/>
      <c r="Q103"/>
      <c r="R103"/>
      <c r="S103"/>
      <c r="U103"/>
      <c r="V103"/>
      <c r="W103"/>
      <c r="X103"/>
      <c r="Y103"/>
    </row>
    <row r="104" spans="1:25" s="6" customFormat="1" x14ac:dyDescent="0.25">
      <c r="A104"/>
      <c r="B104"/>
      <c r="C104"/>
      <c r="D104"/>
      <c r="E104"/>
      <c r="F104"/>
      <c r="G104"/>
      <c r="I104" s="18"/>
      <c r="J104" s="11">
        <f>Tabla351018263641424445464748441424344454646572[[#This Row],[COMISIONES]]*0.21</f>
        <v>0</v>
      </c>
      <c r="K104" s="18"/>
      <c r="L104" s="18"/>
      <c r="M104" s="18"/>
      <c r="O104"/>
      <c r="P104"/>
      <c r="Q104"/>
      <c r="R104"/>
      <c r="S104"/>
      <c r="U104"/>
      <c r="V104"/>
      <c r="W104"/>
      <c r="X104"/>
      <c r="Y104"/>
    </row>
    <row r="105" spans="1:25" s="6" customFormat="1" x14ac:dyDescent="0.25">
      <c r="A105"/>
      <c r="B105"/>
      <c r="C105"/>
      <c r="D105"/>
      <c r="E105"/>
      <c r="F105"/>
      <c r="G105"/>
      <c r="I105" s="18"/>
      <c r="J105" s="11">
        <f>Tabla351018263641424445464748441424344454646572[[#This Row],[COMISIONES]]*0.21</f>
        <v>0</v>
      </c>
      <c r="K105" s="18"/>
      <c r="L105" s="18"/>
      <c r="M105" s="18"/>
      <c r="O105"/>
      <c r="P105"/>
      <c r="Q105"/>
      <c r="R105"/>
      <c r="S105"/>
      <c r="U105"/>
      <c r="V105"/>
      <c r="W105"/>
      <c r="X105"/>
      <c r="Y105"/>
    </row>
    <row r="106" spans="1:25" s="6" customFormat="1" x14ac:dyDescent="0.25">
      <c r="A106"/>
      <c r="B106"/>
      <c r="C106"/>
      <c r="D106"/>
      <c r="E106"/>
      <c r="F106"/>
      <c r="G106"/>
      <c r="I106" s="18"/>
      <c r="J106" s="11">
        <f>Tabla351018263641424445464748441424344454646572[[#This Row],[COMISIONES]]*0.21</f>
        <v>0</v>
      </c>
      <c r="K106" s="18"/>
      <c r="L106" s="18"/>
      <c r="M106" s="18"/>
      <c r="O106"/>
      <c r="P106"/>
      <c r="Q106"/>
      <c r="R106"/>
      <c r="S106"/>
      <c r="U106"/>
      <c r="V106"/>
      <c r="W106"/>
      <c r="X106"/>
      <c r="Y106"/>
    </row>
    <row r="107" spans="1:25" s="6" customFormat="1" x14ac:dyDescent="0.25">
      <c r="A107"/>
      <c r="B107"/>
      <c r="C107"/>
      <c r="D107"/>
      <c r="E107"/>
      <c r="F107"/>
      <c r="G107"/>
      <c r="I107" s="18"/>
      <c r="J107" s="11">
        <f>Tabla351018263641424445464748441424344454646572[[#This Row],[COMISIONES]]*0.21</f>
        <v>0</v>
      </c>
      <c r="K107" s="18"/>
      <c r="L107" s="18"/>
      <c r="M107" s="18"/>
      <c r="O107"/>
      <c r="P107"/>
      <c r="Q107"/>
      <c r="R107"/>
      <c r="S107"/>
      <c r="U107"/>
      <c r="V107"/>
      <c r="W107"/>
      <c r="X107"/>
      <c r="Y107"/>
    </row>
    <row r="108" spans="1:25" s="6" customFormat="1" x14ac:dyDescent="0.25">
      <c r="A108"/>
      <c r="B108"/>
      <c r="C108"/>
      <c r="D108"/>
      <c r="E108"/>
      <c r="F108"/>
      <c r="G108"/>
      <c r="I108" s="18"/>
      <c r="J108" s="11">
        <f>Tabla351018263641424445464748441424344454646572[[#This Row],[COMISIONES]]*0.21</f>
        <v>0</v>
      </c>
      <c r="K108" s="18"/>
      <c r="L108" s="18"/>
      <c r="M108" s="18"/>
      <c r="O108"/>
      <c r="P108"/>
      <c r="Q108"/>
      <c r="R108"/>
      <c r="S108"/>
      <c r="U108"/>
      <c r="V108"/>
      <c r="W108"/>
      <c r="X108"/>
      <c r="Y108"/>
    </row>
    <row r="109" spans="1:25" s="6" customFormat="1" x14ac:dyDescent="0.25">
      <c r="A109"/>
      <c r="B109"/>
      <c r="C109"/>
      <c r="D109"/>
      <c r="E109"/>
      <c r="F109"/>
      <c r="G109"/>
      <c r="I109" s="18"/>
      <c r="J109" s="11">
        <f>Tabla351018263641424445464748441424344454646572[[#This Row],[COMISIONES]]*0.21</f>
        <v>0</v>
      </c>
      <c r="K109" s="18"/>
      <c r="L109" s="18"/>
      <c r="M109" s="18"/>
      <c r="O109"/>
      <c r="P109"/>
      <c r="Q109"/>
      <c r="R109"/>
      <c r="S109"/>
      <c r="U109"/>
      <c r="V109"/>
      <c r="W109"/>
      <c r="X109"/>
      <c r="Y109"/>
    </row>
    <row r="110" spans="1:25" s="6" customFormat="1" x14ac:dyDescent="0.25">
      <c r="A110"/>
      <c r="B110"/>
      <c r="C110"/>
      <c r="D110"/>
      <c r="E110"/>
      <c r="F110"/>
      <c r="G110"/>
      <c r="I110" s="18"/>
      <c r="J110" s="11">
        <f>Tabla351018263641424445464748441424344454646572[[#This Row],[COMISIONES]]*0.21</f>
        <v>0</v>
      </c>
      <c r="K110" s="18"/>
      <c r="L110" s="18"/>
      <c r="M110" s="18"/>
      <c r="O110"/>
      <c r="P110"/>
      <c r="Q110"/>
      <c r="R110"/>
      <c r="S110"/>
      <c r="U110"/>
      <c r="V110"/>
      <c r="W110"/>
      <c r="X110"/>
      <c r="Y110"/>
    </row>
    <row r="111" spans="1:25" s="6" customFormat="1" x14ac:dyDescent="0.25">
      <c r="A111"/>
      <c r="B111"/>
      <c r="C111"/>
      <c r="D111"/>
      <c r="E111"/>
      <c r="F111"/>
      <c r="G111"/>
      <c r="I111" s="18"/>
      <c r="J111" s="11">
        <f>Tabla351018263641424445464748441424344454646572[[#This Row],[COMISIONES]]*0.21</f>
        <v>0</v>
      </c>
      <c r="K111" s="18"/>
      <c r="L111" s="18"/>
      <c r="M111" s="18"/>
      <c r="O111"/>
      <c r="P111"/>
      <c r="Q111"/>
      <c r="R111"/>
      <c r="S111"/>
      <c r="U111"/>
      <c r="V111"/>
      <c r="W111"/>
      <c r="X111"/>
      <c r="Y111"/>
    </row>
    <row r="112" spans="1:25" s="6" customFormat="1" x14ac:dyDescent="0.25">
      <c r="A112"/>
      <c r="B112"/>
      <c r="C112"/>
      <c r="D112"/>
      <c r="E112"/>
      <c r="F112"/>
      <c r="G112"/>
      <c r="I112" s="18"/>
      <c r="J112" s="11">
        <f>Tabla351018263641424445464748441424344454646572[[#This Row],[COMISIONES]]*0.21</f>
        <v>0</v>
      </c>
      <c r="K112" s="18"/>
      <c r="L112" s="18"/>
      <c r="M112" s="18"/>
      <c r="O112"/>
      <c r="P112"/>
      <c r="Q112"/>
      <c r="R112"/>
      <c r="S112"/>
      <c r="U112"/>
      <c r="V112"/>
      <c r="W112"/>
      <c r="X112"/>
      <c r="Y112"/>
    </row>
    <row r="113" spans="1:25" s="6" customFormat="1" x14ac:dyDescent="0.25">
      <c r="A113"/>
      <c r="B113"/>
      <c r="C113"/>
      <c r="D113"/>
      <c r="E113"/>
      <c r="F113"/>
      <c r="G113"/>
      <c r="I113" s="18"/>
      <c r="J113" s="11">
        <f>Tabla351018263641424445464748441424344454646572[[#This Row],[COMISIONES]]*0.21</f>
        <v>0</v>
      </c>
      <c r="K113" s="18"/>
      <c r="L113" s="18"/>
      <c r="M113" s="18"/>
      <c r="O113"/>
      <c r="P113"/>
      <c r="Q113"/>
      <c r="R113"/>
      <c r="S113"/>
      <c r="U113"/>
      <c r="V113"/>
      <c r="W113"/>
      <c r="X113"/>
      <c r="Y113"/>
    </row>
    <row r="114" spans="1:25" s="6" customFormat="1" x14ac:dyDescent="0.25">
      <c r="A114"/>
      <c r="B114"/>
      <c r="C114"/>
      <c r="D114"/>
      <c r="E114"/>
      <c r="F114"/>
      <c r="G114"/>
      <c r="I114" s="18"/>
      <c r="J114" s="11">
        <f>Tabla351018263641424445464748441424344454646572[[#This Row],[COMISIONES]]*0.21</f>
        <v>0</v>
      </c>
      <c r="K114" s="18"/>
      <c r="L114" s="18"/>
      <c r="M114" s="18"/>
      <c r="O114"/>
      <c r="P114"/>
      <c r="Q114"/>
      <c r="R114"/>
      <c r="S114"/>
      <c r="U114"/>
      <c r="V114"/>
      <c r="W114"/>
      <c r="X114"/>
      <c r="Y114"/>
    </row>
    <row r="115" spans="1:25" s="6" customFormat="1" x14ac:dyDescent="0.25">
      <c r="A115"/>
      <c r="B115"/>
      <c r="C115"/>
      <c r="D115"/>
      <c r="E115"/>
      <c r="F115"/>
      <c r="G115"/>
      <c r="I115" s="18"/>
      <c r="J115" s="11">
        <f>Tabla351018263641424445464748441424344454646572[[#This Row],[COMISIONES]]*0.21</f>
        <v>0</v>
      </c>
      <c r="K115" s="18"/>
      <c r="L115" s="18"/>
      <c r="M115" s="18"/>
      <c r="O115"/>
      <c r="P115"/>
      <c r="Q115"/>
      <c r="R115"/>
      <c r="S115"/>
      <c r="U115"/>
      <c r="V115"/>
      <c r="W115"/>
      <c r="X115"/>
      <c r="Y115"/>
    </row>
    <row r="116" spans="1:25" s="6" customFormat="1" x14ac:dyDescent="0.25">
      <c r="A116"/>
      <c r="B116"/>
      <c r="C116"/>
      <c r="D116"/>
      <c r="E116"/>
      <c r="F116"/>
      <c r="G116"/>
      <c r="I116" s="18"/>
      <c r="J116" s="11">
        <f>Tabla351018263641424445464748441424344454646572[[#This Row],[COMISIONES]]*0.21</f>
        <v>0</v>
      </c>
      <c r="K116" s="18"/>
      <c r="L116" s="18"/>
      <c r="M116" s="18"/>
      <c r="O116"/>
      <c r="P116"/>
      <c r="Q116"/>
      <c r="R116"/>
      <c r="S116"/>
      <c r="U116"/>
      <c r="V116"/>
      <c r="W116"/>
      <c r="X116"/>
      <c r="Y116"/>
    </row>
    <row r="117" spans="1:25" s="6" customFormat="1" x14ac:dyDescent="0.25">
      <c r="A117"/>
      <c r="B117"/>
      <c r="C117"/>
      <c r="D117"/>
      <c r="E117"/>
      <c r="F117"/>
      <c r="G117"/>
      <c r="I117" s="18"/>
      <c r="J117" s="11">
        <f>Tabla351018263641424445464748441424344454646572[[#This Row],[COMISIONES]]*0.21</f>
        <v>0</v>
      </c>
      <c r="K117" s="18"/>
      <c r="L117" s="18"/>
      <c r="M117" s="18"/>
      <c r="O117"/>
      <c r="P117"/>
      <c r="Q117"/>
      <c r="R117"/>
      <c r="S117"/>
      <c r="U117"/>
      <c r="V117"/>
      <c r="W117"/>
      <c r="X117"/>
      <c r="Y117"/>
    </row>
    <row r="118" spans="1:25" s="6" customFormat="1" x14ac:dyDescent="0.25">
      <c r="A118"/>
      <c r="B118"/>
      <c r="C118"/>
      <c r="D118"/>
      <c r="E118"/>
      <c r="F118"/>
      <c r="G118"/>
      <c r="I118" s="18"/>
      <c r="J118" s="11">
        <f>Tabla351018263641424445464748441424344454646572[[#This Row],[COMISIONES]]*0.21</f>
        <v>0</v>
      </c>
      <c r="K118" s="18"/>
      <c r="L118" s="18"/>
      <c r="M118" s="18"/>
      <c r="O118"/>
      <c r="P118"/>
      <c r="Q118"/>
      <c r="R118"/>
      <c r="S118"/>
      <c r="U118"/>
      <c r="V118"/>
      <c r="W118"/>
      <c r="X118"/>
      <c r="Y118"/>
    </row>
    <row r="119" spans="1:25" s="6" customFormat="1" x14ac:dyDescent="0.25">
      <c r="A119"/>
      <c r="B119"/>
      <c r="C119"/>
      <c r="D119"/>
      <c r="E119"/>
      <c r="F119"/>
      <c r="G119"/>
      <c r="I119" s="18"/>
      <c r="J119" s="18"/>
      <c r="K119" s="18"/>
      <c r="L119" s="18"/>
      <c r="M119" s="18"/>
      <c r="O119"/>
      <c r="P119"/>
      <c r="Q119"/>
      <c r="R119"/>
      <c r="S119"/>
      <c r="U119"/>
      <c r="V119"/>
      <c r="W119"/>
      <c r="X119"/>
      <c r="Y119"/>
    </row>
    <row r="120" spans="1:25" s="6" customFormat="1" x14ac:dyDescent="0.25">
      <c r="A120"/>
      <c r="B120"/>
      <c r="C120"/>
      <c r="D120"/>
      <c r="E120"/>
      <c r="F120"/>
      <c r="G120"/>
      <c r="I120" s="18"/>
      <c r="J120" s="18"/>
      <c r="K120" s="18"/>
      <c r="L120" s="18"/>
      <c r="M120" s="18"/>
      <c r="O120"/>
      <c r="P120"/>
      <c r="Q120"/>
      <c r="R120"/>
      <c r="S120"/>
      <c r="U120"/>
      <c r="V120"/>
      <c r="W120"/>
      <c r="X120"/>
      <c r="Y120"/>
    </row>
    <row r="121" spans="1:25" s="6" customFormat="1" x14ac:dyDescent="0.25">
      <c r="A121"/>
      <c r="B121"/>
      <c r="C121"/>
      <c r="D121"/>
      <c r="E121"/>
      <c r="F121"/>
      <c r="G121"/>
      <c r="I121" s="18"/>
      <c r="J121" s="18"/>
      <c r="K121" s="18"/>
      <c r="L121" s="18"/>
      <c r="M121" s="18"/>
      <c r="O121"/>
      <c r="P121"/>
      <c r="Q121"/>
      <c r="R121"/>
      <c r="S121"/>
      <c r="U121"/>
      <c r="V121"/>
      <c r="W121"/>
      <c r="X121"/>
      <c r="Y121"/>
    </row>
    <row r="122" spans="1:25" s="6" customFormat="1" x14ac:dyDescent="0.25">
      <c r="A122"/>
      <c r="B122"/>
      <c r="C122"/>
      <c r="D122"/>
      <c r="E122"/>
      <c r="F122"/>
      <c r="G122"/>
      <c r="I122" s="18"/>
      <c r="J122" s="18"/>
      <c r="K122" s="18"/>
      <c r="L122" s="18"/>
      <c r="M122" s="18"/>
      <c r="O122"/>
      <c r="P122"/>
      <c r="Q122"/>
      <c r="R122"/>
      <c r="S122"/>
      <c r="U122"/>
      <c r="V122"/>
      <c r="W122"/>
      <c r="X122"/>
      <c r="Y122"/>
    </row>
    <row r="123" spans="1:25" s="6" customFormat="1" x14ac:dyDescent="0.25">
      <c r="A123"/>
      <c r="B123"/>
      <c r="C123"/>
      <c r="D123"/>
      <c r="E123"/>
      <c r="F123"/>
      <c r="G123"/>
      <c r="I123" s="18"/>
      <c r="J123" s="18"/>
      <c r="K123" s="18"/>
      <c r="L123" s="18"/>
      <c r="M123" s="18"/>
      <c r="O123"/>
      <c r="P123"/>
      <c r="Q123"/>
      <c r="R123"/>
      <c r="S123"/>
      <c r="U123"/>
      <c r="V123"/>
      <c r="W123"/>
      <c r="X123"/>
      <c r="Y123"/>
    </row>
    <row r="124" spans="1:25" s="6" customFormat="1" x14ac:dyDescent="0.25">
      <c r="A124"/>
      <c r="B124"/>
      <c r="C124"/>
      <c r="D124"/>
      <c r="E124"/>
      <c r="F124"/>
      <c r="G124"/>
      <c r="I124" s="18"/>
      <c r="J124" s="18"/>
      <c r="K124" s="18"/>
      <c r="L124" s="18"/>
      <c r="M124" s="18"/>
      <c r="O124"/>
      <c r="P124"/>
      <c r="Q124"/>
      <c r="R124"/>
      <c r="S124"/>
      <c r="U124"/>
      <c r="V124"/>
      <c r="W124"/>
      <c r="X124"/>
      <c r="Y124"/>
    </row>
    <row r="125" spans="1:25" s="6" customFormat="1" x14ac:dyDescent="0.25">
      <c r="A125"/>
      <c r="B125"/>
      <c r="C125"/>
      <c r="D125"/>
      <c r="E125"/>
      <c r="F125"/>
      <c r="G125"/>
      <c r="I125" s="18"/>
      <c r="J125" s="18"/>
      <c r="K125" s="18"/>
      <c r="L125" s="18"/>
      <c r="M125" s="18"/>
      <c r="O125"/>
      <c r="P125"/>
      <c r="Q125"/>
      <c r="R125"/>
      <c r="S125"/>
      <c r="U125"/>
      <c r="V125"/>
      <c r="W125"/>
      <c r="X125"/>
      <c r="Y125"/>
    </row>
    <row r="126" spans="1:25" s="6" customFormat="1" x14ac:dyDescent="0.25">
      <c r="A126"/>
      <c r="B126"/>
      <c r="C126"/>
      <c r="D126"/>
      <c r="E126"/>
      <c r="F126"/>
      <c r="G126"/>
      <c r="I126" s="18"/>
      <c r="J126" s="18"/>
      <c r="K126" s="18"/>
      <c r="L126" s="18"/>
      <c r="M126" s="18"/>
      <c r="O126"/>
      <c r="P126"/>
      <c r="Q126"/>
      <c r="R126"/>
      <c r="S126"/>
      <c r="U126"/>
      <c r="V126"/>
      <c r="W126"/>
      <c r="X126"/>
      <c r="Y126"/>
    </row>
    <row r="127" spans="1:25" s="6" customFormat="1" x14ac:dyDescent="0.25">
      <c r="A127"/>
      <c r="B127"/>
      <c r="C127"/>
      <c r="D127"/>
      <c r="E127"/>
      <c r="F127"/>
      <c r="G127"/>
      <c r="I127" s="18"/>
      <c r="J127" s="18"/>
      <c r="K127" s="18"/>
      <c r="L127" s="18"/>
      <c r="M127" s="18"/>
      <c r="O127"/>
      <c r="P127"/>
      <c r="Q127"/>
      <c r="R127"/>
      <c r="S127"/>
      <c r="U127"/>
      <c r="V127"/>
      <c r="W127"/>
      <c r="X127"/>
      <c r="Y127"/>
    </row>
    <row r="128" spans="1:25" s="6" customFormat="1" x14ac:dyDescent="0.25">
      <c r="A128"/>
      <c r="B128"/>
      <c r="C128"/>
      <c r="D128"/>
      <c r="E128"/>
      <c r="F128"/>
      <c r="G128"/>
      <c r="I128" s="18"/>
      <c r="J128" s="18"/>
      <c r="K128" s="18"/>
      <c r="L128" s="18"/>
      <c r="M128" s="18"/>
      <c r="O128"/>
      <c r="P128"/>
      <c r="Q128"/>
      <c r="R128"/>
      <c r="S128"/>
      <c r="U128"/>
      <c r="V128"/>
      <c r="W128"/>
      <c r="X128"/>
      <c r="Y128"/>
    </row>
    <row r="129" spans="1:25" s="6" customFormat="1" x14ac:dyDescent="0.25">
      <c r="A129"/>
      <c r="B129"/>
      <c r="C129"/>
      <c r="D129"/>
      <c r="E129"/>
      <c r="F129"/>
      <c r="G129"/>
      <c r="I129" s="18"/>
      <c r="J129" s="18"/>
      <c r="K129" s="18"/>
      <c r="L129" s="18"/>
      <c r="M129" s="18"/>
      <c r="O129"/>
      <c r="P129"/>
      <c r="Q129"/>
      <c r="R129"/>
      <c r="S129"/>
      <c r="U129"/>
      <c r="V129"/>
      <c r="W129"/>
      <c r="X129"/>
      <c r="Y129"/>
    </row>
    <row r="130" spans="1:25" s="6" customFormat="1" x14ac:dyDescent="0.25">
      <c r="A130"/>
      <c r="B130"/>
      <c r="C130"/>
      <c r="D130"/>
      <c r="E130"/>
      <c r="F130"/>
      <c r="G130"/>
      <c r="I130" s="18"/>
      <c r="J130" s="18">
        <f>Tabla351018263641424445464748441424344454646572[[#This Row],[COMISIONES]]*0.21</f>
        <v>0</v>
      </c>
      <c r="K130" s="18"/>
      <c r="L130" s="18"/>
      <c r="M130" s="18"/>
      <c r="O130"/>
      <c r="P130"/>
      <c r="Q130"/>
      <c r="R130"/>
      <c r="S130"/>
      <c r="U130"/>
      <c r="V130"/>
      <c r="W130"/>
      <c r="X130"/>
      <c r="Y130"/>
    </row>
    <row r="131" spans="1:25" s="6" customFormat="1" x14ac:dyDescent="0.25">
      <c r="A131"/>
      <c r="B131"/>
      <c r="C131"/>
      <c r="D131"/>
      <c r="E131"/>
      <c r="F131"/>
      <c r="G131"/>
      <c r="I131" s="4">
        <f>SUBTOTAL(109,Tabla351018263641424445464748441424344454646572[COMISIONES])</f>
        <v>69624.17</v>
      </c>
      <c r="J131" s="4">
        <f>SUBTOTAL(109,Tabla351018263641424445464748441424344454646572[IVA 21])</f>
        <v>14208.6</v>
      </c>
      <c r="K131" s="4">
        <f>SUBTOTAL(109,Tabla351018263641424445464748441424344454646572[IVA 10,5])</f>
        <v>206.23785000000001</v>
      </c>
      <c r="L131" s="4">
        <f>SUBTOTAL(109,Tabla351018263641424445464748441424344454646572[Ret IIBB Caba])</f>
        <v>3198</v>
      </c>
      <c r="M131" s="4">
        <f>SUBTOTAL(109,Tabla351018263641424445464748441424344454646572[PERC IVA])</f>
        <v>2029.8</v>
      </c>
      <c r="O131"/>
      <c r="P131"/>
      <c r="Q131"/>
      <c r="R131"/>
      <c r="S131"/>
      <c r="U131"/>
      <c r="V131"/>
      <c r="W131"/>
      <c r="X131"/>
      <c r="Y131"/>
    </row>
    <row r="132" spans="1:25" s="6" customFormat="1" x14ac:dyDescent="0.25">
      <c r="A132"/>
      <c r="B132"/>
      <c r="C132"/>
      <c r="D132"/>
      <c r="E132"/>
      <c r="F132"/>
      <c r="G132"/>
      <c r="I132"/>
      <c r="J132"/>
      <c r="K132"/>
      <c r="L132"/>
      <c r="M132"/>
      <c r="O132"/>
      <c r="P132"/>
      <c r="Q132"/>
      <c r="R132"/>
      <c r="S132"/>
      <c r="U132"/>
      <c r="V132"/>
      <c r="W132"/>
      <c r="X132"/>
      <c r="Y132"/>
    </row>
    <row r="133" spans="1:25" s="6" customFormat="1" x14ac:dyDescent="0.25">
      <c r="A133"/>
      <c r="B133"/>
      <c r="C133"/>
      <c r="D133"/>
      <c r="E133"/>
      <c r="F133"/>
      <c r="G133"/>
      <c r="I133"/>
      <c r="J133"/>
      <c r="K133"/>
      <c r="L133"/>
      <c r="M133"/>
      <c r="O133"/>
      <c r="P133"/>
      <c r="Q133"/>
      <c r="R133"/>
      <c r="S133"/>
      <c r="U133"/>
      <c r="V133"/>
      <c r="W133"/>
      <c r="X133"/>
      <c r="Y133"/>
    </row>
    <row r="134" spans="1:25" s="6" customFormat="1" x14ac:dyDescent="0.25">
      <c r="A134"/>
      <c r="B134"/>
      <c r="C134"/>
      <c r="D134"/>
      <c r="E134"/>
      <c r="F134"/>
      <c r="G134"/>
      <c r="I134"/>
      <c r="J134"/>
      <c r="K134"/>
      <c r="L134"/>
      <c r="M134"/>
      <c r="O134"/>
      <c r="P134"/>
      <c r="Q134"/>
      <c r="R134"/>
      <c r="S134"/>
      <c r="U134"/>
      <c r="V134"/>
      <c r="W134"/>
      <c r="X134"/>
      <c r="Y134"/>
    </row>
    <row r="135" spans="1:25" s="6" customFormat="1" x14ac:dyDescent="0.25">
      <c r="A135"/>
      <c r="B135"/>
      <c r="C135"/>
      <c r="D135"/>
      <c r="E135"/>
      <c r="F135"/>
      <c r="G135"/>
      <c r="I135"/>
      <c r="J135"/>
      <c r="K135"/>
      <c r="L135"/>
      <c r="M135"/>
      <c r="O135"/>
      <c r="P135"/>
      <c r="Q135"/>
      <c r="R135"/>
      <c r="S135"/>
      <c r="U135"/>
      <c r="V135"/>
      <c r="W135"/>
      <c r="X135"/>
      <c r="Y135"/>
    </row>
    <row r="136" spans="1:25" s="6" customFormat="1" x14ac:dyDescent="0.25">
      <c r="A136"/>
      <c r="B136"/>
      <c r="C136"/>
      <c r="D136"/>
      <c r="E136"/>
      <c r="F136"/>
      <c r="G136"/>
      <c r="I136"/>
      <c r="J136"/>
      <c r="K136"/>
      <c r="L136"/>
      <c r="M136"/>
      <c r="O136"/>
      <c r="P136"/>
      <c r="Q136"/>
      <c r="R136"/>
      <c r="S136"/>
      <c r="U136"/>
      <c r="V136"/>
      <c r="W136"/>
      <c r="X136"/>
      <c r="Y136"/>
    </row>
    <row r="137" spans="1:25" s="6" customFormat="1" x14ac:dyDescent="0.25">
      <c r="A137"/>
      <c r="B137"/>
      <c r="C137"/>
      <c r="D137"/>
      <c r="E137"/>
      <c r="F137"/>
      <c r="G137"/>
      <c r="I137"/>
      <c r="J137"/>
      <c r="K137"/>
      <c r="L137"/>
      <c r="M137"/>
      <c r="O137"/>
      <c r="P137"/>
      <c r="Q137"/>
      <c r="R137"/>
      <c r="S137"/>
      <c r="U137"/>
      <c r="V137"/>
      <c r="W137"/>
      <c r="X137"/>
      <c r="Y137"/>
    </row>
    <row r="138" spans="1:25" s="6" customFormat="1" x14ac:dyDescent="0.25">
      <c r="A138"/>
      <c r="B138"/>
      <c r="C138"/>
      <c r="D138"/>
      <c r="E138"/>
      <c r="F138"/>
      <c r="G138"/>
      <c r="I138"/>
      <c r="J138"/>
      <c r="K138"/>
      <c r="L138"/>
      <c r="M138"/>
      <c r="O138"/>
      <c r="P138"/>
      <c r="Q138"/>
      <c r="R138"/>
      <c r="S138"/>
      <c r="U138"/>
      <c r="V138"/>
      <c r="W138"/>
      <c r="X138"/>
      <c r="Y138"/>
    </row>
    <row r="139" spans="1:25" s="6" customFormat="1" x14ac:dyDescent="0.25">
      <c r="A139"/>
      <c r="B139"/>
      <c r="C139"/>
      <c r="D139"/>
      <c r="E139"/>
      <c r="F139"/>
      <c r="G139"/>
      <c r="I139"/>
      <c r="J139"/>
      <c r="K139"/>
      <c r="L139"/>
      <c r="M139"/>
      <c r="O139"/>
      <c r="P139"/>
      <c r="Q139"/>
      <c r="R139"/>
      <c r="S139"/>
      <c r="U139"/>
      <c r="V139"/>
      <c r="W139"/>
      <c r="X139"/>
      <c r="Y139"/>
    </row>
    <row r="140" spans="1:25" s="6" customFormat="1" x14ac:dyDescent="0.25">
      <c r="A140"/>
      <c r="B140"/>
      <c r="C140"/>
      <c r="D140"/>
      <c r="E140"/>
      <c r="F140"/>
      <c r="G140"/>
      <c r="I140"/>
      <c r="J140"/>
      <c r="K140"/>
      <c r="L140"/>
      <c r="M140"/>
      <c r="O140"/>
      <c r="P140"/>
      <c r="Q140"/>
      <c r="R140"/>
      <c r="S140"/>
      <c r="U140"/>
      <c r="V140"/>
      <c r="W140"/>
      <c r="X140"/>
      <c r="Y140"/>
    </row>
    <row r="141" spans="1:25" s="6" customFormat="1" x14ac:dyDescent="0.25">
      <c r="A141"/>
      <c r="B141"/>
      <c r="C141"/>
      <c r="D141"/>
      <c r="E141"/>
      <c r="F141"/>
      <c r="G141"/>
      <c r="I141"/>
      <c r="J141"/>
      <c r="K141"/>
      <c r="L141"/>
      <c r="M141"/>
      <c r="O141"/>
      <c r="P141"/>
      <c r="Q141"/>
      <c r="R141"/>
      <c r="S141"/>
      <c r="U141"/>
      <c r="V141"/>
      <c r="W141"/>
      <c r="X141"/>
      <c r="Y141"/>
    </row>
    <row r="142" spans="1:25" s="6" customFormat="1" x14ac:dyDescent="0.25">
      <c r="A142"/>
      <c r="B142"/>
      <c r="C142"/>
      <c r="D142"/>
      <c r="E142"/>
      <c r="F142"/>
      <c r="G142"/>
      <c r="I142"/>
      <c r="J142"/>
      <c r="K142"/>
      <c r="L142"/>
      <c r="M142"/>
      <c r="O142"/>
      <c r="P142"/>
      <c r="Q142"/>
      <c r="R142"/>
      <c r="S142"/>
      <c r="U142"/>
      <c r="V142"/>
      <c r="W142"/>
      <c r="X142"/>
      <c r="Y142"/>
    </row>
    <row r="143" spans="1:25" s="6" customFormat="1" x14ac:dyDescent="0.25">
      <c r="A143"/>
      <c r="B143"/>
      <c r="C143"/>
      <c r="D143"/>
      <c r="E143"/>
      <c r="F143"/>
      <c r="G143"/>
      <c r="I143"/>
      <c r="J143"/>
      <c r="K143"/>
      <c r="L143"/>
      <c r="M143"/>
      <c r="O143"/>
      <c r="P143"/>
      <c r="Q143"/>
      <c r="R143"/>
      <c r="S143"/>
      <c r="U143"/>
      <c r="V143"/>
      <c r="W143"/>
      <c r="X143"/>
      <c r="Y143"/>
    </row>
    <row r="144" spans="1:25" s="6" customFormat="1" x14ac:dyDescent="0.25">
      <c r="A144"/>
      <c r="B144"/>
      <c r="C144"/>
      <c r="D144"/>
      <c r="E144"/>
      <c r="F144"/>
      <c r="G144"/>
      <c r="I144"/>
      <c r="J144"/>
      <c r="K144"/>
      <c r="L144"/>
      <c r="M144"/>
      <c r="O144"/>
      <c r="P144"/>
      <c r="Q144"/>
      <c r="R144"/>
      <c r="S144"/>
      <c r="U144"/>
      <c r="V144"/>
      <c r="W144"/>
      <c r="X144"/>
      <c r="Y144"/>
    </row>
    <row r="145" spans="1:25" s="6" customFormat="1" x14ac:dyDescent="0.25">
      <c r="A145"/>
      <c r="B145"/>
      <c r="C145"/>
      <c r="D145"/>
      <c r="E145"/>
      <c r="F145"/>
      <c r="G145"/>
      <c r="I145"/>
      <c r="J145"/>
      <c r="K145"/>
      <c r="L145"/>
      <c r="M145"/>
      <c r="O145"/>
      <c r="P145"/>
      <c r="Q145"/>
      <c r="R145"/>
      <c r="S145"/>
      <c r="U145"/>
      <c r="V145"/>
      <c r="W145"/>
      <c r="X145"/>
      <c r="Y145"/>
    </row>
    <row r="146" spans="1:25" s="6" customFormat="1" x14ac:dyDescent="0.25">
      <c r="A146"/>
      <c r="B146"/>
      <c r="C146"/>
      <c r="D146"/>
      <c r="E146"/>
      <c r="F146"/>
      <c r="G146"/>
      <c r="I146"/>
      <c r="J146"/>
      <c r="K146"/>
      <c r="L146"/>
      <c r="M146"/>
      <c r="O146"/>
      <c r="P146"/>
      <c r="Q146"/>
      <c r="R146"/>
      <c r="S146"/>
      <c r="U146"/>
      <c r="V146"/>
      <c r="W146"/>
      <c r="X146"/>
      <c r="Y146"/>
    </row>
    <row r="147" spans="1:25" s="6" customFormat="1" x14ac:dyDescent="0.25">
      <c r="A147"/>
      <c r="B147"/>
      <c r="C147"/>
      <c r="D147"/>
      <c r="E147"/>
      <c r="F147"/>
      <c r="G147"/>
      <c r="I147"/>
      <c r="J147"/>
      <c r="K147"/>
      <c r="L147"/>
      <c r="M147"/>
      <c r="O147"/>
      <c r="P147"/>
      <c r="Q147"/>
      <c r="R147"/>
      <c r="S147"/>
      <c r="U147"/>
      <c r="V147"/>
      <c r="W147"/>
      <c r="X147"/>
      <c r="Y147"/>
    </row>
    <row r="148" spans="1:25" s="6" customFormat="1" x14ac:dyDescent="0.25">
      <c r="A148"/>
      <c r="B148"/>
      <c r="C148"/>
      <c r="D148"/>
      <c r="E148"/>
      <c r="F148"/>
      <c r="G148"/>
      <c r="I148"/>
      <c r="J148"/>
      <c r="K148"/>
      <c r="L148"/>
      <c r="M148"/>
      <c r="O148"/>
      <c r="P148"/>
      <c r="Q148"/>
      <c r="R148"/>
      <c r="S148"/>
      <c r="U148"/>
      <c r="V148"/>
      <c r="W148"/>
      <c r="X148"/>
      <c r="Y148"/>
    </row>
    <row r="149" spans="1:25" s="6" customFormat="1" x14ac:dyDescent="0.25">
      <c r="A149"/>
      <c r="B149"/>
      <c r="C149"/>
      <c r="D149"/>
      <c r="E149"/>
      <c r="F149"/>
      <c r="G149"/>
      <c r="I149"/>
      <c r="J149"/>
      <c r="K149"/>
      <c r="L149"/>
      <c r="M149"/>
      <c r="O149"/>
      <c r="P149"/>
      <c r="Q149"/>
      <c r="R149"/>
      <c r="S149"/>
      <c r="U149"/>
      <c r="V149"/>
      <c r="W149"/>
      <c r="X149"/>
      <c r="Y149"/>
    </row>
    <row r="150" spans="1:25" s="6" customFormat="1" x14ac:dyDescent="0.25">
      <c r="A150"/>
      <c r="B150"/>
      <c r="C150"/>
      <c r="D150"/>
      <c r="E150"/>
      <c r="F150"/>
      <c r="G150"/>
      <c r="I150"/>
      <c r="J150"/>
      <c r="K150"/>
      <c r="L150"/>
      <c r="M150"/>
      <c r="O150"/>
      <c r="P150"/>
      <c r="Q150"/>
      <c r="R150"/>
      <c r="S150"/>
      <c r="U150"/>
      <c r="V150"/>
      <c r="W150"/>
      <c r="X150"/>
      <c r="Y150"/>
    </row>
    <row r="151" spans="1:25" s="6" customFormat="1" x14ac:dyDescent="0.25">
      <c r="A151"/>
      <c r="B151"/>
      <c r="C151"/>
      <c r="D151"/>
      <c r="E151"/>
      <c r="F151"/>
      <c r="G151"/>
      <c r="I151"/>
      <c r="J151"/>
      <c r="K151"/>
      <c r="L151"/>
      <c r="M151"/>
      <c r="O151"/>
      <c r="P151"/>
      <c r="Q151"/>
      <c r="R151"/>
      <c r="S151"/>
      <c r="U151"/>
      <c r="V151"/>
      <c r="W151"/>
      <c r="X151"/>
      <c r="Y151"/>
    </row>
    <row r="152" spans="1:25" s="6" customFormat="1" x14ac:dyDescent="0.25">
      <c r="A152"/>
      <c r="B152"/>
      <c r="C152"/>
      <c r="D152"/>
      <c r="E152"/>
      <c r="F152"/>
      <c r="G152"/>
      <c r="I152"/>
      <c r="J152"/>
      <c r="K152"/>
      <c r="L152"/>
      <c r="M152"/>
      <c r="O152"/>
      <c r="P152"/>
      <c r="Q152"/>
      <c r="R152"/>
      <c r="S152"/>
      <c r="U152"/>
      <c r="V152"/>
      <c r="W152"/>
      <c r="X152"/>
      <c r="Y152"/>
    </row>
    <row r="153" spans="1:25" s="6" customFormat="1" x14ac:dyDescent="0.25">
      <c r="A153"/>
      <c r="B153"/>
      <c r="C153"/>
      <c r="D153"/>
      <c r="E153"/>
      <c r="F153"/>
      <c r="G153"/>
      <c r="I153"/>
      <c r="J153"/>
      <c r="K153"/>
      <c r="L153"/>
      <c r="M153"/>
      <c r="O153"/>
      <c r="P153"/>
      <c r="Q153"/>
      <c r="R153"/>
      <c r="S153"/>
      <c r="U153"/>
      <c r="V153"/>
      <c r="W153"/>
      <c r="X153"/>
      <c r="Y153"/>
    </row>
    <row r="154" spans="1:25" s="6" customFormat="1" x14ac:dyDescent="0.25">
      <c r="A154"/>
      <c r="B154"/>
      <c r="C154"/>
      <c r="D154"/>
      <c r="E154"/>
      <c r="F154"/>
      <c r="G154"/>
      <c r="I154"/>
      <c r="J154"/>
      <c r="K154"/>
      <c r="L154"/>
      <c r="M154"/>
      <c r="O154"/>
      <c r="P154"/>
      <c r="Q154"/>
      <c r="R154"/>
      <c r="S154"/>
      <c r="U154"/>
      <c r="V154"/>
      <c r="W154"/>
      <c r="X154"/>
      <c r="Y154"/>
    </row>
    <row r="155" spans="1:25" s="6" customFormat="1" x14ac:dyDescent="0.25">
      <c r="A155"/>
      <c r="B155"/>
      <c r="C155"/>
      <c r="D155"/>
      <c r="E155"/>
      <c r="F155"/>
      <c r="G155"/>
      <c r="I155"/>
      <c r="J155"/>
      <c r="K155"/>
      <c r="L155"/>
      <c r="M155"/>
      <c r="O155"/>
      <c r="P155"/>
      <c r="Q155"/>
      <c r="R155"/>
      <c r="S155"/>
      <c r="U155"/>
      <c r="V155"/>
      <c r="W155"/>
      <c r="X155"/>
      <c r="Y155"/>
    </row>
    <row r="156" spans="1:25" s="6" customFormat="1" x14ac:dyDescent="0.25">
      <c r="A156"/>
      <c r="B156"/>
      <c r="C156"/>
      <c r="D156"/>
      <c r="E156"/>
      <c r="F156"/>
      <c r="G156"/>
      <c r="I156"/>
      <c r="J156"/>
      <c r="K156"/>
      <c r="L156"/>
      <c r="M156"/>
      <c r="O156"/>
      <c r="P156"/>
      <c r="Q156"/>
      <c r="R156"/>
      <c r="S156"/>
      <c r="U156"/>
      <c r="V156"/>
      <c r="W156"/>
      <c r="X156"/>
      <c r="Y156"/>
    </row>
    <row r="157" spans="1:25" s="6" customFormat="1" x14ac:dyDescent="0.25">
      <c r="A157"/>
      <c r="B157"/>
      <c r="C157"/>
      <c r="D157"/>
      <c r="E157"/>
      <c r="F157"/>
      <c r="G157"/>
      <c r="I157"/>
      <c r="J157"/>
      <c r="K157"/>
      <c r="L157"/>
      <c r="M157"/>
      <c r="O157"/>
      <c r="P157"/>
      <c r="Q157"/>
      <c r="R157"/>
      <c r="S157"/>
      <c r="U157"/>
      <c r="V157"/>
      <c r="W157"/>
      <c r="X157"/>
      <c r="Y157"/>
    </row>
    <row r="158" spans="1:25" s="6" customFormat="1" x14ac:dyDescent="0.25">
      <c r="A158"/>
      <c r="B158"/>
      <c r="C158"/>
      <c r="D158"/>
      <c r="E158"/>
      <c r="F158"/>
      <c r="G158"/>
      <c r="I158"/>
      <c r="J158"/>
      <c r="K158"/>
      <c r="L158"/>
      <c r="M158"/>
      <c r="O158"/>
      <c r="P158"/>
      <c r="Q158"/>
      <c r="R158"/>
      <c r="S158"/>
      <c r="U158"/>
      <c r="V158"/>
      <c r="W158"/>
      <c r="X158"/>
      <c r="Y158"/>
    </row>
    <row r="159" spans="1:25" s="6" customFormat="1" x14ac:dyDescent="0.25">
      <c r="A159"/>
      <c r="B159"/>
      <c r="C159"/>
      <c r="D159"/>
      <c r="E159"/>
      <c r="F159"/>
      <c r="G159"/>
      <c r="I159"/>
      <c r="J159"/>
      <c r="K159"/>
      <c r="L159"/>
      <c r="M159"/>
      <c r="O159"/>
      <c r="P159"/>
      <c r="Q159"/>
      <c r="R159"/>
      <c r="S159"/>
      <c r="U159"/>
      <c r="V159"/>
      <c r="W159"/>
      <c r="X159"/>
      <c r="Y159"/>
    </row>
    <row r="160" spans="1:25" s="6" customFormat="1" x14ac:dyDescent="0.25">
      <c r="A160"/>
      <c r="B160"/>
      <c r="C160"/>
      <c r="D160"/>
      <c r="E160"/>
      <c r="F160"/>
      <c r="G160"/>
      <c r="I160"/>
      <c r="J160"/>
      <c r="K160"/>
      <c r="L160"/>
      <c r="M160"/>
      <c r="O160"/>
      <c r="P160"/>
      <c r="Q160"/>
      <c r="R160"/>
      <c r="S160"/>
      <c r="U160"/>
      <c r="V160"/>
      <c r="W160"/>
      <c r="X160"/>
      <c r="Y160"/>
    </row>
    <row r="161" spans="1:25" s="6" customFormat="1" x14ac:dyDescent="0.25">
      <c r="A161"/>
      <c r="B161"/>
      <c r="C161"/>
      <c r="D161"/>
      <c r="E161"/>
      <c r="F161"/>
      <c r="G161"/>
      <c r="I161"/>
      <c r="J161"/>
      <c r="K161"/>
      <c r="L161"/>
      <c r="M161"/>
      <c r="O161"/>
      <c r="P161"/>
      <c r="Q161"/>
      <c r="R161"/>
      <c r="S161"/>
      <c r="U161"/>
      <c r="V161"/>
      <c r="W161"/>
      <c r="X161"/>
      <c r="Y161"/>
    </row>
    <row r="162" spans="1:25" s="6" customFormat="1" x14ac:dyDescent="0.25">
      <c r="A162"/>
      <c r="B162"/>
      <c r="C162"/>
      <c r="D162"/>
      <c r="E162"/>
      <c r="F162"/>
      <c r="G162"/>
      <c r="I162"/>
      <c r="J162"/>
      <c r="K162"/>
      <c r="L162"/>
      <c r="M162"/>
      <c r="O162"/>
      <c r="P162"/>
      <c r="Q162"/>
      <c r="R162"/>
      <c r="S162"/>
      <c r="U162"/>
      <c r="V162"/>
      <c r="W162"/>
      <c r="X162"/>
      <c r="Y162"/>
    </row>
    <row r="163" spans="1:25" s="6" customFormat="1" x14ac:dyDescent="0.25">
      <c r="A163"/>
      <c r="B163"/>
      <c r="C163"/>
      <c r="D163"/>
      <c r="E163"/>
      <c r="F163"/>
      <c r="G163"/>
      <c r="I163"/>
      <c r="J163"/>
      <c r="K163"/>
      <c r="L163"/>
      <c r="M163"/>
      <c r="O163"/>
      <c r="P163"/>
      <c r="Q163"/>
      <c r="R163"/>
      <c r="S163"/>
      <c r="U163"/>
      <c r="V163"/>
      <c r="W163"/>
      <c r="X163"/>
      <c r="Y163"/>
    </row>
    <row r="164" spans="1:25" s="6" customFormat="1" x14ac:dyDescent="0.25">
      <c r="A164"/>
      <c r="B164"/>
      <c r="C164"/>
      <c r="D164"/>
      <c r="E164"/>
      <c r="F164"/>
      <c r="G164"/>
      <c r="I164"/>
      <c r="J164"/>
      <c r="K164"/>
      <c r="L164"/>
      <c r="M164"/>
      <c r="O164"/>
      <c r="P164"/>
      <c r="Q164"/>
      <c r="R164"/>
      <c r="S164"/>
      <c r="U164"/>
      <c r="V164"/>
      <c r="W164"/>
      <c r="X164"/>
      <c r="Y164"/>
    </row>
    <row r="165" spans="1:25" s="6" customFormat="1" x14ac:dyDescent="0.25">
      <c r="A165"/>
      <c r="B165"/>
      <c r="C165"/>
      <c r="D165"/>
      <c r="E165"/>
      <c r="F165"/>
      <c r="G165"/>
      <c r="I165"/>
      <c r="J165"/>
      <c r="K165"/>
      <c r="L165"/>
      <c r="M165"/>
      <c r="O165"/>
      <c r="P165"/>
      <c r="Q165"/>
      <c r="R165"/>
      <c r="S165"/>
      <c r="U165"/>
      <c r="V165"/>
      <c r="W165"/>
      <c r="X165"/>
      <c r="Y165"/>
    </row>
    <row r="237" spans="1:31" s="6" customFormat="1" x14ac:dyDescent="0.25">
      <c r="A237"/>
      <c r="B237"/>
      <c r="C237"/>
      <c r="D237"/>
      <c r="E237"/>
      <c r="F237"/>
      <c r="G237"/>
      <c r="I237"/>
      <c r="J237"/>
      <c r="K237"/>
      <c r="L237"/>
      <c r="M237"/>
      <c r="O237"/>
      <c r="P237"/>
      <c r="Q237"/>
      <c r="R237"/>
      <c r="S237"/>
      <c r="U237"/>
      <c r="V237"/>
      <c r="W237"/>
      <c r="X237"/>
      <c r="Y237"/>
      <c r="AA237"/>
      <c r="AB237"/>
      <c r="AC237"/>
      <c r="AD237"/>
      <c r="AE237"/>
    </row>
    <row r="238" spans="1:31" s="6" customFormat="1" x14ac:dyDescent="0.25">
      <c r="A238"/>
      <c r="B238"/>
      <c r="C238"/>
      <c r="D238"/>
      <c r="E238"/>
      <c r="F238"/>
      <c r="G238"/>
      <c r="I238"/>
      <c r="J238"/>
      <c r="K238"/>
      <c r="L238"/>
      <c r="M238"/>
      <c r="O238"/>
      <c r="P238"/>
      <c r="Q238"/>
      <c r="R238"/>
      <c r="S238"/>
      <c r="U238"/>
      <c r="V238"/>
      <c r="W238"/>
      <c r="X238"/>
      <c r="Y238"/>
      <c r="AA238"/>
      <c r="AB238"/>
      <c r="AC238"/>
      <c r="AD238"/>
      <c r="AE238"/>
    </row>
    <row r="239" spans="1:31" s="6" customFormat="1" x14ac:dyDescent="0.25">
      <c r="A239"/>
      <c r="B239"/>
      <c r="C239"/>
      <c r="D239"/>
      <c r="E239"/>
      <c r="F239"/>
      <c r="G239"/>
      <c r="I239"/>
      <c r="J239"/>
      <c r="K239"/>
      <c r="L239"/>
      <c r="M239"/>
      <c r="O239"/>
      <c r="P239"/>
      <c r="Q239"/>
      <c r="R239"/>
      <c r="S239"/>
      <c r="U239"/>
      <c r="V239"/>
      <c r="W239"/>
      <c r="X239"/>
      <c r="Y239"/>
      <c r="AA239"/>
      <c r="AB239"/>
      <c r="AC239"/>
      <c r="AD239"/>
      <c r="AE239"/>
    </row>
    <row r="240" spans="1:31" s="6" customFormat="1" x14ac:dyDescent="0.25">
      <c r="A240"/>
      <c r="B240"/>
      <c r="C240"/>
      <c r="D240"/>
      <c r="E240"/>
      <c r="F240"/>
      <c r="G240"/>
      <c r="I240"/>
      <c r="J240"/>
      <c r="K240"/>
      <c r="L240"/>
      <c r="M240"/>
      <c r="O240"/>
      <c r="P240"/>
      <c r="Q240"/>
      <c r="R240"/>
      <c r="S240"/>
      <c r="U240"/>
      <c r="V240"/>
      <c r="W240"/>
      <c r="X240"/>
      <c r="Y240"/>
      <c r="AA240"/>
      <c r="AB240"/>
      <c r="AC240"/>
      <c r="AD240"/>
      <c r="AE240"/>
    </row>
    <row r="241" spans="1:31" s="6" customFormat="1" x14ac:dyDescent="0.25">
      <c r="A241"/>
      <c r="B241"/>
      <c r="C241"/>
      <c r="D241"/>
      <c r="E241"/>
      <c r="F241"/>
      <c r="G241"/>
      <c r="I241"/>
      <c r="J241"/>
      <c r="K241"/>
      <c r="L241"/>
      <c r="M241"/>
      <c r="O241"/>
      <c r="P241"/>
      <c r="Q241"/>
      <c r="R241"/>
      <c r="S241"/>
      <c r="U241"/>
      <c r="V241"/>
      <c r="W241"/>
      <c r="X241"/>
      <c r="Y241"/>
      <c r="AA241"/>
      <c r="AB241"/>
      <c r="AC241"/>
      <c r="AD241"/>
      <c r="AE241"/>
    </row>
    <row r="242" spans="1:31" s="6" customFormat="1" x14ac:dyDescent="0.25">
      <c r="A242"/>
      <c r="B242"/>
      <c r="C242"/>
      <c r="D242"/>
      <c r="E242"/>
      <c r="F242"/>
      <c r="G242"/>
      <c r="I242"/>
      <c r="J242"/>
      <c r="K242"/>
      <c r="L242"/>
      <c r="M242"/>
      <c r="O242"/>
      <c r="P242"/>
      <c r="Q242"/>
      <c r="R242"/>
      <c r="S242"/>
      <c r="U242"/>
      <c r="V242"/>
      <c r="W242"/>
      <c r="X242"/>
      <c r="Y242"/>
      <c r="AA242"/>
      <c r="AB242"/>
      <c r="AC242"/>
      <c r="AD242"/>
      <c r="AE242"/>
    </row>
    <row r="243" spans="1:31" s="6" customFormat="1" x14ac:dyDescent="0.25">
      <c r="A243"/>
      <c r="B243"/>
      <c r="C243"/>
      <c r="D243"/>
      <c r="E243"/>
      <c r="F243"/>
      <c r="G243"/>
      <c r="I243"/>
      <c r="J243"/>
      <c r="K243"/>
      <c r="L243"/>
      <c r="M243"/>
      <c r="O243"/>
      <c r="P243"/>
      <c r="Q243"/>
      <c r="R243"/>
      <c r="S243"/>
      <c r="U243"/>
      <c r="V243"/>
      <c r="W243"/>
      <c r="X243"/>
      <c r="Y243"/>
      <c r="AA243"/>
      <c r="AB243"/>
      <c r="AC243"/>
      <c r="AD243"/>
      <c r="AE243"/>
    </row>
    <row r="244" spans="1:31" s="6" customFormat="1" x14ac:dyDescent="0.25">
      <c r="A244"/>
      <c r="B244"/>
      <c r="C244"/>
      <c r="D244"/>
      <c r="E244"/>
      <c r="F244"/>
      <c r="G244"/>
      <c r="I244"/>
      <c r="J244"/>
      <c r="K244"/>
      <c r="L244"/>
      <c r="M244"/>
      <c r="O244"/>
      <c r="P244"/>
      <c r="Q244"/>
      <c r="R244"/>
      <c r="S244"/>
      <c r="U244"/>
      <c r="V244"/>
      <c r="W244"/>
      <c r="X244"/>
      <c r="Y244"/>
      <c r="AA244"/>
      <c r="AB244"/>
      <c r="AC244"/>
      <c r="AD244"/>
      <c r="AE244"/>
    </row>
    <row r="245" spans="1:31" s="6" customFormat="1" x14ac:dyDescent="0.25">
      <c r="A245"/>
      <c r="B245"/>
      <c r="C245"/>
      <c r="D245"/>
      <c r="E245"/>
      <c r="F245"/>
      <c r="G245"/>
      <c r="I245"/>
      <c r="J245"/>
      <c r="K245"/>
      <c r="L245"/>
      <c r="M245"/>
      <c r="O245"/>
      <c r="P245"/>
      <c r="Q245"/>
      <c r="R245"/>
      <c r="S245"/>
      <c r="U245"/>
      <c r="V245"/>
      <c r="W245"/>
      <c r="X245"/>
      <c r="Y245"/>
      <c r="AA245"/>
      <c r="AB245"/>
      <c r="AC245"/>
      <c r="AD245"/>
      <c r="AE245"/>
    </row>
    <row r="246" spans="1:31" s="6" customFormat="1" x14ac:dyDescent="0.25">
      <c r="A246"/>
      <c r="B246"/>
      <c r="C246"/>
      <c r="D246"/>
      <c r="E246"/>
      <c r="F246"/>
      <c r="G246"/>
      <c r="I246"/>
      <c r="J246"/>
      <c r="K246"/>
      <c r="L246"/>
      <c r="M246"/>
      <c r="O246"/>
      <c r="P246"/>
      <c r="Q246"/>
      <c r="R246"/>
      <c r="S246"/>
      <c r="U246"/>
      <c r="V246"/>
      <c r="W246"/>
      <c r="X246"/>
      <c r="Y246"/>
      <c r="AA246"/>
      <c r="AB246"/>
      <c r="AC246"/>
      <c r="AD246"/>
      <c r="AE246"/>
    </row>
    <row r="247" spans="1:31" s="6" customFormat="1" x14ac:dyDescent="0.25">
      <c r="A247"/>
      <c r="B247"/>
      <c r="C247"/>
      <c r="D247"/>
      <c r="E247"/>
      <c r="F247"/>
      <c r="G247"/>
      <c r="I247"/>
      <c r="J247"/>
      <c r="K247"/>
      <c r="L247"/>
      <c r="M247"/>
      <c r="O247"/>
      <c r="P247"/>
      <c r="Q247"/>
      <c r="R247"/>
      <c r="S247"/>
      <c r="U247"/>
      <c r="V247"/>
      <c r="W247"/>
      <c r="X247"/>
      <c r="Y247"/>
      <c r="AA247"/>
      <c r="AB247"/>
      <c r="AC247"/>
      <c r="AD247"/>
      <c r="AE247"/>
    </row>
    <row r="248" spans="1:31" s="6" customFormat="1" x14ac:dyDescent="0.25">
      <c r="A248"/>
      <c r="B248"/>
      <c r="C248"/>
      <c r="D248"/>
      <c r="E248"/>
      <c r="F248"/>
      <c r="G248"/>
      <c r="I248"/>
      <c r="J248"/>
      <c r="K248"/>
      <c r="L248"/>
      <c r="M248"/>
      <c r="O248"/>
      <c r="P248"/>
      <c r="Q248"/>
      <c r="R248"/>
      <c r="S248"/>
      <c r="U248"/>
      <c r="V248"/>
      <c r="W248"/>
      <c r="X248"/>
      <c r="Y248"/>
      <c r="AA248"/>
      <c r="AB248"/>
      <c r="AC248"/>
      <c r="AD248"/>
      <c r="AE248"/>
    </row>
    <row r="249" spans="1:31" s="6" customFormat="1" x14ac:dyDescent="0.25">
      <c r="A249"/>
      <c r="B249"/>
      <c r="C249"/>
      <c r="D249"/>
      <c r="E249"/>
      <c r="F249"/>
      <c r="G249"/>
      <c r="I249"/>
      <c r="J249"/>
      <c r="K249"/>
      <c r="L249"/>
      <c r="M249"/>
      <c r="O249"/>
      <c r="P249"/>
      <c r="Q249"/>
      <c r="R249"/>
      <c r="S249"/>
      <c r="U249"/>
      <c r="V249"/>
      <c r="W249"/>
      <c r="X249"/>
      <c r="Y249"/>
      <c r="AA249"/>
      <c r="AB249"/>
      <c r="AC249"/>
      <c r="AD249"/>
      <c r="AE249"/>
    </row>
  </sheetData>
  <mergeCells count="5">
    <mergeCell ref="B10:F10"/>
    <mergeCell ref="I10:M10"/>
    <mergeCell ref="O10:S10"/>
    <mergeCell ref="U10:Y10"/>
    <mergeCell ref="AA10:AE10"/>
  </mergeCells>
  <pageMargins left="0.7" right="0.7" top="0.75" bottom="0.75" header="0.3" footer="0.3"/>
  <pageSetup paperSize="9" orientation="portrait" horizontalDpi="300" r:id="rId1"/>
  <drawing r:id="rId2"/>
  <tableParts count="5"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FEC02-43B2-4636-950C-3B8389143591}">
  <dimension ref="A1:AE249"/>
  <sheetViews>
    <sheetView showGridLines="0" zoomScale="115" zoomScaleNormal="115" workbookViewId="0">
      <selection activeCell="G13" sqref="G13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4" bestFit="1" customWidth="1"/>
    <col min="4" max="4" width="12.140625" bestFit="1" customWidth="1"/>
    <col min="5" max="5" width="11.5703125" customWidth="1"/>
    <col min="6" max="6" width="13" bestFit="1" customWidth="1"/>
    <col min="7" max="7" width="13" customWidth="1"/>
    <col min="8" max="8" width="2.5703125" style="6" customWidth="1"/>
    <col min="9" max="9" width="12.7109375" customWidth="1"/>
    <col min="12" max="12" width="12.85546875" customWidth="1"/>
    <col min="14" max="14" width="2.5703125" style="6" customWidth="1"/>
    <col min="15" max="15" width="15.42578125" bestFit="1" customWidth="1"/>
    <col min="16" max="16" width="12.28515625" bestFit="1" customWidth="1"/>
    <col min="18" max="18" width="15.7109375" bestFit="1" customWidth="1"/>
    <col min="20" max="20" width="2.85546875" style="6" customWidth="1"/>
    <col min="26" max="26" width="3.140625" style="6" customWidth="1"/>
    <col min="27" max="27" width="13.85546875" customWidth="1"/>
    <col min="30" max="30" width="14" customWidth="1"/>
  </cols>
  <sheetData>
    <row r="1" spans="1:31" x14ac:dyDescent="0.25">
      <c r="H1"/>
      <c r="N1"/>
      <c r="T1" s="50"/>
      <c r="Z1" s="50"/>
    </row>
    <row r="2" spans="1:31" x14ac:dyDescent="0.25">
      <c r="C2" s="15" t="s">
        <v>2</v>
      </c>
      <c r="D2" s="16" t="s">
        <v>0</v>
      </c>
      <c r="E2" s="16" t="s">
        <v>1</v>
      </c>
      <c r="F2" s="16" t="s">
        <v>3</v>
      </c>
      <c r="G2" s="37" t="s">
        <v>20</v>
      </c>
      <c r="H2"/>
      <c r="N2"/>
      <c r="T2" s="50"/>
      <c r="Z2" s="50"/>
    </row>
    <row r="3" spans="1:31" x14ac:dyDescent="0.25">
      <c r="B3" s="25" t="str">
        <f>+B10</f>
        <v>EXTRACTO BBVA</v>
      </c>
      <c r="C3" s="14">
        <v>132787.09523809524</v>
      </c>
      <c r="D3" s="14">
        <v>27885.29</v>
      </c>
      <c r="E3" s="14">
        <v>0</v>
      </c>
      <c r="F3" s="14">
        <v>3993.12</v>
      </c>
      <c r="G3" s="38">
        <v>3893.31</v>
      </c>
      <c r="H3"/>
      <c r="I3" t="s">
        <v>5</v>
      </c>
      <c r="N3"/>
      <c r="T3" s="50"/>
      <c r="Z3" s="50"/>
    </row>
    <row r="4" spans="1:31" x14ac:dyDescent="0.25">
      <c r="B4" s="25" t="str">
        <f>+I10</f>
        <v>Extracto santander</v>
      </c>
      <c r="C4" s="14">
        <v>67971.03</v>
      </c>
      <c r="D4" s="14">
        <v>14245.35</v>
      </c>
      <c r="E4" s="14">
        <v>14.283149999999999</v>
      </c>
      <c r="F4" s="14">
        <v>2035.05</v>
      </c>
      <c r="G4" s="14">
        <v>2035.05</v>
      </c>
      <c r="H4"/>
      <c r="N4"/>
      <c r="T4" s="50"/>
      <c r="Z4" s="50"/>
    </row>
    <row r="5" spans="1:31" x14ac:dyDescent="0.25">
      <c r="B5" s="25" t="s">
        <v>24</v>
      </c>
      <c r="C5" s="14">
        <v>7128.1</v>
      </c>
      <c r="D5" s="14">
        <v>1496.9010000000001</v>
      </c>
      <c r="E5" s="14">
        <v>0</v>
      </c>
      <c r="F5" s="14">
        <v>827.04</v>
      </c>
      <c r="G5" s="14">
        <v>213.84</v>
      </c>
      <c r="H5"/>
      <c r="N5"/>
      <c r="T5" s="50"/>
      <c r="Z5" s="50"/>
    </row>
    <row r="6" spans="1:31" x14ac:dyDescent="0.25">
      <c r="B6" s="28" t="s">
        <v>22</v>
      </c>
      <c r="C6" s="14">
        <v>66024.428571428565</v>
      </c>
      <c r="D6" s="14">
        <v>13865.130000000001</v>
      </c>
      <c r="E6" s="14">
        <v>0</v>
      </c>
      <c r="F6" s="14">
        <v>2311.4700000000003</v>
      </c>
      <c r="G6" s="38">
        <v>1980.73</v>
      </c>
      <c r="H6"/>
      <c r="N6"/>
      <c r="T6" s="50"/>
      <c r="Z6" s="50"/>
    </row>
    <row r="7" spans="1:31" x14ac:dyDescent="0.25">
      <c r="B7" s="28" t="s">
        <v>13</v>
      </c>
      <c r="C7" s="14">
        <v>4958.67</v>
      </c>
      <c r="D7" s="14">
        <v>1041.3207</v>
      </c>
      <c r="E7" s="14">
        <v>0</v>
      </c>
      <c r="F7" s="14">
        <v>0</v>
      </c>
      <c r="G7" s="38">
        <v>148.76</v>
      </c>
      <c r="H7"/>
      <c r="N7"/>
      <c r="T7" s="50"/>
      <c r="Z7" s="50"/>
    </row>
    <row r="8" spans="1:31" x14ac:dyDescent="0.25">
      <c r="A8" s="26"/>
      <c r="B8" s="26"/>
      <c r="C8" s="27">
        <f>SUM(C3:C7)</f>
        <v>278869.32380952378</v>
      </c>
      <c r="D8" s="27">
        <f>SUM(D3:D7)</f>
        <v>58533.991699999999</v>
      </c>
      <c r="E8" s="27">
        <f>SUM(E3:E7)</f>
        <v>14.283149999999999</v>
      </c>
      <c r="F8" s="27">
        <f>SUM(F3:F7)</f>
        <v>9166.68</v>
      </c>
      <c r="G8" s="27">
        <f>SUM(G3:G7)</f>
        <v>8271.69</v>
      </c>
      <c r="H8"/>
      <c r="N8"/>
      <c r="T8" s="50"/>
      <c r="Z8" s="50"/>
    </row>
    <row r="9" spans="1:31" x14ac:dyDescent="0.25">
      <c r="A9" s="26"/>
      <c r="B9" s="26"/>
      <c r="H9"/>
      <c r="N9"/>
      <c r="T9" s="50"/>
      <c r="Z9" s="50"/>
    </row>
    <row r="10" spans="1:31" ht="16.5" customHeight="1" x14ac:dyDescent="0.3">
      <c r="B10" s="52" t="s">
        <v>14</v>
      </c>
      <c r="C10" s="52"/>
      <c r="D10" s="52"/>
      <c r="E10" s="52"/>
      <c r="F10" s="52"/>
      <c r="G10" s="39"/>
      <c r="I10" s="52" t="s">
        <v>23</v>
      </c>
      <c r="J10" s="52"/>
      <c r="K10" s="52"/>
      <c r="L10" s="52"/>
      <c r="M10" s="52"/>
      <c r="O10" s="52" t="s">
        <v>21</v>
      </c>
      <c r="P10" s="52"/>
      <c r="Q10" s="52"/>
      <c r="R10" s="52"/>
      <c r="S10" s="52"/>
      <c r="T10" s="43"/>
      <c r="U10" s="52" t="s">
        <v>24</v>
      </c>
      <c r="V10" s="52"/>
      <c r="W10" s="52"/>
      <c r="X10" s="52"/>
      <c r="Y10" s="52"/>
      <c r="AA10" s="52" t="s">
        <v>13</v>
      </c>
      <c r="AB10" s="52"/>
      <c r="AC10" s="52"/>
      <c r="AD10" s="52"/>
      <c r="AE10" s="52"/>
    </row>
    <row r="11" spans="1:31" s="5" customFormat="1" x14ac:dyDescent="0.25">
      <c r="B11" s="10" t="s">
        <v>2</v>
      </c>
      <c r="C11" s="9" t="s">
        <v>0</v>
      </c>
      <c r="D11" s="9" t="s">
        <v>1</v>
      </c>
      <c r="E11" s="9" t="s">
        <v>3</v>
      </c>
      <c r="F11" s="9" t="s">
        <v>4</v>
      </c>
      <c r="G11" s="9"/>
      <c r="H11" s="7"/>
      <c r="I11" s="12" t="s">
        <v>2</v>
      </c>
      <c r="J11" s="13" t="s">
        <v>0</v>
      </c>
      <c r="K11" s="13" t="s">
        <v>1</v>
      </c>
      <c r="L11" s="13" t="s">
        <v>3</v>
      </c>
      <c r="M11" s="13" t="s">
        <v>4</v>
      </c>
      <c r="N11" s="7"/>
      <c r="O11" s="12" t="s">
        <v>2</v>
      </c>
      <c r="P11" s="13" t="s">
        <v>0</v>
      </c>
      <c r="Q11" s="13" t="s">
        <v>1</v>
      </c>
      <c r="R11" s="13" t="s">
        <v>3</v>
      </c>
      <c r="S11" s="13" t="s">
        <v>4</v>
      </c>
      <c r="T11" s="44"/>
      <c r="U11" s="12" t="s">
        <v>2</v>
      </c>
      <c r="V11" s="13" t="s">
        <v>0</v>
      </c>
      <c r="W11" s="13" t="s">
        <v>1</v>
      </c>
      <c r="X11" s="13" t="s">
        <v>3</v>
      </c>
      <c r="Y11" s="13" t="s">
        <v>4</v>
      </c>
      <c r="Z11" s="51"/>
      <c r="AA11" s="5" t="s">
        <v>2</v>
      </c>
      <c r="AB11" s="5" t="s">
        <v>0</v>
      </c>
      <c r="AC11" s="5" t="s">
        <v>1</v>
      </c>
      <c r="AD11" s="5" t="s">
        <v>3</v>
      </c>
      <c r="AE11" s="5" t="s">
        <v>4</v>
      </c>
    </row>
    <row r="12" spans="1:31" x14ac:dyDescent="0.25">
      <c r="B12" s="2">
        <v>10</v>
      </c>
      <c r="C12" s="2">
        <f>Tabla131624322122233526272822122232425262637077[[#This Row],[COMISIONES]]*0.21</f>
        <v>2.1</v>
      </c>
      <c r="D12" s="3"/>
      <c r="E12" s="3">
        <v>199.62</v>
      </c>
      <c r="F12" s="1">
        <v>99.81</v>
      </c>
      <c r="G12" s="1"/>
      <c r="H12" s="8"/>
      <c r="I12" s="3">
        <v>136.03</v>
      </c>
      <c r="J12" s="11" t="s">
        <v>18</v>
      </c>
      <c r="K12" s="11">
        <f>Tabla35101826364142444546474844142434445464657278[[#This Row],[COMISIONES]]*0.105</f>
        <v>14.283149999999999</v>
      </c>
      <c r="L12" s="1">
        <v>1599</v>
      </c>
      <c r="M12">
        <v>1599</v>
      </c>
      <c r="N12" s="8"/>
      <c r="O12" s="3">
        <v>55000</v>
      </c>
      <c r="P12" s="11">
        <f>Tabla356813142230408182848586878888182838485868667379[[#This Row],[COMISIONES]]*0.21</f>
        <v>11550</v>
      </c>
      <c r="Q12" s="11"/>
      <c r="R12" s="1">
        <v>1650</v>
      </c>
      <c r="S12" s="11">
        <v>1650</v>
      </c>
      <c r="T12" s="45"/>
      <c r="U12" s="11">
        <v>7128.1</v>
      </c>
      <c r="V12" s="11">
        <f>Tabla3561119273443112131516171819111213141516171677580[[#This Row],[COMISIONES]]*0.21</f>
        <v>1496.9010000000001</v>
      </c>
      <c r="W12" s="11"/>
      <c r="X12" s="11">
        <v>827.04</v>
      </c>
      <c r="Y12" s="11">
        <v>213.84</v>
      </c>
      <c r="AA12" s="3">
        <v>4958.67</v>
      </c>
      <c r="AB12" s="3">
        <f>Tabla73697681[[#This Row],[COMISIONES]]*0.21</f>
        <v>1041.3207</v>
      </c>
      <c r="AC12" s="3"/>
      <c r="AD12" s="3"/>
      <c r="AE12" s="3">
        <v>148.76</v>
      </c>
    </row>
    <row r="13" spans="1:31" x14ac:dyDescent="0.25">
      <c r="B13" s="3">
        <f>Tabla131624322122233526272822122232425262637077[[#This Row],[IVA 21]]*100/21</f>
        <v>3327.0952380952381</v>
      </c>
      <c r="C13" s="2">
        <v>698.69</v>
      </c>
      <c r="D13" s="3"/>
      <c r="E13" s="3">
        <v>1770</v>
      </c>
      <c r="F13" s="3">
        <v>1770</v>
      </c>
      <c r="G13" s="3"/>
      <c r="H13" s="8"/>
      <c r="I13" s="11">
        <v>53300</v>
      </c>
      <c r="J13" s="11">
        <f>Tabla35101826364142444546474844142434445464657278[[#This Row],[COMISIONES]]*0.21</f>
        <v>11193</v>
      </c>
      <c r="K13" s="11"/>
      <c r="L13" s="1">
        <v>436.05</v>
      </c>
      <c r="M13">
        <v>436.05</v>
      </c>
      <c r="N13" s="8"/>
      <c r="O13" s="11">
        <f>Tabla356813142230408182848586878888182838485868667379[[#This Row],[IVA 21]]*100/21</f>
        <v>11024.428571428571</v>
      </c>
      <c r="P13" s="11">
        <v>2315.13</v>
      </c>
      <c r="Q13" s="11"/>
      <c r="R13" s="11">
        <v>661.47</v>
      </c>
      <c r="S13" s="11">
        <v>330.73</v>
      </c>
      <c r="T13" s="45"/>
      <c r="U13" s="11"/>
      <c r="V13" s="11">
        <f>Tabla3561119273443112131516171819111213141516171677580[[#This Row],[COMISIONES]]*0.21</f>
        <v>0</v>
      </c>
      <c r="W13" s="11"/>
      <c r="X13" s="11"/>
      <c r="Y13" s="11"/>
      <c r="AA13" s="3"/>
      <c r="AB13" s="3">
        <f>Tabla73697681[[#This Row],[COMISIONES]]*0.21</f>
        <v>0</v>
      </c>
      <c r="AC13" s="3"/>
      <c r="AD13" s="3"/>
      <c r="AE13" s="3"/>
    </row>
    <row r="14" spans="1:31" x14ac:dyDescent="0.25">
      <c r="B14" s="3">
        <v>59000</v>
      </c>
      <c r="C14" s="2">
        <f>Tabla131624322122233526272822122232425262637077[[#This Row],[COMISIONES]]*0.21</f>
        <v>12390</v>
      </c>
      <c r="D14" s="3"/>
      <c r="E14" s="3">
        <v>2023.5</v>
      </c>
      <c r="F14" s="3">
        <v>2023.5</v>
      </c>
      <c r="G14" s="3"/>
      <c r="I14" s="1">
        <v>14535</v>
      </c>
      <c r="J14" s="11">
        <f>Tabla35101826364142444546474844142434445464657278[[#This Row],[COMISIONES]]*0.21</f>
        <v>3052.35</v>
      </c>
      <c r="K14" s="11"/>
      <c r="L14" s="11"/>
      <c r="M14" s="23"/>
      <c r="O14" s="11"/>
      <c r="P14" s="11">
        <f>Tabla356813142230408182848586878888182838485868667379[[#This Row],[COMISIONES]]*0.21</f>
        <v>0</v>
      </c>
      <c r="Q14" s="11"/>
      <c r="R14" s="11"/>
      <c r="S14" s="11"/>
      <c r="T14" s="45"/>
      <c r="U14" s="11"/>
      <c r="V14" s="11">
        <f>Tabla3561119273443112131516171819111213141516171677580[[#This Row],[COMISIONES]]*0.21</f>
        <v>0</v>
      </c>
      <c r="W14" s="11"/>
      <c r="X14" s="11"/>
      <c r="Y14" s="11"/>
      <c r="AA14" s="3"/>
      <c r="AB14" s="3">
        <f>Tabla73697681[[#This Row],[COMISIONES]]*0.21</f>
        <v>0</v>
      </c>
      <c r="AC14" s="3"/>
      <c r="AD14" s="3"/>
      <c r="AE14" s="3"/>
    </row>
    <row r="15" spans="1:31" x14ac:dyDescent="0.25">
      <c r="B15" s="3">
        <v>67450</v>
      </c>
      <c r="C15" s="2">
        <f>Tabla131624322122233526272822122232425262637077[[#This Row],[COMISIONES]]*0.21</f>
        <v>14164.5</v>
      </c>
      <c r="D15" s="3"/>
      <c r="E15" s="3"/>
      <c r="F15" s="3"/>
      <c r="G15" s="3"/>
      <c r="H15" s="8"/>
      <c r="I15" s="1"/>
      <c r="J15" s="11">
        <f>Tabla35101826364142444546474844142434445464657278[[#This Row],[COMISIONES]]*0.21</f>
        <v>0</v>
      </c>
      <c r="K15" s="11"/>
      <c r="L15" s="11"/>
      <c r="M15" s="23"/>
      <c r="N15" s="8"/>
      <c r="O15" s="11"/>
      <c r="P15" s="11">
        <f>Tabla356813142230408182848586878888182838485868667379[[#This Row],[COMISIONES]]*0.21</f>
        <v>0</v>
      </c>
      <c r="Q15" s="11"/>
      <c r="R15" s="11"/>
      <c r="S15" s="11"/>
      <c r="T15" s="45"/>
      <c r="U15" s="11"/>
      <c r="V15" s="11">
        <f>Tabla3561119273443112131516171819111213141516171677580[[#This Row],[COMISIONES]]*0.21</f>
        <v>0</v>
      </c>
      <c r="W15" s="11"/>
      <c r="X15" s="11"/>
      <c r="Y15" s="11"/>
      <c r="AA15" s="3"/>
      <c r="AB15" s="3">
        <f>Tabla73697681[[#This Row],[COMISIONES]]*0.21</f>
        <v>0</v>
      </c>
      <c r="AC15" s="3"/>
      <c r="AD15" s="3"/>
      <c r="AE15" s="3"/>
    </row>
    <row r="16" spans="1:31" x14ac:dyDescent="0.25">
      <c r="B16" s="3">
        <v>300</v>
      </c>
      <c r="C16" s="2">
        <f>Tabla131624322122233526272822122232425262637077[[#This Row],[COMISIONES]]*0.21</f>
        <v>63</v>
      </c>
      <c r="D16" s="3"/>
      <c r="E16" s="3"/>
      <c r="F16" s="3"/>
      <c r="G16" s="3"/>
      <c r="I16" s="1"/>
      <c r="J16" s="11">
        <f>Tabla35101826364142444546474844142434445464657278[[#This Row],[COMISIONES]]*0.21</f>
        <v>0</v>
      </c>
      <c r="K16" s="11"/>
      <c r="L16" s="11"/>
      <c r="M16" s="23"/>
      <c r="O16" s="11"/>
      <c r="P16" s="11">
        <f>Tabla356813142230408182848586878888182838485868667379[[#This Row],[COMISIONES]]*0.21</f>
        <v>0</v>
      </c>
      <c r="Q16" s="11"/>
      <c r="R16" s="11"/>
      <c r="S16" s="11"/>
      <c r="T16" s="45"/>
      <c r="U16" s="11"/>
      <c r="V16" s="11">
        <f>Tabla3561119273443112131516171819111213141516171677580[[#This Row],[COMISIONES]]*0.21</f>
        <v>0</v>
      </c>
      <c r="W16" s="11"/>
      <c r="X16" s="11"/>
      <c r="Y16" s="11"/>
      <c r="AA16" s="3"/>
      <c r="AB16" s="3">
        <f>Tabla73697681[[#This Row],[COMISIONES]]*0.21</f>
        <v>0</v>
      </c>
      <c r="AC16" s="3"/>
      <c r="AD16" s="3"/>
      <c r="AE16" s="3"/>
    </row>
    <row r="17" spans="2:31" x14ac:dyDescent="0.25">
      <c r="B17" s="3">
        <v>300</v>
      </c>
      <c r="C17" s="2">
        <f>Tabla131624322122233526272822122232425262637077[[#This Row],[COMISIONES]]*0.21</f>
        <v>63</v>
      </c>
      <c r="D17" s="3"/>
      <c r="E17" s="3"/>
      <c r="F17" s="3"/>
      <c r="G17" s="3"/>
      <c r="I17" s="11"/>
      <c r="J17" s="11">
        <f>Tabla35101826364142444546474844142434445464657278[[#This Row],[COMISIONES]]*0.21</f>
        <v>0</v>
      </c>
      <c r="K17" s="11"/>
      <c r="L17" s="11"/>
      <c r="M17" s="11"/>
      <c r="O17" s="11"/>
      <c r="P17" s="11">
        <f>Tabla356813142230408182848586878888182838485868667379[[#This Row],[COMISIONES]]*0.21</f>
        <v>0</v>
      </c>
      <c r="Q17" s="11"/>
      <c r="R17" s="11"/>
      <c r="S17" s="11"/>
      <c r="T17" s="45"/>
      <c r="U17" s="11"/>
      <c r="V17" s="11">
        <f>Tabla3561119273443112131516171819111213141516171677580[[#This Row],[COMISIONES]]*0.21</f>
        <v>0</v>
      </c>
      <c r="W17" s="11"/>
      <c r="X17" s="11"/>
      <c r="Y17" s="11"/>
      <c r="AA17" s="3"/>
      <c r="AB17" s="3">
        <f>Tabla73697681[[#This Row],[COMISIONES]]*0.21</f>
        <v>0</v>
      </c>
      <c r="AC17" s="3"/>
      <c r="AD17" s="3"/>
      <c r="AE17" s="3"/>
    </row>
    <row r="18" spans="2:31" x14ac:dyDescent="0.25">
      <c r="B18" s="3">
        <v>300</v>
      </c>
      <c r="C18" s="2">
        <f>Tabla131624322122233526272822122232425262637077[[#This Row],[COMISIONES]]*0.21</f>
        <v>63</v>
      </c>
      <c r="D18" s="3"/>
      <c r="E18" s="3"/>
      <c r="F18" s="3"/>
      <c r="G18" s="3"/>
      <c r="I18" s="11"/>
      <c r="J18" s="11">
        <f>Tabla35101826364142444546474844142434445464657278[[#This Row],[COMISIONES]]*0.21</f>
        <v>0</v>
      </c>
      <c r="K18" s="11"/>
      <c r="L18" s="11"/>
      <c r="M18" s="11"/>
      <c r="O18" s="11"/>
      <c r="P18" s="11">
        <f>Tabla356813142230408182848586878888182838485868667379[[#This Row],[COMISIONES]]*0.21</f>
        <v>0</v>
      </c>
      <c r="Q18" s="11"/>
      <c r="R18" s="11"/>
      <c r="S18" s="11"/>
      <c r="T18" s="45"/>
      <c r="U18" s="11"/>
      <c r="V18" s="11">
        <f>Tabla3561119273443112131516171819111213141516171677580[[#This Row],[COMISIONES]]*0.21</f>
        <v>0</v>
      </c>
      <c r="W18" s="11"/>
      <c r="X18" s="11"/>
      <c r="Y18" s="11"/>
      <c r="AA18" s="3"/>
      <c r="AB18" s="3">
        <f>Tabla73697681[[#This Row],[COMISIONES]]*0.21</f>
        <v>0</v>
      </c>
      <c r="AC18" s="3"/>
      <c r="AD18" s="3"/>
      <c r="AE18" s="3"/>
    </row>
    <row r="19" spans="2:31" x14ac:dyDescent="0.25">
      <c r="B19" s="3">
        <v>300</v>
      </c>
      <c r="C19" s="2">
        <f>Tabla131624322122233526272822122232425262637077[[#This Row],[COMISIONES]]*0.21</f>
        <v>63</v>
      </c>
      <c r="D19" s="3"/>
      <c r="E19" s="3"/>
      <c r="F19" s="3"/>
      <c r="G19" s="3"/>
      <c r="I19" s="11"/>
      <c r="J19" s="11">
        <f>Tabla35101826364142444546474844142434445464657278[[#This Row],[COMISIONES]]*0.21</f>
        <v>0</v>
      </c>
      <c r="K19" s="11"/>
      <c r="L19" s="11"/>
      <c r="M19" s="11"/>
      <c r="O19" s="11"/>
      <c r="P19" s="11">
        <f>Tabla356813142230408182848586878888182838485868667379[[#This Row],[COMISIONES]]*0.21</f>
        <v>0</v>
      </c>
      <c r="Q19" s="11"/>
      <c r="R19" s="11"/>
      <c r="S19" s="11"/>
      <c r="T19" s="45"/>
      <c r="U19" s="11"/>
      <c r="V19" s="11">
        <f>Tabla3561119273443112131516171819111213141516171677580[[#This Row],[COMISIONES]]*0.21</f>
        <v>0</v>
      </c>
      <c r="W19" s="11"/>
      <c r="X19" s="11"/>
      <c r="Y19" s="11"/>
      <c r="AA19" s="3"/>
      <c r="AB19" s="3">
        <f>Tabla73697681[[#This Row],[COMISIONES]]*0.21</f>
        <v>0</v>
      </c>
      <c r="AC19" s="3"/>
      <c r="AD19" s="3"/>
      <c r="AE19" s="3"/>
    </row>
    <row r="20" spans="2:31" x14ac:dyDescent="0.25">
      <c r="B20" s="3">
        <v>300</v>
      </c>
      <c r="C20" s="2">
        <f>Tabla131624322122233526272822122232425262637077[[#This Row],[COMISIONES]]*0.21</f>
        <v>63</v>
      </c>
      <c r="D20" s="3"/>
      <c r="E20" s="3"/>
      <c r="F20" s="3"/>
      <c r="G20" s="3"/>
      <c r="I20" s="11"/>
      <c r="J20" s="11">
        <f>Tabla35101826364142444546474844142434445464657278[[#This Row],[COMISIONES]]*0.21</f>
        <v>0</v>
      </c>
      <c r="K20" s="11"/>
      <c r="L20" s="11"/>
      <c r="M20" s="11"/>
      <c r="O20" s="11"/>
      <c r="P20" s="11">
        <f>Tabla356813142230408182848586878888182838485868667379[[#This Row],[COMISIONES]]*0.21</f>
        <v>0</v>
      </c>
      <c r="Q20" s="11"/>
      <c r="R20" s="11"/>
      <c r="S20" s="11"/>
      <c r="T20" s="45"/>
      <c r="U20" s="11"/>
      <c r="V20" s="11">
        <f>Tabla3561119273443112131516171819111213141516171677580[[#This Row],[COMISIONES]]*0.21</f>
        <v>0</v>
      </c>
      <c r="W20" s="11"/>
      <c r="X20" s="11"/>
      <c r="Y20" s="11"/>
      <c r="AA20" s="3"/>
      <c r="AB20" s="3">
        <f>Tabla73697681[[#This Row],[COMISIONES]]*0.21</f>
        <v>0</v>
      </c>
      <c r="AC20" s="3"/>
      <c r="AD20" s="3"/>
      <c r="AE20" s="3"/>
    </row>
    <row r="21" spans="2:31" x14ac:dyDescent="0.25">
      <c r="B21" s="3">
        <v>300</v>
      </c>
      <c r="C21" s="2">
        <f>Tabla131624322122233526272822122232425262637077[[#This Row],[COMISIONES]]*0.21</f>
        <v>63</v>
      </c>
      <c r="D21" s="3"/>
      <c r="E21" s="3"/>
      <c r="F21" s="3"/>
      <c r="G21" s="3"/>
      <c r="I21" s="11"/>
      <c r="J21" s="11">
        <f>Tabla35101826364142444546474844142434445464657278[[#This Row],[COMISIONES]]*0.21</f>
        <v>0</v>
      </c>
      <c r="K21" s="11"/>
      <c r="L21" s="11"/>
      <c r="M21" s="11"/>
      <c r="O21" s="11"/>
      <c r="P21" s="11">
        <f>Tabla356813142230408182848586878888182838485868667379[[#This Row],[COMISIONES]]*0.21</f>
        <v>0</v>
      </c>
      <c r="Q21" s="11"/>
      <c r="R21" s="11"/>
      <c r="S21" s="11"/>
      <c r="T21" s="45"/>
      <c r="U21" s="11"/>
      <c r="V21" s="11">
        <f>Tabla3561119273443112131516171819111213141516171677580[[#This Row],[COMISIONES]]*0.21</f>
        <v>0</v>
      </c>
      <c r="W21" s="11"/>
      <c r="X21" s="11"/>
      <c r="Y21" s="11"/>
      <c r="AA21" s="3"/>
      <c r="AB21" s="3">
        <f>Tabla73697681[[#This Row],[COMISIONES]]*0.21</f>
        <v>0</v>
      </c>
      <c r="AC21" s="3"/>
      <c r="AD21" s="3"/>
      <c r="AE21" s="3"/>
    </row>
    <row r="22" spans="2:31" x14ac:dyDescent="0.25">
      <c r="B22" s="3">
        <v>300</v>
      </c>
      <c r="C22" s="2">
        <f>Tabla131624322122233526272822122232425262637077[[#This Row],[COMISIONES]]*0.21</f>
        <v>63</v>
      </c>
      <c r="D22" s="3"/>
      <c r="E22" s="3"/>
      <c r="F22" s="3"/>
      <c r="G22" s="3"/>
      <c r="I22" s="11"/>
      <c r="J22" s="11">
        <f>Tabla35101826364142444546474844142434445464657278[[#This Row],[COMISIONES]]*0.21</f>
        <v>0</v>
      </c>
      <c r="K22" s="11"/>
      <c r="L22" s="11"/>
      <c r="M22" s="11"/>
      <c r="O22" s="40"/>
      <c r="P22" s="40">
        <f>Tabla356813142230408182848586878888182838485868667379[[#This Row],[COMISIONES]]*0.21</f>
        <v>0</v>
      </c>
      <c r="Q22" s="40"/>
      <c r="R22" s="40"/>
      <c r="S22" s="40"/>
      <c r="T22" s="46"/>
      <c r="U22" s="11"/>
      <c r="V22" s="11">
        <f>Tabla3561119273443112131516171819111213141516171677580[[#This Row],[COMISIONES]]*0.21</f>
        <v>0</v>
      </c>
      <c r="W22" s="11"/>
      <c r="X22" s="11"/>
      <c r="Y22" s="11"/>
      <c r="AA22" s="3"/>
      <c r="AB22" s="3">
        <f>Tabla73697681[[#This Row],[COMISIONES]]*0.21</f>
        <v>0</v>
      </c>
      <c r="AC22" s="3"/>
      <c r="AD22" s="3"/>
      <c r="AE22" s="3"/>
    </row>
    <row r="23" spans="2:31" x14ac:dyDescent="0.25">
      <c r="B23" s="3">
        <v>300</v>
      </c>
      <c r="C23" s="2">
        <f>Tabla131624322122233526272822122232425262637077[[#This Row],[COMISIONES]]*0.21</f>
        <v>63</v>
      </c>
      <c r="D23" s="3"/>
      <c r="E23" s="3"/>
      <c r="F23" s="3"/>
      <c r="G23" s="3"/>
      <c r="I23" s="11"/>
      <c r="J23" s="11">
        <f>Tabla35101826364142444546474844142434445464657278[[#This Row],[COMISIONES]]*0.21</f>
        <v>0</v>
      </c>
      <c r="K23" s="11"/>
      <c r="L23" s="11"/>
      <c r="M23" s="11"/>
      <c r="O23" s="40"/>
      <c r="P23" s="40">
        <f>Tabla356813142230408182848586878888182838485868667379[[#This Row],[COMISIONES]]*0.21</f>
        <v>0</v>
      </c>
      <c r="Q23" s="40"/>
      <c r="R23" s="40"/>
      <c r="S23" s="40"/>
      <c r="T23" s="46"/>
      <c r="U23" s="11"/>
      <c r="V23" s="11">
        <f>Tabla3561119273443112131516171819111213141516171677580[[#This Row],[COMISIONES]]*0.21</f>
        <v>0</v>
      </c>
      <c r="W23" s="11"/>
      <c r="X23" s="11"/>
      <c r="Y23" s="11"/>
      <c r="AA23" s="3"/>
      <c r="AB23" s="3">
        <f>Tabla73697681[[#This Row],[COMISIONES]]*0.21</f>
        <v>0</v>
      </c>
      <c r="AC23" s="3"/>
      <c r="AD23" s="3"/>
      <c r="AE23" s="3"/>
    </row>
    <row r="24" spans="2:31" x14ac:dyDescent="0.25">
      <c r="B24" s="3">
        <v>300</v>
      </c>
      <c r="C24" s="2">
        <f>Tabla131624322122233526272822122232425262637077[[#This Row],[COMISIONES]]*0.21</f>
        <v>63</v>
      </c>
      <c r="D24" s="3"/>
      <c r="E24" s="3"/>
      <c r="F24" s="3"/>
      <c r="G24" s="3"/>
      <c r="I24" s="11"/>
      <c r="J24" s="11">
        <f>Tabla35101826364142444546474844142434445464657278[[#This Row],[COMISIONES]]*0.21</f>
        <v>0</v>
      </c>
      <c r="K24" s="11"/>
      <c r="L24" s="11"/>
      <c r="M24" s="11"/>
      <c r="O24" s="40"/>
      <c r="P24" s="40">
        <f>Tabla356813142230408182848586878888182838485868667379[[#This Row],[COMISIONES]]*0.21</f>
        <v>0</v>
      </c>
      <c r="Q24" s="40"/>
      <c r="R24" s="40"/>
      <c r="S24" s="40"/>
      <c r="T24" s="46"/>
      <c r="U24" s="11"/>
      <c r="V24" s="11">
        <f>Tabla3561119273443112131516171819111213141516171677580[[#This Row],[COMISIONES]]*0.21</f>
        <v>0</v>
      </c>
      <c r="W24" s="11"/>
      <c r="X24" s="11"/>
      <c r="Y24" s="11"/>
      <c r="AA24" s="3"/>
      <c r="AB24" s="3">
        <f>Tabla73697681[[#This Row],[COMISIONES]]*0.21</f>
        <v>0</v>
      </c>
      <c r="AC24" s="3"/>
      <c r="AD24" s="3"/>
      <c r="AE24" s="3"/>
    </row>
    <row r="25" spans="2:31" x14ac:dyDescent="0.25">
      <c r="B25" s="3">
        <v>300</v>
      </c>
      <c r="C25" s="2">
        <f>Tabla131624322122233526272822122232425262637077[[#This Row],[COMISIONES]]*0.21</f>
        <v>63</v>
      </c>
      <c r="D25" s="3"/>
      <c r="E25" s="3"/>
      <c r="F25" s="3"/>
      <c r="G25" s="3"/>
      <c r="I25" s="11"/>
      <c r="J25" s="11">
        <f>Tabla35101826364142444546474844142434445464657278[[#This Row],[COMISIONES]]*0.21</f>
        <v>0</v>
      </c>
      <c r="K25" s="11"/>
      <c r="L25" s="11"/>
      <c r="M25" s="11"/>
      <c r="O25" s="41"/>
      <c r="P25" s="42">
        <f>Tabla356813142230408182848586878888182838485868667379[[#This Row],[COMISIONES]]*0.21</f>
        <v>0</v>
      </c>
      <c r="Q25" s="42"/>
      <c r="R25" s="42"/>
      <c r="S25" s="42"/>
      <c r="T25" s="47"/>
      <c r="U25" s="18"/>
      <c r="V25" s="18">
        <f>Tabla3561119273443112131516171819111213141516171677580[[#This Row],[COMISIONES]]*0.21</f>
        <v>0</v>
      </c>
      <c r="W25" s="18"/>
      <c r="X25" s="18"/>
      <c r="Y25" s="18"/>
      <c r="AA25" s="3"/>
      <c r="AB25" s="3">
        <f>Tabla73697681[[#This Row],[COMISIONES]]*0.21</f>
        <v>0</v>
      </c>
      <c r="AC25" s="3"/>
      <c r="AD25" s="3"/>
      <c r="AE25" s="3"/>
    </row>
    <row r="26" spans="2:31" x14ac:dyDescent="0.25">
      <c r="B26" s="3"/>
      <c r="C26" s="2">
        <f>Tabla131624322122233526272822122232425262637077[[#This Row],[COMISIONES]]*0.21</f>
        <v>0</v>
      </c>
      <c r="D26" s="3"/>
      <c r="E26" s="3"/>
      <c r="F26" s="3"/>
      <c r="G26" s="3"/>
      <c r="I26" s="11"/>
      <c r="J26" s="11">
        <f>Tabla35101826364142444546474844142434445464657278[[#This Row],[COMISIONES]]*0.21</f>
        <v>0</v>
      </c>
      <c r="K26" s="11"/>
      <c r="L26" s="11"/>
      <c r="M26" s="11"/>
      <c r="O26" s="40"/>
      <c r="P26" s="40">
        <f>Tabla356813142230408182848586878888182838485868667379[[#This Row],[COMISIONES]]*0.21</f>
        <v>0</v>
      </c>
      <c r="Q26" s="40"/>
      <c r="R26" s="40"/>
      <c r="S26" s="40"/>
      <c r="T26" s="46"/>
      <c r="U26" s="18"/>
      <c r="V26" s="18">
        <f>Tabla3561119273443112131516171819111213141516171677580[[#This Row],[COMISIONES]]*0.21</f>
        <v>0</v>
      </c>
      <c r="W26" s="18"/>
      <c r="X26" s="18"/>
      <c r="Y26" s="18"/>
      <c r="AA26" s="3"/>
      <c r="AB26" s="3">
        <f>Tabla73697681[[#This Row],[COMISIONES]]*0.21</f>
        <v>0</v>
      </c>
      <c r="AC26" s="3"/>
      <c r="AD26" s="3"/>
      <c r="AE26" s="3"/>
    </row>
    <row r="27" spans="2:31" x14ac:dyDescent="0.25">
      <c r="B27" s="3"/>
      <c r="C27" s="2">
        <f>Tabla131624322122233526272822122232425262637077[[#This Row],[COMISIONES]]*0.21</f>
        <v>0</v>
      </c>
      <c r="D27" s="3"/>
      <c r="E27" s="1"/>
      <c r="F27" s="3"/>
      <c r="G27" s="3"/>
      <c r="I27" s="11"/>
      <c r="J27" s="11">
        <f>Tabla35101826364142444546474844142434445464657278[[#This Row],[COMISIONES]]*0.21</f>
        <v>0</v>
      </c>
      <c r="K27" s="11"/>
      <c r="L27" s="11"/>
      <c r="M27" s="11"/>
      <c r="O27" s="40"/>
      <c r="P27" s="40">
        <f>Tabla356813142230408182848586878888182838485868667379[[#This Row],[COMISIONES]]*0.21</f>
        <v>0</v>
      </c>
      <c r="Q27" s="40"/>
      <c r="R27" s="40"/>
      <c r="S27" s="40"/>
      <c r="T27" s="46"/>
      <c r="U27" s="40"/>
      <c r="V27" s="40">
        <f>Tabla3561119273443112131516171819111213141516171677580[[#This Row],[COMISIONES]]*0.21</f>
        <v>0</v>
      </c>
      <c r="W27" s="40"/>
      <c r="X27" s="40"/>
      <c r="Y27" s="40"/>
      <c r="AA27" s="4">
        <f>SUM(Tabla73697681[COMISIONES])</f>
        <v>4958.67</v>
      </c>
      <c r="AB27" s="4">
        <f>SUM(Tabla73697681[IVA 21])</f>
        <v>1041.3207</v>
      </c>
      <c r="AC27" s="4">
        <f>SUM(Tabla73697681[IVA 10,5])</f>
        <v>0</v>
      </c>
      <c r="AD27" s="4">
        <f>SUM(Tabla73697681[Ret IIBB Caba])</f>
        <v>0</v>
      </c>
      <c r="AE27" s="4">
        <f>SUM(Tabla73697681[PERC IVA])</f>
        <v>148.76</v>
      </c>
    </row>
    <row r="28" spans="2:31" x14ac:dyDescent="0.25">
      <c r="B28" s="3"/>
      <c r="C28" s="2">
        <f>Tabla131624322122233526272822122232425262637077[[#This Row],[COMISIONES]]*0.21</f>
        <v>0</v>
      </c>
      <c r="D28" s="3"/>
      <c r="E28" s="3"/>
      <c r="F28" s="3"/>
      <c r="G28" s="3"/>
      <c r="I28" s="11"/>
      <c r="J28" s="11">
        <f>Tabla35101826364142444546474844142434445464657278[[#This Row],[COMISIONES]]*0.21</f>
        <v>0</v>
      </c>
      <c r="K28" s="11"/>
      <c r="L28" s="11"/>
      <c r="M28" s="11"/>
      <c r="O28" s="40"/>
      <c r="P28" s="40">
        <f>Tabla356813142230408182848586878888182838485868667379[[#This Row],[COMISIONES]]*0.21</f>
        <v>0</v>
      </c>
      <c r="Q28" s="40"/>
      <c r="R28" s="40"/>
      <c r="S28" s="40"/>
      <c r="T28" s="46"/>
      <c r="U28" s="40"/>
      <c r="V28" s="40">
        <f>Tabla3561119273443112131516171819111213141516171677580[[#This Row],[COMISIONES]]*0.21</f>
        <v>0</v>
      </c>
      <c r="W28" s="40"/>
      <c r="X28" s="40"/>
      <c r="Y28" s="40"/>
    </row>
    <row r="29" spans="2:31" x14ac:dyDescent="0.25">
      <c r="B29" s="3"/>
      <c r="C29" s="2">
        <f>Tabla131624322122233526272822122232425262637077[[#This Row],[COMISIONES]]*0.21</f>
        <v>0</v>
      </c>
      <c r="D29" s="3"/>
      <c r="E29" s="3"/>
      <c r="F29" s="3"/>
      <c r="G29" s="3"/>
      <c r="I29" s="11"/>
      <c r="J29" s="11">
        <f>Tabla35101826364142444546474844142434445464657278[[#This Row],[COMISIONES]]*0.21</f>
        <v>0</v>
      </c>
      <c r="K29" s="11"/>
      <c r="L29" s="11"/>
      <c r="M29" s="11"/>
      <c r="O29" s="40"/>
      <c r="P29" s="40">
        <f>Tabla356813142230408182848586878888182838485868667379[[#This Row],[COMISIONES]]*0.21</f>
        <v>0</v>
      </c>
      <c r="Q29" s="40"/>
      <c r="R29" s="40"/>
      <c r="S29" s="40"/>
      <c r="T29" s="46"/>
      <c r="U29" s="40"/>
      <c r="V29" s="40">
        <f>Tabla3561119273443112131516171819111213141516171677580[[#This Row],[COMISIONES]]*0.21</f>
        <v>0</v>
      </c>
      <c r="W29" s="40"/>
      <c r="X29" s="40"/>
      <c r="Y29" s="40"/>
    </row>
    <row r="30" spans="2:31" x14ac:dyDescent="0.25">
      <c r="B30" s="3"/>
      <c r="C30" s="2">
        <f>Tabla131624322122233526272822122232425262637077[[#This Row],[COMISIONES]]*0.21</f>
        <v>0</v>
      </c>
      <c r="D30" s="3"/>
      <c r="E30" s="3"/>
      <c r="F30" s="3"/>
      <c r="G30" s="3"/>
      <c r="I30" s="11"/>
      <c r="J30" s="11">
        <f>Tabla35101826364142444546474844142434445464657278[[#This Row],[COMISIONES]]*0.21</f>
        <v>0</v>
      </c>
      <c r="K30" s="11"/>
      <c r="L30" s="11"/>
      <c r="M30" s="11"/>
      <c r="O30" s="40"/>
      <c r="P30" s="40">
        <f>Tabla356813142230408182848586878888182838485868667379[[#This Row],[COMISIONES]]*0.21</f>
        <v>0</v>
      </c>
      <c r="Q30" s="40"/>
      <c r="R30" s="40"/>
      <c r="S30" s="40"/>
      <c r="T30" s="46"/>
      <c r="U30" s="40"/>
      <c r="V30" s="40">
        <f>Tabla3561119273443112131516171819111213141516171677580[[#This Row],[COMISIONES]]*0.21</f>
        <v>0</v>
      </c>
      <c r="W30" s="40"/>
      <c r="X30" s="40"/>
      <c r="Y30" s="40"/>
    </row>
    <row r="31" spans="2:31" x14ac:dyDescent="0.25">
      <c r="B31" s="3"/>
      <c r="C31" s="2">
        <f>Tabla131624322122233526272822122232425262637077[[#This Row],[COMISIONES]]*0.21</f>
        <v>0</v>
      </c>
      <c r="D31" s="3"/>
      <c r="E31" s="3"/>
      <c r="F31" s="3"/>
      <c r="G31" s="3"/>
      <c r="I31" s="11"/>
      <c r="J31" s="11">
        <f>Tabla35101826364142444546474844142434445464657278[[#This Row],[COMISIONES]]*0.21</f>
        <v>0</v>
      </c>
      <c r="K31" s="11"/>
      <c r="L31" s="11"/>
      <c r="M31" s="11"/>
      <c r="O31" s="40"/>
      <c r="P31" s="40">
        <f>Tabla356813142230408182848586878888182838485868667379[[#This Row],[COMISIONES]]*0.21</f>
        <v>0</v>
      </c>
      <c r="Q31" s="40"/>
      <c r="R31" s="40"/>
      <c r="S31" s="40"/>
      <c r="T31" s="46"/>
      <c r="U31" s="40"/>
      <c r="V31" s="40">
        <f>Tabla3561119273443112131516171819111213141516171677580[[#This Row],[COMISIONES]]*0.21</f>
        <v>0</v>
      </c>
      <c r="W31" s="40"/>
      <c r="X31" s="40"/>
      <c r="Y31" s="40"/>
    </row>
    <row r="32" spans="2:31" x14ac:dyDescent="0.25">
      <c r="B32" s="3"/>
      <c r="C32" s="2">
        <f>Tabla131624322122233526272822122232425262637077[[#This Row],[COMISIONES]]*0.21</f>
        <v>0</v>
      </c>
      <c r="D32" s="3"/>
      <c r="E32" s="3"/>
      <c r="F32" s="3"/>
      <c r="G32" s="3"/>
      <c r="I32" s="11"/>
      <c r="J32" s="11">
        <f>Tabla35101826364142444546474844142434445464657278[[#This Row],[COMISIONES]]*0.21</f>
        <v>0</v>
      </c>
      <c r="K32" s="11"/>
      <c r="L32" s="11"/>
      <c r="M32" s="11"/>
      <c r="O32" s="40"/>
      <c r="P32" s="40">
        <f>Tabla356813142230408182848586878888182838485868667379[[#This Row],[COMISIONES]]*0.21</f>
        <v>0</v>
      </c>
      <c r="Q32" s="40"/>
      <c r="R32" s="40"/>
      <c r="S32" s="40"/>
      <c r="T32" s="46"/>
      <c r="U32" s="40"/>
      <c r="V32" s="40">
        <f>Tabla3561119273443112131516171819111213141516171677580[[#This Row],[COMISIONES]]*0.21</f>
        <v>0</v>
      </c>
      <c r="W32" s="40"/>
      <c r="X32" s="40"/>
      <c r="Y32" s="40"/>
    </row>
    <row r="33" spans="1:25" x14ac:dyDescent="0.25">
      <c r="B33" s="3"/>
      <c r="C33" s="2">
        <f>Tabla131624322122233526272822122232425262637077[[#This Row],[COMISIONES]]*0.21</f>
        <v>0</v>
      </c>
      <c r="D33" s="3"/>
      <c r="E33" s="3"/>
      <c r="F33" s="3"/>
      <c r="G33" s="3"/>
      <c r="I33" s="11"/>
      <c r="J33" s="11">
        <f>Tabla35101826364142444546474844142434445464657278[[#This Row],[COMISIONES]]*0.21</f>
        <v>0</v>
      </c>
      <c r="K33" s="11"/>
      <c r="L33" s="11"/>
      <c r="M33" s="11"/>
      <c r="O33" s="40"/>
      <c r="P33" s="40">
        <f>Tabla356813142230408182848586878888182838485868667379[[#This Row],[COMISIONES]]*0.21</f>
        <v>0</v>
      </c>
      <c r="Q33" s="40"/>
      <c r="R33" s="40"/>
      <c r="S33" s="40"/>
      <c r="T33" s="46"/>
      <c r="U33" s="40"/>
      <c r="V33" s="40">
        <f>Tabla3561119273443112131516171819111213141516171677580[[#This Row],[COMISIONES]]*0.21</f>
        <v>0</v>
      </c>
      <c r="W33" s="40"/>
      <c r="X33" s="40"/>
      <c r="Y33" s="40"/>
    </row>
    <row r="34" spans="1:25" x14ac:dyDescent="0.25">
      <c r="B34" s="3"/>
      <c r="C34" s="2">
        <f>Tabla131624322122233526272822122232425262637077[[#This Row],[COMISIONES]]*0.21</f>
        <v>0</v>
      </c>
      <c r="D34" s="3"/>
      <c r="E34" s="3"/>
      <c r="F34" s="3"/>
      <c r="G34" s="3"/>
      <c r="I34" s="11"/>
      <c r="J34" s="11">
        <f>Tabla35101826364142444546474844142434445464657278[[#This Row],[COMISIONES]]*0.21</f>
        <v>0</v>
      </c>
      <c r="K34" s="11"/>
      <c r="L34" s="11"/>
      <c r="M34" s="11"/>
      <c r="O34" s="40"/>
      <c r="P34" s="40">
        <f>Tabla356813142230408182848586878888182838485868667379[[#This Row],[COMISIONES]]*0.21</f>
        <v>0</v>
      </c>
      <c r="Q34" s="40"/>
      <c r="R34" s="40"/>
      <c r="S34" s="40"/>
      <c r="T34" s="46"/>
      <c r="U34" s="40"/>
      <c r="V34" s="40">
        <f>Tabla3561119273443112131516171819111213141516171677580[[#This Row],[COMISIONES]]*0.21</f>
        <v>0</v>
      </c>
      <c r="W34" s="40"/>
      <c r="X34" s="40"/>
      <c r="Y34" s="40"/>
    </row>
    <row r="35" spans="1:25" x14ac:dyDescent="0.25">
      <c r="B35" s="3"/>
      <c r="C35" s="2">
        <f>Tabla131624322122233526272822122232425262637077[[#This Row],[COMISIONES]]*0.21</f>
        <v>0</v>
      </c>
      <c r="D35" s="3"/>
      <c r="E35" s="3"/>
      <c r="F35" s="3"/>
      <c r="G35" s="3"/>
      <c r="I35" s="11"/>
      <c r="J35" s="11">
        <f>Tabla35101826364142444546474844142434445464657278[[#This Row],[COMISIONES]]*0.21</f>
        <v>0</v>
      </c>
      <c r="K35" s="11"/>
      <c r="L35" s="11"/>
      <c r="M35" s="11"/>
      <c r="O35" s="40"/>
      <c r="P35" s="40">
        <f>Tabla356813142230408182848586878888182838485868667379[[#This Row],[COMISIONES]]*0.21</f>
        <v>0</v>
      </c>
      <c r="Q35" s="40"/>
      <c r="R35" s="40"/>
      <c r="S35" s="40"/>
      <c r="T35" s="46"/>
      <c r="U35" s="40"/>
      <c r="V35" s="40">
        <f>Tabla3561119273443112131516171819111213141516171677580[[#This Row],[COMISIONES]]*0.21</f>
        <v>0</v>
      </c>
      <c r="W35" s="40"/>
      <c r="X35" s="40"/>
      <c r="Y35" s="40"/>
    </row>
    <row r="36" spans="1:25" x14ac:dyDescent="0.25">
      <c r="B36" s="3"/>
      <c r="C36" s="2">
        <f>Tabla131624322122233526272822122232425262637077[[#This Row],[COMISIONES]]*0.21</f>
        <v>0</v>
      </c>
      <c r="D36" s="3"/>
      <c r="E36" s="3"/>
      <c r="F36" s="3"/>
      <c r="G36" s="3"/>
      <c r="I36" s="11"/>
      <c r="J36" s="11">
        <f>Tabla35101826364142444546474844142434445464657278[[#This Row],[COMISIONES]]*0.21</f>
        <v>0</v>
      </c>
      <c r="K36" s="11"/>
      <c r="L36" s="11"/>
      <c r="M36" s="11"/>
      <c r="O36" s="40"/>
      <c r="P36" s="40">
        <f>Tabla356813142230408182848586878888182838485868667379[[#This Row],[COMISIONES]]*0.21</f>
        <v>0</v>
      </c>
      <c r="Q36" s="40"/>
      <c r="R36" s="40"/>
      <c r="S36" s="40"/>
      <c r="T36" s="46"/>
      <c r="U36" s="40"/>
      <c r="V36" s="40">
        <f>Tabla3561119273443112131516171819111213141516171677580[[#This Row],[COMISIONES]]*0.21</f>
        <v>0</v>
      </c>
      <c r="W36" s="40"/>
      <c r="X36" s="40"/>
      <c r="Y36" s="40"/>
    </row>
    <row r="37" spans="1:25" x14ac:dyDescent="0.25">
      <c r="B37" s="3"/>
      <c r="C37" s="2">
        <f>Tabla131624322122233526272822122232425262637077[[#This Row],[COMISIONES]]*0.21</f>
        <v>0</v>
      </c>
      <c r="D37" s="3"/>
      <c r="E37" s="3"/>
      <c r="F37" s="3"/>
      <c r="G37" s="3"/>
      <c r="I37" s="11"/>
      <c r="J37" s="11">
        <f>Tabla35101826364142444546474844142434445464657278[[#This Row],[COMISIONES]]*0.21</f>
        <v>0</v>
      </c>
      <c r="K37" s="11"/>
      <c r="L37" s="11"/>
      <c r="M37" s="11"/>
      <c r="O37" s="40"/>
      <c r="P37" s="40">
        <f>Tabla356813142230408182848586878888182838485868667379[[#This Row],[COMISIONES]]*0.21</f>
        <v>0</v>
      </c>
      <c r="Q37" s="40"/>
      <c r="R37" s="40"/>
      <c r="S37" s="40"/>
      <c r="T37" s="46"/>
      <c r="U37" s="40"/>
      <c r="V37" s="40">
        <f>Tabla3561119273443112131516171819111213141516171677580[[#This Row],[COMISIONES]]*0.21</f>
        <v>0</v>
      </c>
      <c r="W37" s="40"/>
      <c r="X37" s="40"/>
      <c r="Y37" s="40"/>
    </row>
    <row r="38" spans="1:25" x14ac:dyDescent="0.25">
      <c r="B38" s="3"/>
      <c r="C38" s="2">
        <f>Tabla131624322122233526272822122232425262637077[[#This Row],[COMISIONES]]*0.21</f>
        <v>0</v>
      </c>
      <c r="D38" s="3"/>
      <c r="E38" s="3"/>
      <c r="F38" s="3"/>
      <c r="G38" s="3"/>
      <c r="I38" s="11"/>
      <c r="J38" s="11">
        <f>Tabla35101826364142444546474844142434445464657278[[#This Row],[COMISIONES]]*0.21</f>
        <v>0</v>
      </c>
      <c r="K38" s="11"/>
      <c r="L38" s="11"/>
      <c r="M38" s="11"/>
      <c r="O38" s="40"/>
      <c r="P38" s="40">
        <f>Tabla356813142230408182848586878888182838485868667379[[#This Row],[COMISIONES]]*0.21</f>
        <v>0</v>
      </c>
      <c r="Q38" s="40"/>
      <c r="R38" s="40"/>
      <c r="S38" s="40"/>
      <c r="T38" s="46"/>
      <c r="U38" s="40"/>
      <c r="V38" s="40">
        <f>Tabla3561119273443112131516171819111213141516171677580[[#This Row],[COMISIONES]]*0.21</f>
        <v>0</v>
      </c>
      <c r="W38" s="40"/>
      <c r="X38" s="40"/>
      <c r="Y38" s="40"/>
    </row>
    <row r="39" spans="1:25" x14ac:dyDescent="0.25">
      <c r="B39" s="3"/>
      <c r="C39" s="2">
        <f>Tabla131624322122233526272822122232425262637077[[#This Row],[COMISIONES]]*0.21</f>
        <v>0</v>
      </c>
      <c r="D39" s="3"/>
      <c r="E39" s="3"/>
      <c r="F39" s="3"/>
      <c r="G39" s="3"/>
      <c r="H39" s="8"/>
      <c r="I39" s="11"/>
      <c r="J39" s="11">
        <f>Tabla35101826364142444546474844142434445464657278[[#This Row],[COMISIONES]]*0.21</f>
        <v>0</v>
      </c>
      <c r="K39" s="11"/>
      <c r="L39" s="11"/>
      <c r="M39" s="11"/>
      <c r="N39" s="8"/>
      <c r="O39" s="40"/>
      <c r="P39" s="40">
        <f>Tabla356813142230408182848586878888182838485868667379[[#This Row],[COMISIONES]]*0.21</f>
        <v>0</v>
      </c>
      <c r="Q39" s="40"/>
      <c r="R39" s="40"/>
      <c r="S39" s="40"/>
      <c r="T39" s="46"/>
      <c r="U39" s="40"/>
      <c r="V39" s="40">
        <f>Tabla3561119273443112131516171819111213141516171677580[[#This Row],[COMISIONES]]*0.21</f>
        <v>0</v>
      </c>
      <c r="W39" s="40"/>
      <c r="X39" s="40"/>
      <c r="Y39" s="40"/>
    </row>
    <row r="40" spans="1:25" x14ac:dyDescent="0.25">
      <c r="B40" s="3"/>
      <c r="C40" s="2">
        <f>Tabla131624322122233526272822122232425262637077[[#This Row],[COMISIONES]]*0.21</f>
        <v>0</v>
      </c>
      <c r="D40" s="3"/>
      <c r="E40" s="3"/>
      <c r="F40" s="3"/>
      <c r="G40" s="3"/>
      <c r="I40" s="11"/>
      <c r="J40" s="11">
        <f>Tabla35101826364142444546474844142434445464657278[[#This Row],[COMISIONES]]*0.21</f>
        <v>0</v>
      </c>
      <c r="K40" s="11"/>
      <c r="L40" s="11"/>
      <c r="M40" s="11"/>
      <c r="O40" s="40"/>
      <c r="P40" s="40">
        <f>Tabla356813142230408182848586878888182838485868667379[[#This Row],[COMISIONES]]*0.21</f>
        <v>0</v>
      </c>
      <c r="Q40" s="40"/>
      <c r="R40" s="40"/>
      <c r="S40" s="40"/>
      <c r="T40" s="46"/>
      <c r="U40" s="40"/>
      <c r="V40" s="40">
        <f>Tabla3561119273443112131516171819111213141516171677580[[#This Row],[COMISIONES]]*0.21</f>
        <v>0</v>
      </c>
      <c r="W40" s="40"/>
      <c r="X40" s="40"/>
      <c r="Y40" s="40"/>
    </row>
    <row r="41" spans="1:25" x14ac:dyDescent="0.25">
      <c r="B41" s="3"/>
      <c r="C41" s="2">
        <f>Tabla131624322122233526272822122232425262637077[[#This Row],[COMISIONES]]*0.21</f>
        <v>0</v>
      </c>
      <c r="D41" s="3"/>
      <c r="E41" s="3"/>
      <c r="F41" s="3"/>
      <c r="G41" s="3"/>
      <c r="I41" s="11"/>
      <c r="J41" s="11">
        <f>Tabla35101826364142444546474844142434445464657278[[#This Row],[COMISIONES]]*0.21</f>
        <v>0</v>
      </c>
      <c r="K41" s="11"/>
      <c r="L41" s="11"/>
      <c r="M41" s="11"/>
      <c r="O41" s="40"/>
      <c r="P41" s="40">
        <f>Tabla356813142230408182848586878888182838485868667379[[#This Row],[COMISIONES]]*0.21</f>
        <v>0</v>
      </c>
      <c r="Q41" s="40"/>
      <c r="R41" s="40"/>
      <c r="S41" s="40"/>
      <c r="T41" s="46"/>
      <c r="U41" s="40"/>
      <c r="V41" s="40">
        <f>Tabla3561119273443112131516171819111213141516171677580[[#This Row],[COMISIONES]]*0.21</f>
        <v>0</v>
      </c>
      <c r="W41" s="40"/>
      <c r="X41" s="40"/>
      <c r="Y41" s="40"/>
    </row>
    <row r="42" spans="1:25" x14ac:dyDescent="0.25">
      <c r="B42" s="3"/>
      <c r="C42" s="2">
        <f>Tabla131624322122233526272822122232425262637077[[#This Row],[COMISIONES]]*0.21</f>
        <v>0</v>
      </c>
      <c r="D42" s="3"/>
      <c r="E42" s="3"/>
      <c r="F42" s="3"/>
      <c r="G42" s="3"/>
      <c r="I42" s="11"/>
      <c r="J42" s="11">
        <f>Tabla35101826364142444546474844142434445464657278[[#This Row],[COMISIONES]]*0.21</f>
        <v>0</v>
      </c>
      <c r="K42" s="11"/>
      <c r="L42" s="11"/>
      <c r="M42" s="11"/>
      <c r="O42" s="40"/>
      <c r="P42" s="40">
        <f>Tabla356813142230408182848586878888182838485868667379[[#This Row],[COMISIONES]]*0.21</f>
        <v>0</v>
      </c>
      <c r="Q42" s="40"/>
      <c r="R42" s="40"/>
      <c r="S42" s="40"/>
      <c r="T42" s="46"/>
      <c r="U42" s="40"/>
      <c r="V42" s="40">
        <f>Tabla3561119273443112131516171819111213141516171677580[[#This Row],[COMISIONES]]*0.21</f>
        <v>0</v>
      </c>
      <c r="W42" s="40"/>
      <c r="X42" s="40"/>
      <c r="Y42" s="40"/>
    </row>
    <row r="43" spans="1:25" x14ac:dyDescent="0.25">
      <c r="B43" s="3"/>
      <c r="C43" s="2">
        <f>Tabla131624322122233526272822122232425262637077[[#This Row],[COMISIONES]]*0.21</f>
        <v>0</v>
      </c>
      <c r="D43" s="3"/>
      <c r="E43" s="3"/>
      <c r="F43" s="3"/>
      <c r="G43" s="3"/>
      <c r="I43" s="11"/>
      <c r="J43" s="11">
        <f>Tabla35101826364142444546474844142434445464657278[[#This Row],[COMISIONES]]*0.21</f>
        <v>0</v>
      </c>
      <c r="K43" s="11"/>
      <c r="L43" s="11"/>
      <c r="M43" s="11"/>
      <c r="O43" s="40"/>
      <c r="P43" s="40">
        <f>Tabla356813142230408182848586878888182838485868667379[[#This Row],[COMISIONES]]*0.21</f>
        <v>0</v>
      </c>
      <c r="Q43" s="40"/>
      <c r="R43" s="40"/>
      <c r="S43" s="40"/>
      <c r="T43" s="46"/>
      <c r="U43" s="40"/>
      <c r="V43" s="40">
        <f>Tabla3561119273443112131516171819111213141516171677580[[#This Row],[COMISIONES]]*0.21</f>
        <v>0</v>
      </c>
      <c r="W43" s="40"/>
      <c r="X43" s="40"/>
      <c r="Y43" s="40"/>
    </row>
    <row r="44" spans="1:25" x14ac:dyDescent="0.25">
      <c r="B44" s="3"/>
      <c r="C44" s="2">
        <f>Tabla131624322122233526272822122232425262637077[[#This Row],[COMISIONES]]*0.21</f>
        <v>0</v>
      </c>
      <c r="D44" s="3"/>
      <c r="E44" s="3"/>
      <c r="F44" s="3"/>
      <c r="G44" s="3"/>
      <c r="I44" s="11"/>
      <c r="J44" s="11">
        <f>Tabla35101826364142444546474844142434445464657278[[#This Row],[COMISIONES]]*0.21</f>
        <v>0</v>
      </c>
      <c r="K44" s="11"/>
      <c r="L44" s="11"/>
      <c r="M44" s="11"/>
      <c r="O44" s="40"/>
      <c r="P44" s="40">
        <f>Tabla356813142230408182848586878888182838485868667379[[#This Row],[COMISIONES]]*0.21</f>
        <v>0</v>
      </c>
      <c r="Q44" s="40"/>
      <c r="R44" s="40"/>
      <c r="S44" s="40"/>
      <c r="T44" s="46"/>
      <c r="U44" s="40"/>
      <c r="V44" s="40">
        <f>Tabla3561119273443112131516171819111213141516171677580[[#This Row],[COMISIONES]]*0.21</f>
        <v>0</v>
      </c>
      <c r="W44" s="40"/>
      <c r="X44" s="40"/>
      <c r="Y44" s="40"/>
    </row>
    <row r="45" spans="1:25" x14ac:dyDescent="0.25">
      <c r="B45" s="3"/>
      <c r="C45" s="2">
        <f>Tabla131624322122233526272822122232425262637077[[#This Row],[COMISIONES]]*0.21</f>
        <v>0</v>
      </c>
      <c r="D45" s="3"/>
      <c r="E45" s="3"/>
      <c r="F45" s="3"/>
      <c r="G45" s="3"/>
      <c r="I45" s="11"/>
      <c r="J45" s="11">
        <f>Tabla35101826364142444546474844142434445464657278[[#This Row],[COMISIONES]]*0.21</f>
        <v>0</v>
      </c>
      <c r="K45" s="11"/>
      <c r="L45" s="11"/>
      <c r="M45" s="11"/>
      <c r="O45" s="40"/>
      <c r="P45" s="40">
        <f>Tabla356813142230408182848586878888182838485868667379[[#This Row],[COMISIONES]]*0.21</f>
        <v>0</v>
      </c>
      <c r="Q45" s="40"/>
      <c r="R45" s="40"/>
      <c r="S45" s="40"/>
      <c r="T45" s="46"/>
      <c r="U45" s="40"/>
      <c r="V45" s="40">
        <f>Tabla3561119273443112131516171819111213141516171677580[[#This Row],[COMISIONES]]*0.21</f>
        <v>0</v>
      </c>
      <c r="W45" s="40"/>
      <c r="X45" s="40"/>
      <c r="Y45" s="40"/>
    </row>
    <row r="46" spans="1:25" s="6" customFormat="1" x14ac:dyDescent="0.25">
      <c r="A46"/>
      <c r="B46" s="3"/>
      <c r="C46" s="2">
        <f>Tabla131624322122233526272822122232425262637077[[#This Row],[COMISIONES]]*0.21</f>
        <v>0</v>
      </c>
      <c r="D46" s="3"/>
      <c r="E46" s="3"/>
      <c r="F46" s="3"/>
      <c r="G46" s="3"/>
      <c r="I46" s="11"/>
      <c r="J46" s="11">
        <f>Tabla35101826364142444546474844142434445464657278[[#This Row],[COMISIONES]]*0.21</f>
        <v>0</v>
      </c>
      <c r="K46" s="11"/>
      <c r="L46" s="11"/>
      <c r="M46" s="11"/>
      <c r="O46" s="40"/>
      <c r="P46" s="40">
        <f>Tabla356813142230408182848586878888182838485868667379[[#This Row],[COMISIONES]]*0.21</f>
        <v>0</v>
      </c>
      <c r="Q46" s="40"/>
      <c r="R46" s="40"/>
      <c r="S46" s="40"/>
      <c r="T46" s="46"/>
      <c r="U46" s="40"/>
      <c r="V46" s="40">
        <f>Tabla3561119273443112131516171819111213141516171677580[[#This Row],[COMISIONES]]*0.21</f>
        <v>0</v>
      </c>
      <c r="W46" s="40"/>
      <c r="X46" s="40"/>
      <c r="Y46" s="40"/>
    </row>
    <row r="47" spans="1:25" s="6" customFormat="1" x14ac:dyDescent="0.25">
      <c r="A47"/>
      <c r="B47" s="2"/>
      <c r="C47" s="2">
        <f>Tabla131624322122233526272822122232425262637077[[#This Row],[COMISIONES]]*0.21</f>
        <v>0</v>
      </c>
      <c r="D47" s="2"/>
      <c r="E47" s="2"/>
      <c r="F47"/>
      <c r="G47"/>
      <c r="I47" s="11"/>
      <c r="J47" s="11">
        <f>Tabla35101826364142444546474844142434445464657278[[#This Row],[COMISIONES]]*0.21</f>
        <v>0</v>
      </c>
      <c r="K47" s="11"/>
      <c r="L47" s="11"/>
      <c r="M47" s="11"/>
      <c r="O47" s="40"/>
      <c r="P47" s="40">
        <f>Tabla356813142230408182848586878888182838485868667379[[#This Row],[COMISIONES]]*0.21</f>
        <v>0</v>
      </c>
      <c r="Q47" s="40"/>
      <c r="R47" s="40"/>
      <c r="S47" s="40"/>
      <c r="T47" s="46"/>
      <c r="U47" s="40"/>
      <c r="V47" s="40">
        <f>Tabla3561119273443112131516171819111213141516171677580[[#This Row],[COMISIONES]]*0.21</f>
        <v>0</v>
      </c>
      <c r="W47" s="40"/>
      <c r="X47" s="40"/>
      <c r="Y47" s="40"/>
    </row>
    <row r="48" spans="1:25" s="6" customFormat="1" x14ac:dyDescent="0.25">
      <c r="A48"/>
      <c r="B48" s="2"/>
      <c r="C48" s="2">
        <f>Tabla131624322122233526272822122232425262637077[[#This Row],[COMISIONES]]*0.21</f>
        <v>0</v>
      </c>
      <c r="D48" s="2"/>
      <c r="E48" s="2"/>
      <c r="F48"/>
      <c r="G48"/>
      <c r="I48" s="11"/>
      <c r="J48" s="11">
        <f>Tabla35101826364142444546474844142434445464657278[[#This Row],[COMISIONES]]*0.21</f>
        <v>0</v>
      </c>
      <c r="K48" s="11"/>
      <c r="L48" s="11"/>
      <c r="M48" s="11"/>
      <c r="O48" s="40"/>
      <c r="P48" s="40">
        <f>Tabla356813142230408182848586878888182838485868667379[[#This Row],[COMISIONES]]*0.21</f>
        <v>0</v>
      </c>
      <c r="Q48" s="40"/>
      <c r="R48" s="40"/>
      <c r="S48" s="40"/>
      <c r="T48" s="46"/>
      <c r="U48" s="40"/>
      <c r="V48" s="40">
        <f>Tabla3561119273443112131516171819111213141516171677580[[#This Row],[COMISIONES]]*0.21</f>
        <v>0</v>
      </c>
      <c r="W48" s="40"/>
      <c r="X48" s="40"/>
      <c r="Y48" s="40"/>
    </row>
    <row r="49" spans="1:25" s="6" customFormat="1" x14ac:dyDescent="0.25">
      <c r="A49"/>
      <c r="B49" s="2"/>
      <c r="C49" s="2">
        <f>Tabla131624322122233526272822122232425262637077[[#This Row],[COMISIONES]]*0.21</f>
        <v>0</v>
      </c>
      <c r="D49" s="2"/>
      <c r="E49" s="2"/>
      <c r="F49"/>
      <c r="G49"/>
      <c r="I49" s="11"/>
      <c r="J49" s="11">
        <f>Tabla35101826364142444546474844142434445464657278[[#This Row],[COMISIONES]]*0.21</f>
        <v>0</v>
      </c>
      <c r="K49" s="11"/>
      <c r="L49" s="11"/>
      <c r="M49" s="11"/>
      <c r="O49" s="40"/>
      <c r="P49" s="40">
        <f>Tabla356813142230408182848586878888182838485868667379[[#This Row],[COMISIONES]]*0.21</f>
        <v>0</v>
      </c>
      <c r="Q49" s="40"/>
      <c r="R49" s="40"/>
      <c r="S49" s="40"/>
      <c r="T49" s="46"/>
      <c r="U49" s="40"/>
      <c r="V49" s="40">
        <f>Tabla3561119273443112131516171819111213141516171677580[[#This Row],[COMISIONES]]*0.21</f>
        <v>0</v>
      </c>
      <c r="W49" s="40"/>
      <c r="X49" s="40"/>
      <c r="Y49" s="40"/>
    </row>
    <row r="50" spans="1:25" s="6" customFormat="1" x14ac:dyDescent="0.25">
      <c r="A50"/>
      <c r="B50" s="2"/>
      <c r="C50" s="2">
        <f>Tabla131624322122233526272822122232425262637077[[#This Row],[COMISIONES]]*0.21</f>
        <v>0</v>
      </c>
      <c r="D50" s="2"/>
      <c r="E50" s="2"/>
      <c r="F50"/>
      <c r="G50"/>
      <c r="I50" s="11"/>
      <c r="J50" s="11">
        <f>Tabla35101826364142444546474844142434445464657278[[#This Row],[COMISIONES]]*0.21</f>
        <v>0</v>
      </c>
      <c r="K50" s="11"/>
      <c r="L50" s="11"/>
      <c r="M50" s="11"/>
      <c r="O50" s="40"/>
      <c r="P50" s="40">
        <f>Tabla356813142230408182848586878888182838485868667379[[#This Row],[COMISIONES]]*0.21</f>
        <v>0</v>
      </c>
      <c r="Q50" s="40"/>
      <c r="R50" s="40"/>
      <c r="S50" s="40"/>
      <c r="T50" s="46"/>
      <c r="U50" s="40"/>
      <c r="V50" s="40">
        <f>Tabla3561119273443112131516171819111213141516171677580[[#This Row],[COMISIONES]]*0.21</f>
        <v>0</v>
      </c>
      <c r="W50" s="40"/>
      <c r="X50" s="40"/>
      <c r="Y50" s="40"/>
    </row>
    <row r="51" spans="1:25" s="6" customFormat="1" x14ac:dyDescent="0.25">
      <c r="A51"/>
      <c r="B51" s="2"/>
      <c r="C51" s="2">
        <f>Tabla131624322122233526272822122232425262637077[[#This Row],[COMISIONES]]*0.21</f>
        <v>0</v>
      </c>
      <c r="D51" s="2"/>
      <c r="E51" s="2"/>
      <c r="F51"/>
      <c r="G51"/>
      <c r="I51" s="11"/>
      <c r="J51" s="11">
        <f>Tabla35101826364142444546474844142434445464657278[[#This Row],[COMISIONES]]*0.21</f>
        <v>0</v>
      </c>
      <c r="K51" s="11"/>
      <c r="L51" s="11"/>
      <c r="M51" s="11"/>
      <c r="O51" s="40"/>
      <c r="P51" s="40">
        <f>Tabla356813142230408182848586878888182838485868667379[[#This Row],[COMISIONES]]*0.21</f>
        <v>0</v>
      </c>
      <c r="Q51" s="40"/>
      <c r="R51" s="40"/>
      <c r="S51" s="40"/>
      <c r="T51" s="48"/>
      <c r="U51" s="4">
        <f>SUBTOTAL(109,Tabla3561119273443112131516171819111213141516171677580[COMISIONES])</f>
        <v>7128.1</v>
      </c>
      <c r="V51" s="4">
        <f>SUBTOTAL(109,Tabla3561119273443112131516171819111213141516171677580[IVA 21])</f>
        <v>1496.9010000000001</v>
      </c>
      <c r="W51" s="4">
        <f>SUBTOTAL(109,Tabla3561119273443112131516171819111213141516171677580[IVA 10,5])</f>
        <v>0</v>
      </c>
      <c r="X51" s="4">
        <f>SUBTOTAL(109,Tabla3561119273443112131516171819111213141516171677580[Ret IIBB Caba])</f>
        <v>827.04</v>
      </c>
      <c r="Y51" s="4">
        <f>SUBTOTAL(109,Tabla3561119273443112131516171819111213141516171677580[PERC IVA])</f>
        <v>213.84</v>
      </c>
    </row>
    <row r="52" spans="1:25" s="6" customFormat="1" x14ac:dyDescent="0.25">
      <c r="A52"/>
      <c r="B52" s="2"/>
      <c r="C52" s="2">
        <f>Tabla131624322122233526272822122232425262637077[[#This Row],[COMISIONES]]*0.21</f>
        <v>0</v>
      </c>
      <c r="D52" s="2"/>
      <c r="E52" s="2"/>
      <c r="F52"/>
      <c r="G52"/>
      <c r="I52" s="11"/>
      <c r="J52" s="11">
        <f>Tabla35101826364142444546474844142434445464657278[[#This Row],[COMISIONES]]*0.21</f>
        <v>0</v>
      </c>
      <c r="K52" s="11"/>
      <c r="L52" s="11"/>
      <c r="M52" s="11"/>
      <c r="O52" s="40"/>
      <c r="P52" s="40">
        <f>Tabla356813142230408182848586878888182838485868667379[[#This Row],[COMISIONES]]*0.21</f>
        <v>0</v>
      </c>
      <c r="Q52" s="40"/>
      <c r="R52" s="40"/>
      <c r="S52" s="40"/>
      <c r="T52" s="48"/>
      <c r="U52"/>
      <c r="V52"/>
      <c r="W52"/>
      <c r="X52"/>
      <c r="Y52"/>
    </row>
    <row r="53" spans="1:25" s="6" customFormat="1" x14ac:dyDescent="0.25">
      <c r="A53"/>
      <c r="B53" s="2"/>
      <c r="C53" s="2">
        <f>Tabla131624322122233526272822122232425262637077[[#This Row],[COMISIONES]]*0.21</f>
        <v>0</v>
      </c>
      <c r="D53" s="2"/>
      <c r="E53" s="2"/>
      <c r="F53"/>
      <c r="G53"/>
      <c r="I53" s="11"/>
      <c r="J53" s="11">
        <f>Tabla35101826364142444546474844142434445464657278[[#This Row],[COMISIONES]]*0.21</f>
        <v>0</v>
      </c>
      <c r="K53" s="11"/>
      <c r="L53" s="11"/>
      <c r="M53" s="11"/>
      <c r="O53" s="40"/>
      <c r="P53" s="40">
        <f>Tabla356813142230408182848586878888182838485868667379[[#This Row],[COMISIONES]]*0.21</f>
        <v>0</v>
      </c>
      <c r="Q53" s="40"/>
      <c r="R53" s="40"/>
      <c r="S53" s="40"/>
      <c r="T53" s="48"/>
      <c r="U53"/>
      <c r="V53"/>
      <c r="W53"/>
      <c r="X53"/>
      <c r="Y53"/>
    </row>
    <row r="54" spans="1:25" s="6" customFormat="1" x14ac:dyDescent="0.25">
      <c r="A54"/>
      <c r="B54" s="2"/>
      <c r="C54" s="2">
        <f>Tabla131624322122233526272822122232425262637077[[#This Row],[COMISIONES]]*0.21</f>
        <v>0</v>
      </c>
      <c r="D54" s="1"/>
      <c r="E54" s="2"/>
      <c r="F54"/>
      <c r="G54"/>
      <c r="I54" s="11"/>
      <c r="J54" s="11">
        <f>Tabla35101826364142444546474844142434445464657278[[#This Row],[COMISIONES]]*0.21</f>
        <v>0</v>
      </c>
      <c r="K54" s="11"/>
      <c r="L54" s="11"/>
      <c r="M54" s="11"/>
      <c r="O54" s="40"/>
      <c r="P54" s="40">
        <f>Tabla356813142230408182848586878888182838485868667379[[#This Row],[COMISIONES]]*0.21</f>
        <v>0</v>
      </c>
      <c r="Q54" s="40"/>
      <c r="R54" s="40"/>
      <c r="S54" s="40"/>
      <c r="T54" s="48"/>
      <c r="U54"/>
      <c r="V54"/>
      <c r="W54"/>
      <c r="X54"/>
      <c r="Y54"/>
    </row>
    <row r="55" spans="1:25" s="6" customFormat="1" x14ac:dyDescent="0.25">
      <c r="A55"/>
      <c r="B55" s="2"/>
      <c r="C55" s="2">
        <f>Tabla131624322122233526272822122232425262637077[[#This Row],[COMISIONES]]*0.21</f>
        <v>0</v>
      </c>
      <c r="D55" s="2"/>
      <c r="E55" s="2"/>
      <c r="F55"/>
      <c r="G55"/>
      <c r="I55" s="11"/>
      <c r="J55" s="11">
        <f>Tabla35101826364142444546474844142434445464657278[[#This Row],[COMISIONES]]*0.21</f>
        <v>0</v>
      </c>
      <c r="K55" s="11"/>
      <c r="L55" s="11"/>
      <c r="M55" s="11"/>
      <c r="O55" s="40"/>
      <c r="P55" s="40">
        <f>Tabla356813142230408182848586878888182838485868667379[[#This Row],[COMISIONES]]*0.21</f>
        <v>0</v>
      </c>
      <c r="Q55" s="40"/>
      <c r="R55" s="40"/>
      <c r="S55" s="40"/>
      <c r="T55" s="48"/>
      <c r="U55"/>
      <c r="V55"/>
      <c r="W55"/>
      <c r="X55"/>
      <c r="Y55"/>
    </row>
    <row r="56" spans="1:25" s="6" customFormat="1" x14ac:dyDescent="0.25">
      <c r="A56"/>
      <c r="B56" s="2"/>
      <c r="C56" s="2">
        <f>Tabla131624322122233526272822122232425262637077[[#This Row],[COMISIONES]]*0.21</f>
        <v>0</v>
      </c>
      <c r="D56" s="2"/>
      <c r="E56" s="2"/>
      <c r="F56"/>
      <c r="G56"/>
      <c r="I56" s="11"/>
      <c r="J56" s="11">
        <f>Tabla35101826364142444546474844142434445464657278[[#This Row],[COMISIONES]]*0.21</f>
        <v>0</v>
      </c>
      <c r="K56" s="11"/>
      <c r="L56" s="11"/>
      <c r="M56" s="11"/>
      <c r="O56" s="40"/>
      <c r="P56" s="40">
        <f>Tabla356813142230408182848586878888182838485868667379[[#This Row],[COMISIONES]]*0.21</f>
        <v>0</v>
      </c>
      <c r="Q56" s="40"/>
      <c r="R56" s="40"/>
      <c r="S56" s="40"/>
      <c r="T56" s="48"/>
      <c r="U56"/>
      <c r="V56"/>
      <c r="W56"/>
      <c r="X56"/>
      <c r="Y56"/>
    </row>
    <row r="57" spans="1:25" s="6" customFormat="1" x14ac:dyDescent="0.25">
      <c r="A57"/>
      <c r="B57" s="4">
        <f>SUBTOTAL(109,Tabla131624322122233526272822122232425262637077[COMISIONES])</f>
        <v>132787.09523809524</v>
      </c>
      <c r="C57" s="4">
        <f>SUBTOTAL(109,Tabla131624322122233526272822122232425262637077[IVA 21])</f>
        <v>27885.29</v>
      </c>
      <c r="D57" s="4">
        <f>SUBTOTAL(109,Tabla131624322122233526272822122232425262637077[IVA 10,5])</f>
        <v>0</v>
      </c>
      <c r="E57" s="4">
        <f>SUBTOTAL(109,Tabla131624322122233526272822122232425262637077[Ret IIBB Caba])</f>
        <v>3993.12</v>
      </c>
      <c r="F57" s="4">
        <f>SUBTOTAL(109,Tabla131624322122233526272822122232425262637077[PERC IVA])</f>
        <v>3893.31</v>
      </c>
      <c r="G57" s="4"/>
      <c r="I57" s="11"/>
      <c r="J57" s="11">
        <f>Tabla35101826364142444546474844142434445464657278[[#This Row],[COMISIONES]]*0.21</f>
        <v>0</v>
      </c>
      <c r="K57" s="11"/>
      <c r="L57" s="11"/>
      <c r="M57" s="11"/>
      <c r="O57" s="40"/>
      <c r="P57" s="40">
        <f>Tabla356813142230408182848586878888182838485868667379[[#This Row],[COMISIONES]]*0.21</f>
        <v>0</v>
      </c>
      <c r="Q57" s="40"/>
      <c r="R57" s="40"/>
      <c r="S57" s="40"/>
      <c r="T57" s="48"/>
      <c r="U57"/>
      <c r="V57"/>
      <c r="W57"/>
      <c r="X57"/>
      <c r="Y57"/>
    </row>
    <row r="58" spans="1:25" s="6" customFormat="1" x14ac:dyDescent="0.25">
      <c r="A58"/>
      <c r="B58"/>
      <c r="C58"/>
      <c r="D58"/>
      <c r="E58"/>
      <c r="F58"/>
      <c r="G58"/>
      <c r="I58" s="11"/>
      <c r="J58" s="11">
        <f>Tabla35101826364142444546474844142434445464657278[[#This Row],[COMISIONES]]*0.21</f>
        <v>0</v>
      </c>
      <c r="K58" s="11"/>
      <c r="L58" s="11"/>
      <c r="M58" s="11"/>
      <c r="O58" s="40"/>
      <c r="P58" s="40">
        <f>Tabla356813142230408182848586878888182838485868667379[[#This Row],[COMISIONES]]*0.21</f>
        <v>0</v>
      </c>
      <c r="Q58" s="40"/>
      <c r="R58" s="40"/>
      <c r="S58" s="40"/>
      <c r="T58" s="48"/>
      <c r="U58"/>
      <c r="V58"/>
      <c r="W58"/>
      <c r="X58"/>
      <c r="Y58"/>
    </row>
    <row r="59" spans="1:25" s="6" customFormat="1" x14ac:dyDescent="0.25">
      <c r="A59"/>
      <c r="B59"/>
      <c r="C59"/>
      <c r="D59"/>
      <c r="E59"/>
      <c r="F59"/>
      <c r="G59"/>
      <c r="I59" s="11"/>
      <c r="J59" s="11">
        <f>Tabla35101826364142444546474844142434445464657278[[#This Row],[COMISIONES]]*0.21</f>
        <v>0</v>
      </c>
      <c r="K59" s="11"/>
      <c r="L59" s="11"/>
      <c r="M59" s="11"/>
      <c r="O59" s="40"/>
      <c r="P59" s="40">
        <f>Tabla356813142230408182848586878888182838485868667379[[#This Row],[COMISIONES]]*0.21</f>
        <v>0</v>
      </c>
      <c r="Q59" s="40"/>
      <c r="R59" s="40"/>
      <c r="S59" s="40"/>
      <c r="T59" s="48"/>
      <c r="U59"/>
      <c r="V59"/>
      <c r="W59"/>
      <c r="X59"/>
      <c r="Y59"/>
    </row>
    <row r="60" spans="1:25" s="6" customFormat="1" x14ac:dyDescent="0.25">
      <c r="A60"/>
      <c r="B60"/>
      <c r="C60"/>
      <c r="D60"/>
      <c r="E60"/>
      <c r="F60"/>
      <c r="G60"/>
      <c r="I60" s="11"/>
      <c r="J60" s="11">
        <f>Tabla35101826364142444546474844142434445464657278[[#This Row],[COMISIONES]]*0.21</f>
        <v>0</v>
      </c>
      <c r="K60" s="11"/>
      <c r="L60" s="11"/>
      <c r="M60" s="11"/>
      <c r="O60" s="40"/>
      <c r="P60" s="40">
        <f>Tabla356813142230408182848586878888182838485868667379[[#This Row],[COMISIONES]]*0.21</f>
        <v>0</v>
      </c>
      <c r="Q60" s="40"/>
      <c r="R60" s="40"/>
      <c r="S60" s="40"/>
      <c r="T60" s="48"/>
      <c r="U60"/>
      <c r="V60"/>
      <c r="W60"/>
      <c r="X60"/>
      <c r="Y60"/>
    </row>
    <row r="61" spans="1:25" s="6" customFormat="1" x14ac:dyDescent="0.25">
      <c r="A61"/>
      <c r="B61"/>
      <c r="C61"/>
      <c r="D61"/>
      <c r="E61"/>
      <c r="F61"/>
      <c r="G61"/>
      <c r="I61" s="11"/>
      <c r="J61" s="11">
        <f>Tabla35101826364142444546474844142434445464657278[[#This Row],[COMISIONES]]*0.21</f>
        <v>0</v>
      </c>
      <c r="K61" s="11"/>
      <c r="L61" s="11"/>
      <c r="M61" s="11"/>
      <c r="O61" s="40"/>
      <c r="P61" s="40">
        <f>Tabla356813142230408182848586878888182838485868667379[[#This Row],[COMISIONES]]*0.21</f>
        <v>0</v>
      </c>
      <c r="Q61" s="40"/>
      <c r="R61" s="40"/>
      <c r="S61" s="40"/>
      <c r="T61" s="48"/>
      <c r="U61"/>
      <c r="V61"/>
      <c r="W61"/>
      <c r="X61"/>
      <c r="Y61"/>
    </row>
    <row r="62" spans="1:25" s="6" customFormat="1" x14ac:dyDescent="0.25">
      <c r="A62"/>
      <c r="B62"/>
      <c r="C62"/>
      <c r="D62"/>
      <c r="E62"/>
      <c r="F62"/>
      <c r="G62"/>
      <c r="I62" s="11"/>
      <c r="J62" s="11">
        <f>Tabla35101826364142444546474844142434445464657278[[#This Row],[COMISIONES]]*0.21</f>
        <v>0</v>
      </c>
      <c r="K62" s="11"/>
      <c r="L62" s="11"/>
      <c r="M62" s="11"/>
      <c r="O62" s="40"/>
      <c r="P62" s="40">
        <f>Tabla356813142230408182848586878888182838485868667379[[#This Row],[COMISIONES]]*0.21</f>
        <v>0</v>
      </c>
      <c r="Q62" s="40"/>
      <c r="R62" s="40"/>
      <c r="S62" s="40"/>
      <c r="T62" s="48"/>
      <c r="U62"/>
      <c r="V62"/>
      <c r="W62"/>
      <c r="X62"/>
      <c r="Y62"/>
    </row>
    <row r="63" spans="1:25" s="6" customFormat="1" x14ac:dyDescent="0.25">
      <c r="A63"/>
      <c r="B63"/>
      <c r="C63"/>
      <c r="D63"/>
      <c r="E63"/>
      <c r="F63"/>
      <c r="G63"/>
      <c r="I63" s="18"/>
      <c r="J63" s="11">
        <f>Tabla35101826364142444546474844142434445464657278[[#This Row],[COMISIONES]]*0.21</f>
        <v>0</v>
      </c>
      <c r="K63" s="18"/>
      <c r="L63" s="18"/>
      <c r="M63" s="18"/>
      <c r="O63" s="40"/>
      <c r="P63" s="40">
        <f>Tabla356813142230408182848586878888182838485868667379[[#This Row],[COMISIONES]]*0.21</f>
        <v>0</v>
      </c>
      <c r="Q63" s="40"/>
      <c r="R63" s="40"/>
      <c r="S63" s="40"/>
      <c r="T63" s="48"/>
      <c r="U63"/>
      <c r="V63"/>
      <c r="W63"/>
      <c r="X63"/>
      <c r="Y63"/>
    </row>
    <row r="64" spans="1:25" s="6" customFormat="1" x14ac:dyDescent="0.25">
      <c r="A64"/>
      <c r="B64"/>
      <c r="C64"/>
      <c r="D64"/>
      <c r="E64"/>
      <c r="F64"/>
      <c r="G64"/>
      <c r="I64" s="18"/>
      <c r="J64" s="11">
        <f>Tabla35101826364142444546474844142434445464657278[[#This Row],[COMISIONES]]*0.21</f>
        <v>0</v>
      </c>
      <c r="K64" s="18"/>
      <c r="L64" s="18"/>
      <c r="M64" s="18"/>
      <c r="O64" s="40"/>
      <c r="P64" s="40">
        <f>Tabla356813142230408182848586878888182838485868667379[[#This Row],[COMISIONES]]*0.21</f>
        <v>0</v>
      </c>
      <c r="Q64" s="40"/>
      <c r="R64" s="40"/>
      <c r="S64" s="40"/>
      <c r="T64" s="49"/>
      <c r="U64"/>
      <c r="V64"/>
      <c r="W64"/>
      <c r="X64"/>
      <c r="Y64"/>
    </row>
    <row r="65" spans="1:25" s="6" customFormat="1" x14ac:dyDescent="0.25">
      <c r="A65"/>
      <c r="B65"/>
      <c r="C65"/>
      <c r="D65"/>
      <c r="E65"/>
      <c r="F65"/>
      <c r="G65"/>
      <c r="I65" s="18"/>
      <c r="J65" s="11">
        <f>Tabla35101826364142444546474844142434445464657278[[#This Row],[COMISIONES]]*0.21</f>
        <v>0</v>
      </c>
      <c r="K65" s="18"/>
      <c r="L65" s="18"/>
      <c r="M65" s="18"/>
      <c r="O65" s="40"/>
      <c r="P65" s="40">
        <f>Tabla356813142230408182848586878888182838485868667379[[#This Row],[COMISIONES]]*0.21</f>
        <v>0</v>
      </c>
      <c r="Q65" s="40"/>
      <c r="R65" s="40"/>
      <c r="S65" s="40"/>
      <c r="U65"/>
      <c r="V65"/>
      <c r="W65"/>
      <c r="X65"/>
      <c r="Y65"/>
    </row>
    <row r="66" spans="1:25" s="6" customFormat="1" x14ac:dyDescent="0.25">
      <c r="A66"/>
      <c r="B66"/>
      <c r="C66"/>
      <c r="D66"/>
      <c r="E66"/>
      <c r="F66"/>
      <c r="G66"/>
      <c r="I66" s="18"/>
      <c r="J66" s="11">
        <f>Tabla35101826364142444546474844142434445464657278[[#This Row],[COMISIONES]]*0.21</f>
        <v>0</v>
      </c>
      <c r="K66" s="18"/>
      <c r="L66" s="18"/>
      <c r="M66" s="18"/>
      <c r="O66" s="40"/>
      <c r="P66" s="40">
        <f>Tabla356813142230408182848586878888182838485868667379[[#This Row],[COMISIONES]]*0.21</f>
        <v>0</v>
      </c>
      <c r="Q66" s="40"/>
      <c r="R66" s="40"/>
      <c r="S66" s="40"/>
      <c r="U66"/>
      <c r="V66"/>
      <c r="W66"/>
      <c r="X66"/>
      <c r="Y66"/>
    </row>
    <row r="67" spans="1:25" s="6" customFormat="1" x14ac:dyDescent="0.25">
      <c r="A67"/>
      <c r="B67"/>
      <c r="C67"/>
      <c r="D67"/>
      <c r="E67"/>
      <c r="F67"/>
      <c r="G67"/>
      <c r="I67" s="18"/>
      <c r="J67" s="11">
        <f>Tabla35101826364142444546474844142434445464657278[[#This Row],[COMISIONES]]*0.21</f>
        <v>0</v>
      </c>
      <c r="K67" s="18"/>
      <c r="L67" s="18"/>
      <c r="M67" s="18"/>
      <c r="O67" s="40"/>
      <c r="P67" s="40">
        <f>Tabla356813142230408182848586878888182838485868667379[[#This Row],[COMISIONES]]*0.21</f>
        <v>0</v>
      </c>
      <c r="Q67" s="40"/>
      <c r="R67" s="40"/>
      <c r="S67" s="40"/>
      <c r="U67"/>
      <c r="V67"/>
      <c r="W67"/>
      <c r="X67"/>
      <c r="Y67"/>
    </row>
    <row r="68" spans="1:25" s="6" customFormat="1" x14ac:dyDescent="0.25">
      <c r="A68"/>
      <c r="B68"/>
      <c r="C68"/>
      <c r="D68"/>
      <c r="E68"/>
      <c r="F68"/>
      <c r="G68"/>
      <c r="I68" s="18"/>
      <c r="J68" s="11">
        <f>Tabla35101826364142444546474844142434445464657278[[#This Row],[COMISIONES]]*0.21</f>
        <v>0</v>
      </c>
      <c r="K68" s="18"/>
      <c r="L68" s="18"/>
      <c r="M68" s="18"/>
      <c r="O68" s="40"/>
      <c r="P68" s="40">
        <f>Tabla356813142230408182848586878888182838485868667379[[#This Row],[COMISIONES]]*0.21</f>
        <v>0</v>
      </c>
      <c r="Q68" s="40"/>
      <c r="R68" s="40"/>
      <c r="S68" s="40"/>
      <c r="U68"/>
      <c r="V68"/>
      <c r="W68"/>
      <c r="X68"/>
      <c r="Y68"/>
    </row>
    <row r="69" spans="1:25" s="6" customFormat="1" x14ac:dyDescent="0.25">
      <c r="A69"/>
      <c r="B69"/>
      <c r="C69"/>
      <c r="D69"/>
      <c r="E69"/>
      <c r="F69"/>
      <c r="G69"/>
      <c r="I69" s="18"/>
      <c r="J69" s="11">
        <f>Tabla35101826364142444546474844142434445464657278[[#This Row],[COMISIONES]]*0.21</f>
        <v>0</v>
      </c>
      <c r="K69" s="18"/>
      <c r="L69" s="18"/>
      <c r="M69" s="18"/>
      <c r="O69" s="40"/>
      <c r="P69" s="40">
        <f>Tabla356813142230408182848586878888182838485868667379[[#This Row],[COMISIONES]]*0.21</f>
        <v>0</v>
      </c>
      <c r="Q69" s="40"/>
      <c r="R69" s="40"/>
      <c r="S69" s="40"/>
      <c r="U69"/>
      <c r="V69"/>
      <c r="W69"/>
      <c r="X69"/>
      <c r="Y69"/>
    </row>
    <row r="70" spans="1:25" s="6" customFormat="1" x14ac:dyDescent="0.25">
      <c r="A70"/>
      <c r="B70"/>
      <c r="C70"/>
      <c r="D70"/>
      <c r="E70"/>
      <c r="F70"/>
      <c r="G70"/>
      <c r="I70" s="18"/>
      <c r="J70" s="11">
        <f>Tabla35101826364142444546474844142434445464657278[[#This Row],[COMISIONES]]*0.21</f>
        <v>0</v>
      </c>
      <c r="K70" s="18"/>
      <c r="L70" s="18"/>
      <c r="M70" s="18"/>
      <c r="O70" s="40"/>
      <c r="P70" s="40">
        <f>Tabla356813142230408182848586878888182838485868667379[[#This Row],[COMISIONES]]*0.21</f>
        <v>0</v>
      </c>
      <c r="Q70" s="40"/>
      <c r="R70" s="40"/>
      <c r="S70" s="40"/>
      <c r="U70"/>
      <c r="V70"/>
      <c r="W70"/>
      <c r="X70"/>
      <c r="Y70"/>
    </row>
    <row r="71" spans="1:25" s="6" customFormat="1" x14ac:dyDescent="0.25">
      <c r="A71"/>
      <c r="B71"/>
      <c r="C71"/>
      <c r="D71"/>
      <c r="E71"/>
      <c r="F71"/>
      <c r="G71"/>
      <c r="I71" s="18"/>
      <c r="J71" s="11">
        <f>Tabla35101826364142444546474844142434445464657278[[#This Row],[COMISIONES]]*0.21</f>
        <v>0</v>
      </c>
      <c r="K71" s="18"/>
      <c r="L71" s="18"/>
      <c r="M71" s="18"/>
      <c r="O71" s="40"/>
      <c r="P71" s="40">
        <f>Tabla356813142230408182848586878888182838485868667379[[#This Row],[COMISIONES]]*0.21</f>
        <v>0</v>
      </c>
      <c r="Q71" s="40"/>
      <c r="R71" s="40"/>
      <c r="S71" s="40"/>
      <c r="U71"/>
      <c r="V71"/>
      <c r="W71"/>
      <c r="X71"/>
      <c r="Y71"/>
    </row>
    <row r="72" spans="1:25" s="6" customFormat="1" x14ac:dyDescent="0.25">
      <c r="A72"/>
      <c r="B72"/>
      <c r="C72"/>
      <c r="D72"/>
      <c r="E72"/>
      <c r="F72"/>
      <c r="G72"/>
      <c r="I72" s="18"/>
      <c r="J72" s="11">
        <f>Tabla35101826364142444546474844142434445464657278[[#This Row],[COMISIONES]]*0.21</f>
        <v>0</v>
      </c>
      <c r="K72" s="18"/>
      <c r="L72" s="18"/>
      <c r="M72" s="18"/>
      <c r="O72" s="40"/>
      <c r="P72" s="40">
        <f>Tabla356813142230408182848586878888182838485868667379[[#This Row],[COMISIONES]]*0.21</f>
        <v>0</v>
      </c>
      <c r="Q72" s="40"/>
      <c r="R72" s="40"/>
      <c r="S72" s="40"/>
      <c r="U72"/>
      <c r="V72"/>
      <c r="W72"/>
      <c r="X72"/>
      <c r="Y72"/>
    </row>
    <row r="73" spans="1:25" s="6" customFormat="1" x14ac:dyDescent="0.25">
      <c r="A73"/>
      <c r="B73"/>
      <c r="C73"/>
      <c r="D73"/>
      <c r="E73"/>
      <c r="F73"/>
      <c r="G73"/>
      <c r="I73" s="18"/>
      <c r="J73" s="11">
        <f>Tabla35101826364142444546474844142434445464657278[[#This Row],[COMISIONES]]*0.21</f>
        <v>0</v>
      </c>
      <c r="K73" s="18"/>
      <c r="L73" s="18"/>
      <c r="M73" s="18"/>
      <c r="O73" s="40"/>
      <c r="P73" s="40">
        <f>Tabla356813142230408182848586878888182838485868667379[[#This Row],[COMISIONES]]*0.21</f>
        <v>0</v>
      </c>
      <c r="Q73" s="40"/>
      <c r="R73" s="40"/>
      <c r="S73" s="40"/>
      <c r="U73"/>
      <c r="V73"/>
      <c r="W73"/>
      <c r="X73"/>
      <c r="Y73"/>
    </row>
    <row r="74" spans="1:25" s="6" customFormat="1" x14ac:dyDescent="0.25">
      <c r="A74"/>
      <c r="B74"/>
      <c r="C74"/>
      <c r="D74"/>
      <c r="E74"/>
      <c r="F74"/>
      <c r="G74"/>
      <c r="I74" s="18"/>
      <c r="J74" s="11">
        <f>Tabla35101826364142444546474844142434445464657278[[#This Row],[COMISIONES]]*0.21</f>
        <v>0</v>
      </c>
      <c r="K74" s="18"/>
      <c r="L74" s="18"/>
      <c r="M74" s="18"/>
      <c r="O74" s="40"/>
      <c r="P74" s="40">
        <f>Tabla356813142230408182848586878888182838485868667379[[#This Row],[COMISIONES]]*0.21</f>
        <v>0</v>
      </c>
      <c r="Q74" s="40"/>
      <c r="R74" s="40"/>
      <c r="S74" s="40"/>
      <c r="U74"/>
      <c r="V74"/>
      <c r="W74"/>
      <c r="X74"/>
      <c r="Y74"/>
    </row>
    <row r="75" spans="1:25" s="6" customFormat="1" x14ac:dyDescent="0.25">
      <c r="A75"/>
      <c r="B75"/>
      <c r="C75"/>
      <c r="D75"/>
      <c r="E75"/>
      <c r="F75"/>
      <c r="G75"/>
      <c r="I75" s="18"/>
      <c r="J75" s="11">
        <f>Tabla35101826364142444546474844142434445464657278[[#This Row],[COMISIONES]]*0.21</f>
        <v>0</v>
      </c>
      <c r="K75" s="18"/>
      <c r="L75" s="18"/>
      <c r="M75" s="18"/>
      <c r="O75" s="40"/>
      <c r="P75" s="40">
        <f>Tabla356813142230408182848586878888182838485868667379[[#This Row],[COMISIONES]]*0.21</f>
        <v>0</v>
      </c>
      <c r="Q75" s="40"/>
      <c r="R75" s="40"/>
      <c r="S75" s="40"/>
      <c r="U75"/>
      <c r="V75"/>
      <c r="W75"/>
      <c r="X75"/>
      <c r="Y75"/>
    </row>
    <row r="76" spans="1:25" s="6" customFormat="1" x14ac:dyDescent="0.25">
      <c r="A76"/>
      <c r="B76"/>
      <c r="C76"/>
      <c r="D76"/>
      <c r="E76"/>
      <c r="F76"/>
      <c r="G76"/>
      <c r="I76" s="18"/>
      <c r="J76" s="11">
        <f>Tabla35101826364142444546474844142434445464657278[[#This Row],[COMISIONES]]*0.21</f>
        <v>0</v>
      </c>
      <c r="K76" s="18"/>
      <c r="L76" s="18"/>
      <c r="M76" s="18"/>
      <c r="O76" s="40"/>
      <c r="P76" s="40">
        <f>Tabla356813142230408182848586878888182838485868667379[[#This Row],[COMISIONES]]*0.21</f>
        <v>0</v>
      </c>
      <c r="Q76" s="40"/>
      <c r="R76" s="40"/>
      <c r="S76" s="40"/>
      <c r="U76"/>
      <c r="V76"/>
      <c r="W76"/>
      <c r="X76"/>
      <c r="Y76"/>
    </row>
    <row r="77" spans="1:25" s="6" customFormat="1" x14ac:dyDescent="0.25">
      <c r="A77"/>
      <c r="B77"/>
      <c r="C77"/>
      <c r="D77"/>
      <c r="E77"/>
      <c r="F77"/>
      <c r="G77"/>
      <c r="I77" s="18"/>
      <c r="J77" s="11">
        <f>Tabla35101826364142444546474844142434445464657278[[#This Row],[COMISIONES]]*0.21</f>
        <v>0</v>
      </c>
      <c r="K77" s="18"/>
      <c r="L77" s="18"/>
      <c r="M77" s="18"/>
      <c r="O77" s="4">
        <f>SUBTOTAL(109,Tabla356813142230408182848586878888182838485868667379[COMISIONES])</f>
        <v>66024.428571428565</v>
      </c>
      <c r="P77" s="4">
        <f>SUBTOTAL(109,Tabla356813142230408182848586878888182838485868667379[IVA 21])</f>
        <v>13865.130000000001</v>
      </c>
      <c r="Q77" s="4">
        <f>SUBTOTAL(109,Tabla356813142230408182848586878888182838485868667379[IVA 10,5])</f>
        <v>0</v>
      </c>
      <c r="R77" s="4">
        <f>SUBTOTAL(109,Tabla356813142230408182848586878888182838485868667379[Ret IIBB Caba])</f>
        <v>2311.4700000000003</v>
      </c>
      <c r="S77" s="4">
        <f>SUBTOTAL(109,Tabla356813142230408182848586878888182838485868667379[PERC IVA])</f>
        <v>1980.73</v>
      </c>
      <c r="U77"/>
      <c r="V77"/>
      <c r="W77"/>
      <c r="X77"/>
      <c r="Y77"/>
    </row>
    <row r="78" spans="1:25" s="6" customFormat="1" x14ac:dyDescent="0.25">
      <c r="A78"/>
      <c r="B78"/>
      <c r="C78"/>
      <c r="D78"/>
      <c r="E78"/>
      <c r="F78"/>
      <c r="G78"/>
      <c r="I78" s="18"/>
      <c r="J78" s="11">
        <f>Tabla35101826364142444546474844142434445464657278[[#This Row],[COMISIONES]]*0.21</f>
        <v>0</v>
      </c>
      <c r="K78" s="18"/>
      <c r="L78" s="18"/>
      <c r="M78" s="18"/>
      <c r="O78"/>
      <c r="P78"/>
      <c r="Q78"/>
      <c r="R78"/>
      <c r="S78"/>
      <c r="U78"/>
      <c r="V78"/>
      <c r="W78"/>
      <c r="X78"/>
      <c r="Y78"/>
    </row>
    <row r="79" spans="1:25" s="6" customFormat="1" x14ac:dyDescent="0.25">
      <c r="A79"/>
      <c r="B79"/>
      <c r="C79"/>
      <c r="D79"/>
      <c r="E79"/>
      <c r="F79"/>
      <c r="G79"/>
      <c r="I79" s="18"/>
      <c r="J79" s="11">
        <f>Tabla35101826364142444546474844142434445464657278[[#This Row],[COMISIONES]]*0.21</f>
        <v>0</v>
      </c>
      <c r="K79" s="18"/>
      <c r="L79" s="18"/>
      <c r="M79" s="18"/>
      <c r="O79"/>
      <c r="P79"/>
      <c r="Q79"/>
      <c r="R79"/>
      <c r="S79"/>
      <c r="U79"/>
      <c r="V79"/>
      <c r="W79"/>
      <c r="X79"/>
      <c r="Y79"/>
    </row>
    <row r="80" spans="1:25" s="6" customFormat="1" x14ac:dyDescent="0.25">
      <c r="A80"/>
      <c r="B80"/>
      <c r="C80"/>
      <c r="D80"/>
      <c r="E80"/>
      <c r="F80"/>
      <c r="G80"/>
      <c r="I80" s="18"/>
      <c r="J80" s="11">
        <f>Tabla35101826364142444546474844142434445464657278[[#This Row],[COMISIONES]]*0.21</f>
        <v>0</v>
      </c>
      <c r="K80" s="18"/>
      <c r="L80" s="18"/>
      <c r="M80" s="18"/>
      <c r="O80"/>
      <c r="P80"/>
      <c r="Q80"/>
      <c r="R80"/>
      <c r="S80"/>
      <c r="U80"/>
      <c r="V80"/>
      <c r="W80"/>
      <c r="X80"/>
      <c r="Y80"/>
    </row>
    <row r="81" spans="1:25" s="6" customFormat="1" x14ac:dyDescent="0.25">
      <c r="A81"/>
      <c r="B81"/>
      <c r="C81"/>
      <c r="D81"/>
      <c r="E81"/>
      <c r="F81"/>
      <c r="G81"/>
      <c r="I81" s="18"/>
      <c r="J81" s="11">
        <f>Tabla35101826364142444546474844142434445464657278[[#This Row],[COMISIONES]]*0.21</f>
        <v>0</v>
      </c>
      <c r="K81" s="18"/>
      <c r="L81" s="18"/>
      <c r="M81" s="18"/>
      <c r="O81"/>
      <c r="P81"/>
      <c r="Q81"/>
      <c r="R81"/>
      <c r="S81"/>
      <c r="U81"/>
      <c r="V81"/>
      <c r="W81"/>
      <c r="X81"/>
      <c r="Y81"/>
    </row>
    <row r="82" spans="1:25" s="6" customFormat="1" x14ac:dyDescent="0.25">
      <c r="A82"/>
      <c r="B82"/>
      <c r="C82"/>
      <c r="D82"/>
      <c r="E82"/>
      <c r="F82"/>
      <c r="G82"/>
      <c r="I82" s="18"/>
      <c r="J82" s="11">
        <f>Tabla35101826364142444546474844142434445464657278[[#This Row],[COMISIONES]]*0.21</f>
        <v>0</v>
      </c>
      <c r="K82" s="18"/>
      <c r="L82" s="18"/>
      <c r="M82" s="18"/>
      <c r="O82"/>
      <c r="P82"/>
      <c r="Q82"/>
      <c r="R82"/>
      <c r="S82"/>
      <c r="U82"/>
      <c r="V82"/>
      <c r="W82"/>
      <c r="X82"/>
      <c r="Y82"/>
    </row>
    <row r="83" spans="1:25" s="6" customFormat="1" x14ac:dyDescent="0.25">
      <c r="A83"/>
      <c r="B83"/>
      <c r="C83"/>
      <c r="D83"/>
      <c r="E83"/>
      <c r="F83"/>
      <c r="G83"/>
      <c r="I83" s="18"/>
      <c r="J83" s="11">
        <f>Tabla35101826364142444546474844142434445464657278[[#This Row],[COMISIONES]]*0.21</f>
        <v>0</v>
      </c>
      <c r="K83" s="18"/>
      <c r="L83" s="18"/>
      <c r="M83" s="18"/>
      <c r="O83"/>
      <c r="P83"/>
      <c r="Q83"/>
      <c r="R83"/>
      <c r="S83"/>
      <c r="U83"/>
      <c r="V83"/>
      <c r="W83"/>
      <c r="X83"/>
      <c r="Y83"/>
    </row>
    <row r="84" spans="1:25" s="6" customFormat="1" x14ac:dyDescent="0.25">
      <c r="A84"/>
      <c r="B84"/>
      <c r="C84"/>
      <c r="D84"/>
      <c r="E84"/>
      <c r="F84"/>
      <c r="G84"/>
      <c r="I84" s="18"/>
      <c r="J84" s="11">
        <f>Tabla35101826364142444546474844142434445464657278[[#This Row],[COMISIONES]]*0.21</f>
        <v>0</v>
      </c>
      <c r="K84" s="18"/>
      <c r="L84" s="18"/>
      <c r="M84" s="18"/>
      <c r="O84"/>
      <c r="P84"/>
      <c r="Q84"/>
      <c r="R84"/>
      <c r="S84"/>
      <c r="U84"/>
      <c r="V84"/>
      <c r="W84"/>
      <c r="X84"/>
      <c r="Y84"/>
    </row>
    <row r="85" spans="1:25" s="6" customFormat="1" x14ac:dyDescent="0.25">
      <c r="A85"/>
      <c r="B85"/>
      <c r="C85"/>
      <c r="D85"/>
      <c r="E85"/>
      <c r="F85"/>
      <c r="G85"/>
      <c r="I85" s="18"/>
      <c r="J85" s="11">
        <f>Tabla35101826364142444546474844142434445464657278[[#This Row],[COMISIONES]]*0.21</f>
        <v>0</v>
      </c>
      <c r="K85" s="18"/>
      <c r="L85" s="18"/>
      <c r="M85" s="18"/>
      <c r="O85"/>
      <c r="P85"/>
      <c r="Q85"/>
      <c r="R85"/>
      <c r="S85"/>
      <c r="U85"/>
      <c r="V85"/>
      <c r="W85"/>
      <c r="X85"/>
      <c r="Y85"/>
    </row>
    <row r="86" spans="1:25" s="6" customFormat="1" x14ac:dyDescent="0.25">
      <c r="A86"/>
      <c r="B86"/>
      <c r="C86"/>
      <c r="D86"/>
      <c r="E86"/>
      <c r="F86"/>
      <c r="G86"/>
      <c r="I86" s="18"/>
      <c r="J86" s="11">
        <f>Tabla35101826364142444546474844142434445464657278[[#This Row],[COMISIONES]]*0.21</f>
        <v>0</v>
      </c>
      <c r="K86" s="18"/>
      <c r="L86" s="18"/>
      <c r="M86" s="18"/>
      <c r="O86"/>
      <c r="P86"/>
      <c r="Q86"/>
      <c r="R86"/>
      <c r="S86"/>
      <c r="U86"/>
      <c r="V86"/>
      <c r="W86"/>
      <c r="X86"/>
      <c r="Y86"/>
    </row>
    <row r="87" spans="1:25" s="6" customFormat="1" x14ac:dyDescent="0.25">
      <c r="A87"/>
      <c r="B87"/>
      <c r="C87"/>
      <c r="D87"/>
      <c r="E87"/>
      <c r="F87"/>
      <c r="G87"/>
      <c r="I87" s="18"/>
      <c r="J87" s="11">
        <f>Tabla35101826364142444546474844142434445464657278[[#This Row],[COMISIONES]]*0.21</f>
        <v>0</v>
      </c>
      <c r="K87" s="18"/>
      <c r="L87" s="18"/>
      <c r="M87" s="18"/>
      <c r="O87"/>
      <c r="P87"/>
      <c r="Q87"/>
      <c r="R87"/>
      <c r="S87"/>
      <c r="U87"/>
      <c r="V87"/>
      <c r="W87"/>
      <c r="X87"/>
      <c r="Y87"/>
    </row>
    <row r="88" spans="1:25" s="6" customFormat="1" x14ac:dyDescent="0.25">
      <c r="A88"/>
      <c r="B88"/>
      <c r="C88"/>
      <c r="D88"/>
      <c r="E88"/>
      <c r="F88"/>
      <c r="G88"/>
      <c r="I88" s="18"/>
      <c r="J88" s="11">
        <f>Tabla35101826364142444546474844142434445464657278[[#This Row],[COMISIONES]]*0.21</f>
        <v>0</v>
      </c>
      <c r="K88" s="18"/>
      <c r="L88" s="18"/>
      <c r="M88" s="18"/>
      <c r="O88"/>
      <c r="P88"/>
      <c r="Q88"/>
      <c r="R88"/>
      <c r="S88"/>
      <c r="U88"/>
      <c r="V88"/>
      <c r="W88"/>
      <c r="X88"/>
      <c r="Y88"/>
    </row>
    <row r="89" spans="1:25" s="6" customFormat="1" x14ac:dyDescent="0.25">
      <c r="A89"/>
      <c r="B89"/>
      <c r="C89"/>
      <c r="D89"/>
      <c r="E89"/>
      <c r="F89"/>
      <c r="G89"/>
      <c r="I89" s="18"/>
      <c r="J89" s="11">
        <f>Tabla35101826364142444546474844142434445464657278[[#This Row],[COMISIONES]]*0.21</f>
        <v>0</v>
      </c>
      <c r="K89" s="18"/>
      <c r="L89" s="18"/>
      <c r="M89" s="18"/>
      <c r="O89"/>
      <c r="P89"/>
      <c r="Q89"/>
      <c r="R89"/>
      <c r="S89"/>
      <c r="U89"/>
      <c r="V89"/>
      <c r="W89"/>
      <c r="X89"/>
      <c r="Y89"/>
    </row>
    <row r="90" spans="1:25" s="6" customFormat="1" x14ac:dyDescent="0.25">
      <c r="A90"/>
      <c r="B90"/>
      <c r="C90"/>
      <c r="D90"/>
      <c r="E90"/>
      <c r="F90"/>
      <c r="G90"/>
      <c r="I90" s="18"/>
      <c r="J90" s="11">
        <f>Tabla35101826364142444546474844142434445464657278[[#This Row],[COMISIONES]]*0.21</f>
        <v>0</v>
      </c>
      <c r="K90" s="18"/>
      <c r="L90" s="18"/>
      <c r="M90" s="18"/>
      <c r="O90"/>
      <c r="P90"/>
      <c r="Q90"/>
      <c r="R90"/>
      <c r="S90"/>
      <c r="U90"/>
      <c r="V90"/>
      <c r="W90"/>
      <c r="X90"/>
      <c r="Y90"/>
    </row>
    <row r="91" spans="1:25" s="6" customFormat="1" x14ac:dyDescent="0.25">
      <c r="A91"/>
      <c r="B91"/>
      <c r="C91"/>
      <c r="D91"/>
      <c r="E91"/>
      <c r="F91"/>
      <c r="G91"/>
      <c r="I91" s="18"/>
      <c r="J91" s="11">
        <f>Tabla35101826364142444546474844142434445464657278[[#This Row],[COMISIONES]]*0.21</f>
        <v>0</v>
      </c>
      <c r="K91" s="18"/>
      <c r="L91" s="18"/>
      <c r="M91" s="18"/>
      <c r="O91"/>
      <c r="P91"/>
      <c r="Q91"/>
      <c r="R91"/>
      <c r="S91"/>
      <c r="U91"/>
      <c r="V91"/>
      <c r="W91"/>
      <c r="X91"/>
      <c r="Y91"/>
    </row>
    <row r="92" spans="1:25" s="6" customFormat="1" x14ac:dyDescent="0.25">
      <c r="A92"/>
      <c r="B92"/>
      <c r="C92"/>
      <c r="D92"/>
      <c r="E92"/>
      <c r="F92"/>
      <c r="G92"/>
      <c r="I92" s="18"/>
      <c r="J92" s="11">
        <f>Tabla35101826364142444546474844142434445464657278[[#This Row],[COMISIONES]]*0.21</f>
        <v>0</v>
      </c>
      <c r="K92" s="18"/>
      <c r="L92" s="18"/>
      <c r="M92" s="18"/>
      <c r="O92"/>
      <c r="P92"/>
      <c r="Q92"/>
      <c r="R92"/>
      <c r="S92"/>
      <c r="U92"/>
      <c r="V92"/>
      <c r="W92"/>
      <c r="X92"/>
      <c r="Y92"/>
    </row>
    <row r="93" spans="1:25" s="6" customFormat="1" x14ac:dyDescent="0.25">
      <c r="A93"/>
      <c r="B93"/>
      <c r="C93"/>
      <c r="D93"/>
      <c r="E93"/>
      <c r="F93"/>
      <c r="G93"/>
      <c r="I93" s="18"/>
      <c r="J93" s="11">
        <f>Tabla35101826364142444546474844142434445464657278[[#This Row],[COMISIONES]]*0.21</f>
        <v>0</v>
      </c>
      <c r="K93" s="18"/>
      <c r="L93" s="18"/>
      <c r="M93" s="18"/>
      <c r="O93"/>
      <c r="P93"/>
      <c r="Q93"/>
      <c r="R93"/>
      <c r="S93"/>
      <c r="U93"/>
      <c r="V93"/>
      <c r="W93"/>
      <c r="X93"/>
      <c r="Y93"/>
    </row>
    <row r="94" spans="1:25" s="6" customFormat="1" x14ac:dyDescent="0.25">
      <c r="A94"/>
      <c r="B94"/>
      <c r="C94"/>
      <c r="D94"/>
      <c r="E94"/>
      <c r="F94"/>
      <c r="G94"/>
      <c r="I94" s="18"/>
      <c r="J94" s="11">
        <f>Tabla35101826364142444546474844142434445464657278[[#This Row],[COMISIONES]]*0.21</f>
        <v>0</v>
      </c>
      <c r="K94" s="18"/>
      <c r="L94" s="18"/>
      <c r="M94" s="18"/>
      <c r="O94"/>
      <c r="P94"/>
      <c r="Q94"/>
      <c r="R94"/>
      <c r="S94"/>
      <c r="U94"/>
      <c r="V94"/>
      <c r="W94"/>
      <c r="X94"/>
      <c r="Y94"/>
    </row>
    <row r="95" spans="1:25" s="6" customFormat="1" x14ac:dyDescent="0.25">
      <c r="A95"/>
      <c r="B95"/>
      <c r="C95"/>
      <c r="D95"/>
      <c r="E95"/>
      <c r="F95"/>
      <c r="G95"/>
      <c r="I95" s="18"/>
      <c r="J95" s="11">
        <f>Tabla35101826364142444546474844142434445464657278[[#This Row],[COMISIONES]]*0.21</f>
        <v>0</v>
      </c>
      <c r="K95" s="18"/>
      <c r="L95" s="18"/>
      <c r="M95" s="18"/>
      <c r="O95"/>
      <c r="P95"/>
      <c r="Q95"/>
      <c r="R95"/>
      <c r="S95"/>
      <c r="U95"/>
      <c r="V95"/>
      <c r="W95"/>
      <c r="X95"/>
      <c r="Y95"/>
    </row>
    <row r="96" spans="1:25" s="6" customFormat="1" x14ac:dyDescent="0.25">
      <c r="A96"/>
      <c r="B96"/>
      <c r="C96"/>
      <c r="D96"/>
      <c r="E96"/>
      <c r="F96"/>
      <c r="G96"/>
      <c r="I96" s="18"/>
      <c r="J96" s="11">
        <f>Tabla35101826364142444546474844142434445464657278[[#This Row],[COMISIONES]]*0.21</f>
        <v>0</v>
      </c>
      <c r="K96" s="18"/>
      <c r="L96" s="18"/>
      <c r="M96" s="18"/>
      <c r="O96"/>
      <c r="P96"/>
      <c r="Q96"/>
      <c r="R96"/>
      <c r="S96"/>
      <c r="U96"/>
      <c r="V96"/>
      <c r="W96"/>
      <c r="X96"/>
      <c r="Y96"/>
    </row>
    <row r="97" spans="1:25" s="6" customFormat="1" x14ac:dyDescent="0.25">
      <c r="A97"/>
      <c r="B97"/>
      <c r="C97"/>
      <c r="D97"/>
      <c r="E97"/>
      <c r="F97"/>
      <c r="G97"/>
      <c r="I97" s="18"/>
      <c r="J97" s="11">
        <f>Tabla35101826364142444546474844142434445464657278[[#This Row],[COMISIONES]]*0.21</f>
        <v>0</v>
      </c>
      <c r="K97" s="18"/>
      <c r="L97" s="18"/>
      <c r="M97" s="18"/>
      <c r="O97"/>
      <c r="P97"/>
      <c r="Q97"/>
      <c r="R97"/>
      <c r="S97"/>
      <c r="U97"/>
      <c r="V97"/>
      <c r="W97"/>
      <c r="X97"/>
      <c r="Y97"/>
    </row>
    <row r="98" spans="1:25" s="6" customFormat="1" x14ac:dyDescent="0.25">
      <c r="A98"/>
      <c r="B98"/>
      <c r="C98"/>
      <c r="D98"/>
      <c r="E98"/>
      <c r="F98"/>
      <c r="G98"/>
      <c r="I98" s="18"/>
      <c r="J98" s="11">
        <f>Tabla35101826364142444546474844142434445464657278[[#This Row],[COMISIONES]]*0.21</f>
        <v>0</v>
      </c>
      <c r="K98" s="18"/>
      <c r="L98" s="18"/>
      <c r="M98" s="18"/>
      <c r="O98"/>
      <c r="P98"/>
      <c r="Q98"/>
      <c r="R98"/>
      <c r="S98"/>
      <c r="U98"/>
      <c r="V98"/>
      <c r="W98"/>
      <c r="X98"/>
      <c r="Y98"/>
    </row>
    <row r="99" spans="1:25" s="6" customFormat="1" x14ac:dyDescent="0.25">
      <c r="A99"/>
      <c r="B99"/>
      <c r="C99"/>
      <c r="D99"/>
      <c r="E99"/>
      <c r="F99"/>
      <c r="G99"/>
      <c r="I99" s="18"/>
      <c r="J99" s="11">
        <f>Tabla35101826364142444546474844142434445464657278[[#This Row],[COMISIONES]]*0.21</f>
        <v>0</v>
      </c>
      <c r="K99" s="18"/>
      <c r="L99" s="18"/>
      <c r="M99" s="18"/>
      <c r="O99"/>
      <c r="P99"/>
      <c r="Q99"/>
      <c r="R99"/>
      <c r="S99"/>
      <c r="U99"/>
      <c r="V99"/>
      <c r="W99"/>
      <c r="X99"/>
      <c r="Y99"/>
    </row>
    <row r="100" spans="1:25" s="6" customFormat="1" x14ac:dyDescent="0.25">
      <c r="A100"/>
      <c r="B100"/>
      <c r="C100"/>
      <c r="D100"/>
      <c r="E100"/>
      <c r="F100"/>
      <c r="G100"/>
      <c r="I100" s="18"/>
      <c r="J100" s="11">
        <f>Tabla35101826364142444546474844142434445464657278[[#This Row],[COMISIONES]]*0.21</f>
        <v>0</v>
      </c>
      <c r="K100" s="18"/>
      <c r="L100" s="18"/>
      <c r="M100" s="18"/>
      <c r="O100"/>
      <c r="P100"/>
      <c r="Q100"/>
      <c r="R100"/>
      <c r="S100"/>
      <c r="U100"/>
      <c r="V100"/>
      <c r="W100"/>
      <c r="X100"/>
      <c r="Y100"/>
    </row>
    <row r="101" spans="1:25" s="6" customFormat="1" x14ac:dyDescent="0.25">
      <c r="A101"/>
      <c r="B101"/>
      <c r="C101"/>
      <c r="D101"/>
      <c r="E101"/>
      <c r="F101"/>
      <c r="G101"/>
      <c r="I101" s="18"/>
      <c r="J101" s="11">
        <f>Tabla35101826364142444546474844142434445464657278[[#This Row],[COMISIONES]]*0.21</f>
        <v>0</v>
      </c>
      <c r="K101" s="18"/>
      <c r="L101" s="18"/>
      <c r="M101" s="18"/>
      <c r="O101"/>
      <c r="P101"/>
      <c r="Q101"/>
      <c r="R101"/>
      <c r="S101"/>
      <c r="U101"/>
      <c r="V101"/>
      <c r="W101"/>
      <c r="X101"/>
      <c r="Y101"/>
    </row>
    <row r="102" spans="1:25" s="6" customFormat="1" x14ac:dyDescent="0.25">
      <c r="A102"/>
      <c r="B102"/>
      <c r="C102"/>
      <c r="D102"/>
      <c r="E102"/>
      <c r="F102"/>
      <c r="G102"/>
      <c r="I102" s="18"/>
      <c r="J102" s="11">
        <f>Tabla35101826364142444546474844142434445464657278[[#This Row],[COMISIONES]]*0.21</f>
        <v>0</v>
      </c>
      <c r="K102" s="18"/>
      <c r="L102" s="18"/>
      <c r="M102" s="18"/>
      <c r="O102"/>
      <c r="P102"/>
      <c r="Q102"/>
      <c r="R102"/>
      <c r="S102"/>
      <c r="U102"/>
      <c r="V102"/>
      <c r="W102"/>
      <c r="X102"/>
      <c r="Y102"/>
    </row>
    <row r="103" spans="1:25" s="6" customFormat="1" x14ac:dyDescent="0.25">
      <c r="A103"/>
      <c r="B103"/>
      <c r="C103"/>
      <c r="D103"/>
      <c r="E103"/>
      <c r="F103"/>
      <c r="G103"/>
      <c r="I103" s="18"/>
      <c r="J103" s="11">
        <f>Tabla35101826364142444546474844142434445464657278[[#This Row],[COMISIONES]]*0.21</f>
        <v>0</v>
      </c>
      <c r="K103" s="18"/>
      <c r="L103" s="18"/>
      <c r="M103" s="18"/>
      <c r="O103"/>
      <c r="P103"/>
      <c r="Q103"/>
      <c r="R103"/>
      <c r="S103"/>
      <c r="U103"/>
      <c r="V103"/>
      <c r="W103"/>
      <c r="X103"/>
      <c r="Y103"/>
    </row>
    <row r="104" spans="1:25" s="6" customFormat="1" x14ac:dyDescent="0.25">
      <c r="A104"/>
      <c r="B104"/>
      <c r="C104"/>
      <c r="D104"/>
      <c r="E104"/>
      <c r="F104"/>
      <c r="G104"/>
      <c r="I104" s="18"/>
      <c r="J104" s="11">
        <f>Tabla35101826364142444546474844142434445464657278[[#This Row],[COMISIONES]]*0.21</f>
        <v>0</v>
      </c>
      <c r="K104" s="18"/>
      <c r="L104" s="18"/>
      <c r="M104" s="18"/>
      <c r="O104"/>
      <c r="P104"/>
      <c r="Q104"/>
      <c r="R104"/>
      <c r="S104"/>
      <c r="U104"/>
      <c r="V104"/>
      <c r="W104"/>
      <c r="X104"/>
      <c r="Y104"/>
    </row>
    <row r="105" spans="1:25" s="6" customFormat="1" x14ac:dyDescent="0.25">
      <c r="A105"/>
      <c r="B105"/>
      <c r="C105"/>
      <c r="D105"/>
      <c r="E105"/>
      <c r="F105"/>
      <c r="G105"/>
      <c r="I105" s="18"/>
      <c r="J105" s="11">
        <f>Tabla35101826364142444546474844142434445464657278[[#This Row],[COMISIONES]]*0.21</f>
        <v>0</v>
      </c>
      <c r="K105" s="18"/>
      <c r="L105" s="18"/>
      <c r="M105" s="18"/>
      <c r="O105"/>
      <c r="P105"/>
      <c r="Q105"/>
      <c r="R105"/>
      <c r="S105"/>
      <c r="U105"/>
      <c r="V105"/>
      <c r="W105"/>
      <c r="X105"/>
      <c r="Y105"/>
    </row>
    <row r="106" spans="1:25" s="6" customFormat="1" x14ac:dyDescent="0.25">
      <c r="A106"/>
      <c r="B106"/>
      <c r="C106"/>
      <c r="D106"/>
      <c r="E106"/>
      <c r="F106"/>
      <c r="G106"/>
      <c r="I106" s="18"/>
      <c r="J106" s="11">
        <f>Tabla35101826364142444546474844142434445464657278[[#This Row],[COMISIONES]]*0.21</f>
        <v>0</v>
      </c>
      <c r="K106" s="18"/>
      <c r="L106" s="18"/>
      <c r="M106" s="18"/>
      <c r="O106"/>
      <c r="P106"/>
      <c r="Q106"/>
      <c r="R106"/>
      <c r="S106"/>
      <c r="U106"/>
      <c r="V106"/>
      <c r="W106"/>
      <c r="X106"/>
      <c r="Y106"/>
    </row>
    <row r="107" spans="1:25" s="6" customFormat="1" x14ac:dyDescent="0.25">
      <c r="A107"/>
      <c r="B107"/>
      <c r="C107"/>
      <c r="D107"/>
      <c r="E107"/>
      <c r="F107"/>
      <c r="G107"/>
      <c r="I107" s="18"/>
      <c r="J107" s="11">
        <f>Tabla35101826364142444546474844142434445464657278[[#This Row],[COMISIONES]]*0.21</f>
        <v>0</v>
      </c>
      <c r="K107" s="18"/>
      <c r="L107" s="18"/>
      <c r="M107" s="18"/>
      <c r="O107"/>
      <c r="P107"/>
      <c r="Q107"/>
      <c r="R107"/>
      <c r="S107"/>
      <c r="U107"/>
      <c r="V107"/>
      <c r="W107"/>
      <c r="X107"/>
      <c r="Y107"/>
    </row>
    <row r="108" spans="1:25" s="6" customFormat="1" x14ac:dyDescent="0.25">
      <c r="A108"/>
      <c r="B108"/>
      <c r="C108"/>
      <c r="D108"/>
      <c r="E108"/>
      <c r="F108"/>
      <c r="G108"/>
      <c r="I108" s="18"/>
      <c r="J108" s="11">
        <f>Tabla35101826364142444546474844142434445464657278[[#This Row],[COMISIONES]]*0.21</f>
        <v>0</v>
      </c>
      <c r="K108" s="18"/>
      <c r="L108" s="18"/>
      <c r="M108" s="18"/>
      <c r="O108"/>
      <c r="P108"/>
      <c r="Q108"/>
      <c r="R108"/>
      <c r="S108"/>
      <c r="U108"/>
      <c r="V108"/>
      <c r="W108"/>
      <c r="X108"/>
      <c r="Y108"/>
    </row>
    <row r="109" spans="1:25" s="6" customFormat="1" x14ac:dyDescent="0.25">
      <c r="A109"/>
      <c r="B109"/>
      <c r="C109"/>
      <c r="D109"/>
      <c r="E109"/>
      <c r="F109"/>
      <c r="G109"/>
      <c r="I109" s="18"/>
      <c r="J109" s="11">
        <f>Tabla35101826364142444546474844142434445464657278[[#This Row],[COMISIONES]]*0.21</f>
        <v>0</v>
      </c>
      <c r="K109" s="18"/>
      <c r="L109" s="18"/>
      <c r="M109" s="18"/>
      <c r="O109"/>
      <c r="P109"/>
      <c r="Q109"/>
      <c r="R109"/>
      <c r="S109"/>
      <c r="U109"/>
      <c r="V109"/>
      <c r="W109"/>
      <c r="X109"/>
      <c r="Y109"/>
    </row>
    <row r="110" spans="1:25" s="6" customFormat="1" x14ac:dyDescent="0.25">
      <c r="A110"/>
      <c r="B110"/>
      <c r="C110"/>
      <c r="D110"/>
      <c r="E110"/>
      <c r="F110"/>
      <c r="G110"/>
      <c r="I110" s="18"/>
      <c r="J110" s="11">
        <f>Tabla35101826364142444546474844142434445464657278[[#This Row],[COMISIONES]]*0.21</f>
        <v>0</v>
      </c>
      <c r="K110" s="18"/>
      <c r="L110" s="18"/>
      <c r="M110" s="18"/>
      <c r="O110"/>
      <c r="P110"/>
      <c r="Q110"/>
      <c r="R110"/>
      <c r="S110"/>
      <c r="U110"/>
      <c r="V110"/>
      <c r="W110"/>
      <c r="X110"/>
      <c r="Y110"/>
    </row>
    <row r="111" spans="1:25" s="6" customFormat="1" x14ac:dyDescent="0.25">
      <c r="A111"/>
      <c r="B111"/>
      <c r="C111"/>
      <c r="D111"/>
      <c r="E111"/>
      <c r="F111"/>
      <c r="G111"/>
      <c r="I111" s="18"/>
      <c r="J111" s="11">
        <f>Tabla35101826364142444546474844142434445464657278[[#This Row],[COMISIONES]]*0.21</f>
        <v>0</v>
      </c>
      <c r="K111" s="18"/>
      <c r="L111" s="18"/>
      <c r="M111" s="18"/>
      <c r="O111"/>
      <c r="P111"/>
      <c r="Q111"/>
      <c r="R111"/>
      <c r="S111"/>
      <c r="U111"/>
      <c r="V111"/>
      <c r="W111"/>
      <c r="X111"/>
      <c r="Y111"/>
    </row>
    <row r="112" spans="1:25" s="6" customFormat="1" x14ac:dyDescent="0.25">
      <c r="A112"/>
      <c r="B112"/>
      <c r="C112"/>
      <c r="D112"/>
      <c r="E112"/>
      <c r="F112"/>
      <c r="G112"/>
      <c r="I112" s="18"/>
      <c r="J112" s="11">
        <f>Tabla35101826364142444546474844142434445464657278[[#This Row],[COMISIONES]]*0.21</f>
        <v>0</v>
      </c>
      <c r="K112" s="18"/>
      <c r="L112" s="18"/>
      <c r="M112" s="18"/>
      <c r="O112"/>
      <c r="P112"/>
      <c r="Q112"/>
      <c r="R112"/>
      <c r="S112"/>
      <c r="U112"/>
      <c r="V112"/>
      <c r="W112"/>
      <c r="X112"/>
      <c r="Y112"/>
    </row>
    <row r="113" spans="1:25" s="6" customFormat="1" x14ac:dyDescent="0.25">
      <c r="A113"/>
      <c r="B113"/>
      <c r="C113"/>
      <c r="D113"/>
      <c r="E113"/>
      <c r="F113"/>
      <c r="G113"/>
      <c r="I113" s="18"/>
      <c r="J113" s="11">
        <f>Tabla35101826364142444546474844142434445464657278[[#This Row],[COMISIONES]]*0.21</f>
        <v>0</v>
      </c>
      <c r="K113" s="18"/>
      <c r="L113" s="18"/>
      <c r="M113" s="18"/>
      <c r="O113"/>
      <c r="P113"/>
      <c r="Q113"/>
      <c r="R113"/>
      <c r="S113"/>
      <c r="U113"/>
      <c r="V113"/>
      <c r="W113"/>
      <c r="X113"/>
      <c r="Y113"/>
    </row>
    <row r="114" spans="1:25" s="6" customFormat="1" x14ac:dyDescent="0.25">
      <c r="A114"/>
      <c r="B114"/>
      <c r="C114"/>
      <c r="D114"/>
      <c r="E114"/>
      <c r="F114"/>
      <c r="G114"/>
      <c r="I114" s="18"/>
      <c r="J114" s="11">
        <f>Tabla35101826364142444546474844142434445464657278[[#This Row],[COMISIONES]]*0.21</f>
        <v>0</v>
      </c>
      <c r="K114" s="18"/>
      <c r="L114" s="18"/>
      <c r="M114" s="18"/>
      <c r="O114"/>
      <c r="P114"/>
      <c r="Q114"/>
      <c r="R114"/>
      <c r="S114"/>
      <c r="U114"/>
      <c r="V114"/>
      <c r="W114"/>
      <c r="X114"/>
      <c r="Y114"/>
    </row>
    <row r="115" spans="1:25" s="6" customFormat="1" x14ac:dyDescent="0.25">
      <c r="A115"/>
      <c r="B115"/>
      <c r="C115"/>
      <c r="D115"/>
      <c r="E115"/>
      <c r="F115"/>
      <c r="G115"/>
      <c r="I115" s="18"/>
      <c r="J115" s="11">
        <f>Tabla35101826364142444546474844142434445464657278[[#This Row],[COMISIONES]]*0.21</f>
        <v>0</v>
      </c>
      <c r="K115" s="18"/>
      <c r="L115" s="18"/>
      <c r="M115" s="18"/>
      <c r="O115"/>
      <c r="P115"/>
      <c r="Q115"/>
      <c r="R115"/>
      <c r="S115"/>
      <c r="U115"/>
      <c r="V115"/>
      <c r="W115"/>
      <c r="X115"/>
      <c r="Y115"/>
    </row>
    <row r="116" spans="1:25" s="6" customFormat="1" x14ac:dyDescent="0.25">
      <c r="A116"/>
      <c r="B116"/>
      <c r="C116"/>
      <c r="D116"/>
      <c r="E116"/>
      <c r="F116"/>
      <c r="G116"/>
      <c r="I116" s="18"/>
      <c r="J116" s="11">
        <f>Tabla35101826364142444546474844142434445464657278[[#This Row],[COMISIONES]]*0.21</f>
        <v>0</v>
      </c>
      <c r="K116" s="18"/>
      <c r="L116" s="18"/>
      <c r="M116" s="18"/>
      <c r="O116"/>
      <c r="P116"/>
      <c r="Q116"/>
      <c r="R116"/>
      <c r="S116"/>
      <c r="U116"/>
      <c r="V116"/>
      <c r="W116"/>
      <c r="X116"/>
      <c r="Y116"/>
    </row>
    <row r="117" spans="1:25" s="6" customFormat="1" x14ac:dyDescent="0.25">
      <c r="A117"/>
      <c r="B117"/>
      <c r="C117"/>
      <c r="D117"/>
      <c r="E117"/>
      <c r="F117"/>
      <c r="G117"/>
      <c r="I117" s="18"/>
      <c r="J117" s="11">
        <f>Tabla35101826364142444546474844142434445464657278[[#This Row],[COMISIONES]]*0.21</f>
        <v>0</v>
      </c>
      <c r="K117" s="18"/>
      <c r="L117" s="18"/>
      <c r="M117" s="18"/>
      <c r="O117"/>
      <c r="P117"/>
      <c r="Q117"/>
      <c r="R117"/>
      <c r="S117"/>
      <c r="U117"/>
      <c r="V117"/>
      <c r="W117"/>
      <c r="X117"/>
      <c r="Y117"/>
    </row>
    <row r="118" spans="1:25" s="6" customFormat="1" x14ac:dyDescent="0.25">
      <c r="A118"/>
      <c r="B118"/>
      <c r="C118"/>
      <c r="D118"/>
      <c r="E118"/>
      <c r="F118"/>
      <c r="G118"/>
      <c r="I118" s="18"/>
      <c r="J118" s="11">
        <f>Tabla35101826364142444546474844142434445464657278[[#This Row],[COMISIONES]]*0.21</f>
        <v>0</v>
      </c>
      <c r="K118" s="18"/>
      <c r="L118" s="18"/>
      <c r="M118" s="18"/>
      <c r="O118"/>
      <c r="P118"/>
      <c r="Q118"/>
      <c r="R118"/>
      <c r="S118"/>
      <c r="U118"/>
      <c r="V118"/>
      <c r="W118"/>
      <c r="X118"/>
      <c r="Y118"/>
    </row>
    <row r="119" spans="1:25" s="6" customFormat="1" x14ac:dyDescent="0.25">
      <c r="A119"/>
      <c r="B119"/>
      <c r="C119"/>
      <c r="D119"/>
      <c r="E119"/>
      <c r="F119"/>
      <c r="G119"/>
      <c r="I119" s="18"/>
      <c r="J119" s="18"/>
      <c r="K119" s="18"/>
      <c r="L119" s="18"/>
      <c r="M119" s="18"/>
      <c r="O119"/>
      <c r="P119"/>
      <c r="Q119"/>
      <c r="R119"/>
      <c r="S119"/>
      <c r="U119"/>
      <c r="V119"/>
      <c r="W119"/>
      <c r="X119"/>
      <c r="Y119"/>
    </row>
    <row r="120" spans="1:25" s="6" customFormat="1" x14ac:dyDescent="0.25">
      <c r="A120"/>
      <c r="B120"/>
      <c r="C120"/>
      <c r="D120"/>
      <c r="E120"/>
      <c r="F120"/>
      <c r="G120"/>
      <c r="I120" s="18"/>
      <c r="J120" s="18"/>
      <c r="K120" s="18"/>
      <c r="L120" s="18"/>
      <c r="M120" s="18"/>
      <c r="O120"/>
      <c r="P120"/>
      <c r="Q120"/>
      <c r="R120"/>
      <c r="S120"/>
      <c r="U120"/>
      <c r="V120"/>
      <c r="W120"/>
      <c r="X120"/>
      <c r="Y120"/>
    </row>
    <row r="121" spans="1:25" s="6" customFormat="1" x14ac:dyDescent="0.25">
      <c r="A121"/>
      <c r="B121"/>
      <c r="C121"/>
      <c r="D121"/>
      <c r="E121"/>
      <c r="F121"/>
      <c r="G121"/>
      <c r="I121" s="18"/>
      <c r="J121" s="18"/>
      <c r="K121" s="18"/>
      <c r="L121" s="18"/>
      <c r="M121" s="18"/>
      <c r="O121"/>
      <c r="P121"/>
      <c r="Q121"/>
      <c r="R121"/>
      <c r="S121"/>
      <c r="U121"/>
      <c r="V121"/>
      <c r="W121"/>
      <c r="X121"/>
      <c r="Y121"/>
    </row>
    <row r="122" spans="1:25" s="6" customFormat="1" x14ac:dyDescent="0.25">
      <c r="A122"/>
      <c r="B122"/>
      <c r="C122"/>
      <c r="D122"/>
      <c r="E122"/>
      <c r="F122"/>
      <c r="G122"/>
      <c r="I122" s="18"/>
      <c r="J122" s="18"/>
      <c r="K122" s="18"/>
      <c r="L122" s="18"/>
      <c r="M122" s="18"/>
      <c r="O122"/>
      <c r="P122"/>
      <c r="Q122"/>
      <c r="R122"/>
      <c r="S122"/>
      <c r="U122"/>
      <c r="V122"/>
      <c r="W122"/>
      <c r="X122"/>
      <c r="Y122"/>
    </row>
    <row r="123" spans="1:25" s="6" customFormat="1" x14ac:dyDescent="0.25">
      <c r="A123"/>
      <c r="B123"/>
      <c r="C123"/>
      <c r="D123"/>
      <c r="E123"/>
      <c r="F123"/>
      <c r="G123"/>
      <c r="I123" s="18"/>
      <c r="J123" s="18"/>
      <c r="K123" s="18"/>
      <c r="L123" s="18"/>
      <c r="M123" s="18"/>
      <c r="O123"/>
      <c r="P123"/>
      <c r="Q123"/>
      <c r="R123"/>
      <c r="S123"/>
      <c r="U123"/>
      <c r="V123"/>
      <c r="W123"/>
      <c r="X123"/>
      <c r="Y123"/>
    </row>
    <row r="124" spans="1:25" s="6" customFormat="1" x14ac:dyDescent="0.25">
      <c r="A124"/>
      <c r="B124"/>
      <c r="C124"/>
      <c r="D124"/>
      <c r="E124"/>
      <c r="F124"/>
      <c r="G124"/>
      <c r="I124" s="18"/>
      <c r="J124" s="18"/>
      <c r="K124" s="18"/>
      <c r="L124" s="18"/>
      <c r="M124" s="18"/>
      <c r="O124"/>
      <c r="P124"/>
      <c r="Q124"/>
      <c r="R124"/>
      <c r="S124"/>
      <c r="U124"/>
      <c r="V124"/>
      <c r="W124"/>
      <c r="X124"/>
      <c r="Y124"/>
    </row>
    <row r="125" spans="1:25" s="6" customFormat="1" x14ac:dyDescent="0.25">
      <c r="A125"/>
      <c r="B125"/>
      <c r="C125"/>
      <c r="D125"/>
      <c r="E125"/>
      <c r="F125"/>
      <c r="G125"/>
      <c r="I125" s="18"/>
      <c r="J125" s="18"/>
      <c r="K125" s="18"/>
      <c r="L125" s="18"/>
      <c r="M125" s="18"/>
      <c r="O125"/>
      <c r="P125"/>
      <c r="Q125"/>
      <c r="R125"/>
      <c r="S125"/>
      <c r="U125"/>
      <c r="V125"/>
      <c r="W125"/>
      <c r="X125"/>
      <c r="Y125"/>
    </row>
    <row r="126" spans="1:25" s="6" customFormat="1" x14ac:dyDescent="0.25">
      <c r="A126"/>
      <c r="B126"/>
      <c r="C126"/>
      <c r="D126"/>
      <c r="E126"/>
      <c r="F126"/>
      <c r="G126"/>
      <c r="I126" s="18"/>
      <c r="J126" s="18"/>
      <c r="K126" s="18"/>
      <c r="L126" s="18"/>
      <c r="M126" s="18"/>
      <c r="O126"/>
      <c r="P126"/>
      <c r="Q126"/>
      <c r="R126"/>
      <c r="S126"/>
      <c r="U126"/>
      <c r="V126"/>
      <c r="W126"/>
      <c r="X126"/>
      <c r="Y126"/>
    </row>
    <row r="127" spans="1:25" s="6" customFormat="1" x14ac:dyDescent="0.25">
      <c r="A127"/>
      <c r="B127"/>
      <c r="C127"/>
      <c r="D127"/>
      <c r="E127"/>
      <c r="F127"/>
      <c r="G127"/>
      <c r="I127" s="18"/>
      <c r="J127" s="18"/>
      <c r="K127" s="18"/>
      <c r="L127" s="18"/>
      <c r="M127" s="18"/>
      <c r="O127"/>
      <c r="P127"/>
      <c r="Q127"/>
      <c r="R127"/>
      <c r="S127"/>
      <c r="U127"/>
      <c r="V127"/>
      <c r="W127"/>
      <c r="X127"/>
      <c r="Y127"/>
    </row>
    <row r="128" spans="1:25" s="6" customFormat="1" x14ac:dyDescent="0.25">
      <c r="A128"/>
      <c r="B128"/>
      <c r="C128"/>
      <c r="D128"/>
      <c r="E128"/>
      <c r="F128"/>
      <c r="G128"/>
      <c r="I128" s="18"/>
      <c r="J128" s="18"/>
      <c r="K128" s="18"/>
      <c r="L128" s="18"/>
      <c r="M128" s="18"/>
      <c r="O128"/>
      <c r="P128"/>
      <c r="Q128"/>
      <c r="R128"/>
      <c r="S128"/>
      <c r="U128"/>
      <c r="V128"/>
      <c r="W128"/>
      <c r="X128"/>
      <c r="Y128"/>
    </row>
    <row r="129" spans="1:25" s="6" customFormat="1" x14ac:dyDescent="0.25">
      <c r="A129"/>
      <c r="B129"/>
      <c r="C129"/>
      <c r="D129"/>
      <c r="E129"/>
      <c r="F129"/>
      <c r="G129"/>
      <c r="I129" s="18"/>
      <c r="J129" s="18"/>
      <c r="K129" s="18"/>
      <c r="L129" s="18"/>
      <c r="M129" s="18"/>
      <c r="O129"/>
      <c r="P129"/>
      <c r="Q129"/>
      <c r="R129"/>
      <c r="S129"/>
      <c r="U129"/>
      <c r="V129"/>
      <c r="W129"/>
      <c r="X129"/>
      <c r="Y129"/>
    </row>
    <row r="130" spans="1:25" s="6" customFormat="1" x14ac:dyDescent="0.25">
      <c r="A130"/>
      <c r="B130"/>
      <c r="C130"/>
      <c r="D130"/>
      <c r="E130"/>
      <c r="F130"/>
      <c r="G130"/>
      <c r="I130" s="18"/>
      <c r="J130" s="18">
        <f>Tabla35101826364142444546474844142434445464657278[[#This Row],[COMISIONES]]*0.21</f>
        <v>0</v>
      </c>
      <c r="K130" s="18"/>
      <c r="L130" s="18"/>
      <c r="M130" s="18"/>
      <c r="O130"/>
      <c r="P130"/>
      <c r="Q130"/>
      <c r="R130"/>
      <c r="S130"/>
      <c r="U130"/>
      <c r="V130"/>
      <c r="W130"/>
      <c r="X130"/>
      <c r="Y130"/>
    </row>
    <row r="131" spans="1:25" s="6" customFormat="1" x14ac:dyDescent="0.25">
      <c r="A131"/>
      <c r="B131"/>
      <c r="C131"/>
      <c r="D131"/>
      <c r="E131"/>
      <c r="F131"/>
      <c r="G131"/>
      <c r="I131" s="4">
        <f>SUBTOTAL(109,Tabla35101826364142444546474844142434445464657278[COMISIONES])</f>
        <v>67971.03</v>
      </c>
      <c r="J131" s="4">
        <f>SUBTOTAL(109,Tabla35101826364142444546474844142434445464657278[IVA 21])</f>
        <v>14245.35</v>
      </c>
      <c r="K131" s="4">
        <f>SUBTOTAL(109,Tabla35101826364142444546474844142434445464657278[IVA 10,5])</f>
        <v>14.283149999999999</v>
      </c>
      <c r="L131" s="4">
        <f>SUBTOTAL(109,Tabla35101826364142444546474844142434445464657278[Ret IIBB Caba])</f>
        <v>2035.05</v>
      </c>
      <c r="M131" s="4">
        <f>SUBTOTAL(109,Tabla35101826364142444546474844142434445464657278[PERC IVA])</f>
        <v>2035.05</v>
      </c>
      <c r="O131"/>
      <c r="P131"/>
      <c r="Q131"/>
      <c r="R131"/>
      <c r="S131"/>
      <c r="U131"/>
      <c r="V131"/>
      <c r="W131"/>
      <c r="X131"/>
      <c r="Y131"/>
    </row>
    <row r="132" spans="1:25" s="6" customFormat="1" x14ac:dyDescent="0.25">
      <c r="A132"/>
      <c r="B132"/>
      <c r="C132"/>
      <c r="D132"/>
      <c r="E132"/>
      <c r="F132"/>
      <c r="G132"/>
      <c r="I132"/>
      <c r="J132"/>
      <c r="K132"/>
      <c r="L132"/>
      <c r="M132"/>
      <c r="O132"/>
      <c r="P132"/>
      <c r="Q132"/>
      <c r="R132"/>
      <c r="S132"/>
      <c r="U132"/>
      <c r="V132"/>
      <c r="W132"/>
      <c r="X132"/>
      <c r="Y132"/>
    </row>
    <row r="133" spans="1:25" s="6" customFormat="1" x14ac:dyDescent="0.25">
      <c r="A133"/>
      <c r="B133"/>
      <c r="C133"/>
      <c r="D133"/>
      <c r="E133"/>
      <c r="F133"/>
      <c r="G133"/>
      <c r="I133"/>
      <c r="J133"/>
      <c r="K133"/>
      <c r="L133"/>
      <c r="M133"/>
      <c r="O133"/>
      <c r="P133"/>
      <c r="Q133"/>
      <c r="R133"/>
      <c r="S133"/>
      <c r="U133"/>
      <c r="V133"/>
      <c r="W133"/>
      <c r="X133"/>
      <c r="Y133"/>
    </row>
    <row r="134" spans="1:25" s="6" customFormat="1" x14ac:dyDescent="0.25">
      <c r="A134"/>
      <c r="B134"/>
      <c r="C134"/>
      <c r="D134"/>
      <c r="E134"/>
      <c r="F134"/>
      <c r="G134"/>
      <c r="I134"/>
      <c r="J134"/>
      <c r="K134"/>
      <c r="L134"/>
      <c r="M134"/>
      <c r="O134"/>
      <c r="P134"/>
      <c r="Q134"/>
      <c r="R134"/>
      <c r="S134"/>
      <c r="U134"/>
      <c r="V134"/>
      <c r="W134"/>
      <c r="X134"/>
      <c r="Y134"/>
    </row>
    <row r="135" spans="1:25" s="6" customFormat="1" x14ac:dyDescent="0.25">
      <c r="A135"/>
      <c r="B135"/>
      <c r="C135"/>
      <c r="D135"/>
      <c r="E135"/>
      <c r="F135"/>
      <c r="G135"/>
      <c r="I135"/>
      <c r="J135"/>
      <c r="K135"/>
      <c r="L135"/>
      <c r="M135"/>
      <c r="O135"/>
      <c r="P135"/>
      <c r="Q135"/>
      <c r="R135"/>
      <c r="S135"/>
      <c r="U135"/>
      <c r="V135"/>
      <c r="W135"/>
      <c r="X135"/>
      <c r="Y135"/>
    </row>
    <row r="136" spans="1:25" s="6" customFormat="1" x14ac:dyDescent="0.25">
      <c r="A136"/>
      <c r="B136"/>
      <c r="C136"/>
      <c r="D136"/>
      <c r="E136"/>
      <c r="F136"/>
      <c r="G136"/>
      <c r="I136"/>
      <c r="J136"/>
      <c r="K136"/>
      <c r="L136"/>
      <c r="M136"/>
      <c r="O136"/>
      <c r="P136"/>
      <c r="Q136"/>
      <c r="R136"/>
      <c r="S136"/>
      <c r="U136"/>
      <c r="V136"/>
      <c r="W136"/>
      <c r="X136"/>
      <c r="Y136"/>
    </row>
    <row r="137" spans="1:25" s="6" customFormat="1" x14ac:dyDescent="0.25">
      <c r="A137"/>
      <c r="B137"/>
      <c r="C137"/>
      <c r="D137"/>
      <c r="E137"/>
      <c r="F137"/>
      <c r="G137"/>
      <c r="I137"/>
      <c r="J137"/>
      <c r="K137"/>
      <c r="L137"/>
      <c r="M137"/>
      <c r="O137"/>
      <c r="P137"/>
      <c r="Q137"/>
      <c r="R137"/>
      <c r="S137"/>
      <c r="U137"/>
      <c r="V137"/>
      <c r="W137"/>
      <c r="X137"/>
      <c r="Y137"/>
    </row>
    <row r="138" spans="1:25" s="6" customFormat="1" x14ac:dyDescent="0.25">
      <c r="A138"/>
      <c r="B138"/>
      <c r="C138"/>
      <c r="D138"/>
      <c r="E138"/>
      <c r="F138"/>
      <c r="G138"/>
      <c r="I138"/>
      <c r="J138"/>
      <c r="K138"/>
      <c r="L138"/>
      <c r="M138"/>
      <c r="O138"/>
      <c r="P138"/>
      <c r="Q138"/>
      <c r="R138"/>
      <c r="S138"/>
      <c r="U138"/>
      <c r="V138"/>
      <c r="W138"/>
      <c r="X138"/>
      <c r="Y138"/>
    </row>
    <row r="139" spans="1:25" s="6" customFormat="1" x14ac:dyDescent="0.25">
      <c r="A139"/>
      <c r="B139"/>
      <c r="C139"/>
      <c r="D139"/>
      <c r="E139"/>
      <c r="F139"/>
      <c r="G139"/>
      <c r="I139"/>
      <c r="J139"/>
      <c r="K139"/>
      <c r="L139"/>
      <c r="M139"/>
      <c r="O139"/>
      <c r="P139"/>
      <c r="Q139"/>
      <c r="R139"/>
      <c r="S139"/>
      <c r="U139"/>
      <c r="V139"/>
      <c r="W139"/>
      <c r="X139"/>
      <c r="Y139"/>
    </row>
    <row r="140" spans="1:25" s="6" customFormat="1" x14ac:dyDescent="0.25">
      <c r="A140"/>
      <c r="B140"/>
      <c r="C140"/>
      <c r="D140"/>
      <c r="E140"/>
      <c r="F140"/>
      <c r="G140"/>
      <c r="I140"/>
      <c r="J140"/>
      <c r="K140"/>
      <c r="L140"/>
      <c r="M140"/>
      <c r="O140"/>
      <c r="P140"/>
      <c r="Q140"/>
      <c r="R140"/>
      <c r="S140"/>
      <c r="U140"/>
      <c r="V140"/>
      <c r="W140"/>
      <c r="X140"/>
      <c r="Y140"/>
    </row>
    <row r="141" spans="1:25" s="6" customFormat="1" x14ac:dyDescent="0.25">
      <c r="A141"/>
      <c r="B141"/>
      <c r="C141"/>
      <c r="D141"/>
      <c r="E141"/>
      <c r="F141"/>
      <c r="G141"/>
      <c r="I141"/>
      <c r="J141"/>
      <c r="K141"/>
      <c r="L141"/>
      <c r="M141"/>
      <c r="O141"/>
      <c r="P141"/>
      <c r="Q141"/>
      <c r="R141"/>
      <c r="S141"/>
      <c r="U141"/>
      <c r="V141"/>
      <c r="W141"/>
      <c r="X141"/>
      <c r="Y141"/>
    </row>
    <row r="142" spans="1:25" s="6" customFormat="1" x14ac:dyDescent="0.25">
      <c r="A142"/>
      <c r="B142"/>
      <c r="C142"/>
      <c r="D142"/>
      <c r="E142"/>
      <c r="F142"/>
      <c r="G142"/>
      <c r="I142"/>
      <c r="J142"/>
      <c r="K142"/>
      <c r="L142"/>
      <c r="M142"/>
      <c r="O142"/>
      <c r="P142"/>
      <c r="Q142"/>
      <c r="R142"/>
      <c r="S142"/>
      <c r="U142"/>
      <c r="V142"/>
      <c r="W142"/>
      <c r="X142"/>
      <c r="Y142"/>
    </row>
    <row r="143" spans="1:25" s="6" customFormat="1" x14ac:dyDescent="0.25">
      <c r="A143"/>
      <c r="B143"/>
      <c r="C143"/>
      <c r="D143"/>
      <c r="E143"/>
      <c r="F143"/>
      <c r="G143"/>
      <c r="I143"/>
      <c r="J143"/>
      <c r="K143"/>
      <c r="L143"/>
      <c r="M143"/>
      <c r="O143"/>
      <c r="P143"/>
      <c r="Q143"/>
      <c r="R143"/>
      <c r="S143"/>
      <c r="U143"/>
      <c r="V143"/>
      <c r="W143"/>
      <c r="X143"/>
      <c r="Y143"/>
    </row>
    <row r="144" spans="1:25" s="6" customFormat="1" x14ac:dyDescent="0.25">
      <c r="A144"/>
      <c r="B144"/>
      <c r="C144"/>
      <c r="D144"/>
      <c r="E144"/>
      <c r="F144"/>
      <c r="G144"/>
      <c r="I144"/>
      <c r="J144"/>
      <c r="K144"/>
      <c r="L144"/>
      <c r="M144"/>
      <c r="O144"/>
      <c r="P144"/>
      <c r="Q144"/>
      <c r="R144"/>
      <c r="S144"/>
      <c r="U144"/>
      <c r="V144"/>
      <c r="W144"/>
      <c r="X144"/>
      <c r="Y144"/>
    </row>
    <row r="145" spans="1:25" s="6" customFormat="1" x14ac:dyDescent="0.25">
      <c r="A145"/>
      <c r="B145"/>
      <c r="C145"/>
      <c r="D145"/>
      <c r="E145"/>
      <c r="F145"/>
      <c r="G145"/>
      <c r="I145"/>
      <c r="J145"/>
      <c r="K145"/>
      <c r="L145"/>
      <c r="M145"/>
      <c r="O145"/>
      <c r="P145"/>
      <c r="Q145"/>
      <c r="R145"/>
      <c r="S145"/>
      <c r="U145"/>
      <c r="V145"/>
      <c r="W145"/>
      <c r="X145"/>
      <c r="Y145"/>
    </row>
    <row r="146" spans="1:25" s="6" customFormat="1" x14ac:dyDescent="0.25">
      <c r="A146"/>
      <c r="B146"/>
      <c r="C146"/>
      <c r="D146"/>
      <c r="E146"/>
      <c r="F146"/>
      <c r="G146"/>
      <c r="I146"/>
      <c r="J146"/>
      <c r="K146"/>
      <c r="L146"/>
      <c r="M146"/>
      <c r="O146"/>
      <c r="P146"/>
      <c r="Q146"/>
      <c r="R146"/>
      <c r="S146"/>
      <c r="U146"/>
      <c r="V146"/>
      <c r="W146"/>
      <c r="X146"/>
      <c r="Y146"/>
    </row>
    <row r="147" spans="1:25" s="6" customFormat="1" x14ac:dyDescent="0.25">
      <c r="A147"/>
      <c r="B147"/>
      <c r="C147"/>
      <c r="D147"/>
      <c r="E147"/>
      <c r="F147"/>
      <c r="G147"/>
      <c r="I147"/>
      <c r="J147"/>
      <c r="K147"/>
      <c r="L147"/>
      <c r="M147"/>
      <c r="O147"/>
      <c r="P147"/>
      <c r="Q147"/>
      <c r="R147"/>
      <c r="S147"/>
      <c r="U147"/>
      <c r="V147"/>
      <c r="W147"/>
      <c r="X147"/>
      <c r="Y147"/>
    </row>
    <row r="148" spans="1:25" s="6" customFormat="1" x14ac:dyDescent="0.25">
      <c r="A148"/>
      <c r="B148"/>
      <c r="C148"/>
      <c r="D148"/>
      <c r="E148"/>
      <c r="F148"/>
      <c r="G148"/>
      <c r="I148"/>
      <c r="J148"/>
      <c r="K148"/>
      <c r="L148"/>
      <c r="M148"/>
      <c r="O148"/>
      <c r="P148"/>
      <c r="Q148"/>
      <c r="R148"/>
      <c r="S148"/>
      <c r="U148"/>
      <c r="V148"/>
      <c r="W148"/>
      <c r="X148"/>
      <c r="Y148"/>
    </row>
    <row r="149" spans="1:25" s="6" customFormat="1" x14ac:dyDescent="0.25">
      <c r="A149"/>
      <c r="B149"/>
      <c r="C149"/>
      <c r="D149"/>
      <c r="E149"/>
      <c r="F149"/>
      <c r="G149"/>
      <c r="I149"/>
      <c r="J149"/>
      <c r="K149"/>
      <c r="L149"/>
      <c r="M149"/>
      <c r="O149"/>
      <c r="P149"/>
      <c r="Q149"/>
      <c r="R149"/>
      <c r="S149"/>
      <c r="U149"/>
      <c r="V149"/>
      <c r="W149"/>
      <c r="X149"/>
      <c r="Y149"/>
    </row>
    <row r="150" spans="1:25" s="6" customFormat="1" x14ac:dyDescent="0.25">
      <c r="A150"/>
      <c r="B150"/>
      <c r="C150"/>
      <c r="D150"/>
      <c r="E150"/>
      <c r="F150"/>
      <c r="G150"/>
      <c r="I150"/>
      <c r="J150"/>
      <c r="K150"/>
      <c r="L150"/>
      <c r="M150"/>
      <c r="O150"/>
      <c r="P150"/>
      <c r="Q150"/>
      <c r="R150"/>
      <c r="S150"/>
      <c r="U150"/>
      <c r="V150"/>
      <c r="W150"/>
      <c r="X150"/>
      <c r="Y150"/>
    </row>
    <row r="151" spans="1:25" s="6" customFormat="1" x14ac:dyDescent="0.25">
      <c r="A151"/>
      <c r="B151"/>
      <c r="C151"/>
      <c r="D151"/>
      <c r="E151"/>
      <c r="F151"/>
      <c r="G151"/>
      <c r="I151"/>
      <c r="J151"/>
      <c r="K151"/>
      <c r="L151"/>
      <c r="M151"/>
      <c r="O151"/>
      <c r="P151"/>
      <c r="Q151"/>
      <c r="R151"/>
      <c r="S151"/>
      <c r="U151"/>
      <c r="V151"/>
      <c r="W151"/>
      <c r="X151"/>
      <c r="Y151"/>
    </row>
    <row r="152" spans="1:25" s="6" customFormat="1" x14ac:dyDescent="0.25">
      <c r="A152"/>
      <c r="B152"/>
      <c r="C152"/>
      <c r="D152"/>
      <c r="E152"/>
      <c r="F152"/>
      <c r="G152"/>
      <c r="I152"/>
      <c r="J152"/>
      <c r="K152"/>
      <c r="L152"/>
      <c r="M152"/>
      <c r="O152"/>
      <c r="P152"/>
      <c r="Q152"/>
      <c r="R152"/>
      <c r="S152"/>
      <c r="U152"/>
      <c r="V152"/>
      <c r="W152"/>
      <c r="X152"/>
      <c r="Y152"/>
    </row>
    <row r="153" spans="1:25" s="6" customFormat="1" x14ac:dyDescent="0.25">
      <c r="A153"/>
      <c r="B153"/>
      <c r="C153"/>
      <c r="D153"/>
      <c r="E153"/>
      <c r="F153"/>
      <c r="G153"/>
      <c r="I153"/>
      <c r="J153"/>
      <c r="K153"/>
      <c r="L153"/>
      <c r="M153"/>
      <c r="O153"/>
      <c r="P153"/>
      <c r="Q153"/>
      <c r="R153"/>
      <c r="S153"/>
      <c r="U153"/>
      <c r="V153"/>
      <c r="W153"/>
      <c r="X153"/>
      <c r="Y153"/>
    </row>
    <row r="154" spans="1:25" s="6" customFormat="1" x14ac:dyDescent="0.25">
      <c r="A154"/>
      <c r="B154"/>
      <c r="C154"/>
      <c r="D154"/>
      <c r="E154"/>
      <c r="F154"/>
      <c r="G154"/>
      <c r="I154"/>
      <c r="J154"/>
      <c r="K154"/>
      <c r="L154"/>
      <c r="M154"/>
      <c r="O154"/>
      <c r="P154"/>
      <c r="Q154"/>
      <c r="R154"/>
      <c r="S154"/>
      <c r="U154"/>
      <c r="V154"/>
      <c r="W154"/>
      <c r="X154"/>
      <c r="Y154"/>
    </row>
    <row r="155" spans="1:25" s="6" customFormat="1" x14ac:dyDescent="0.25">
      <c r="A155"/>
      <c r="B155"/>
      <c r="C155"/>
      <c r="D155"/>
      <c r="E155"/>
      <c r="F155"/>
      <c r="G155"/>
      <c r="I155"/>
      <c r="J155"/>
      <c r="K155"/>
      <c r="L155"/>
      <c r="M155"/>
      <c r="O155"/>
      <c r="P155"/>
      <c r="Q155"/>
      <c r="R155"/>
      <c r="S155"/>
      <c r="U155"/>
      <c r="V155"/>
      <c r="W155"/>
      <c r="X155"/>
      <c r="Y155"/>
    </row>
    <row r="156" spans="1:25" s="6" customFormat="1" x14ac:dyDescent="0.25">
      <c r="A156"/>
      <c r="B156"/>
      <c r="C156"/>
      <c r="D156"/>
      <c r="E156"/>
      <c r="F156"/>
      <c r="G156"/>
      <c r="I156"/>
      <c r="J156"/>
      <c r="K156"/>
      <c r="L156"/>
      <c r="M156"/>
      <c r="O156"/>
      <c r="P156"/>
      <c r="Q156"/>
      <c r="R156"/>
      <c r="S156"/>
      <c r="U156"/>
      <c r="V156"/>
      <c r="W156"/>
      <c r="X156"/>
      <c r="Y156"/>
    </row>
    <row r="157" spans="1:25" s="6" customFormat="1" x14ac:dyDescent="0.25">
      <c r="A157"/>
      <c r="B157"/>
      <c r="C157"/>
      <c r="D157"/>
      <c r="E157"/>
      <c r="F157"/>
      <c r="G157"/>
      <c r="I157"/>
      <c r="J157"/>
      <c r="K157"/>
      <c r="L157"/>
      <c r="M157"/>
      <c r="O157"/>
      <c r="P157"/>
      <c r="Q157"/>
      <c r="R157"/>
      <c r="S157"/>
      <c r="U157"/>
      <c r="V157"/>
      <c r="W157"/>
      <c r="X157"/>
      <c r="Y157"/>
    </row>
    <row r="158" spans="1:25" s="6" customFormat="1" x14ac:dyDescent="0.25">
      <c r="A158"/>
      <c r="B158"/>
      <c r="C158"/>
      <c r="D158"/>
      <c r="E158"/>
      <c r="F158"/>
      <c r="G158"/>
      <c r="I158"/>
      <c r="J158"/>
      <c r="K158"/>
      <c r="L158"/>
      <c r="M158"/>
      <c r="O158"/>
      <c r="P158"/>
      <c r="Q158"/>
      <c r="R158"/>
      <c r="S158"/>
      <c r="U158"/>
      <c r="V158"/>
      <c r="W158"/>
      <c r="X158"/>
      <c r="Y158"/>
    </row>
    <row r="159" spans="1:25" s="6" customFormat="1" x14ac:dyDescent="0.25">
      <c r="A159"/>
      <c r="B159"/>
      <c r="C159"/>
      <c r="D159"/>
      <c r="E159"/>
      <c r="F159"/>
      <c r="G159"/>
      <c r="I159"/>
      <c r="J159"/>
      <c r="K159"/>
      <c r="L159"/>
      <c r="M159"/>
      <c r="O159"/>
      <c r="P159"/>
      <c r="Q159"/>
      <c r="R159"/>
      <c r="S159"/>
      <c r="U159"/>
      <c r="V159"/>
      <c r="W159"/>
      <c r="X159"/>
      <c r="Y159"/>
    </row>
    <row r="160" spans="1:25" s="6" customFormat="1" x14ac:dyDescent="0.25">
      <c r="A160"/>
      <c r="B160"/>
      <c r="C160"/>
      <c r="D160"/>
      <c r="E160"/>
      <c r="F160"/>
      <c r="G160"/>
      <c r="I160"/>
      <c r="J160"/>
      <c r="K160"/>
      <c r="L160"/>
      <c r="M160"/>
      <c r="O160"/>
      <c r="P160"/>
      <c r="Q160"/>
      <c r="R160"/>
      <c r="S160"/>
      <c r="U160"/>
      <c r="V160"/>
      <c r="W160"/>
      <c r="X160"/>
      <c r="Y160"/>
    </row>
    <row r="161" spans="1:25" s="6" customFormat="1" x14ac:dyDescent="0.25">
      <c r="A161"/>
      <c r="B161"/>
      <c r="C161"/>
      <c r="D161"/>
      <c r="E161"/>
      <c r="F161"/>
      <c r="G161"/>
      <c r="I161"/>
      <c r="J161"/>
      <c r="K161"/>
      <c r="L161"/>
      <c r="M161"/>
      <c r="O161"/>
      <c r="P161"/>
      <c r="Q161"/>
      <c r="R161"/>
      <c r="S161"/>
      <c r="U161"/>
      <c r="V161"/>
      <c r="W161"/>
      <c r="X161"/>
      <c r="Y161"/>
    </row>
    <row r="162" spans="1:25" s="6" customFormat="1" x14ac:dyDescent="0.25">
      <c r="A162"/>
      <c r="B162"/>
      <c r="C162"/>
      <c r="D162"/>
      <c r="E162"/>
      <c r="F162"/>
      <c r="G162"/>
      <c r="I162"/>
      <c r="J162"/>
      <c r="K162"/>
      <c r="L162"/>
      <c r="M162"/>
      <c r="O162"/>
      <c r="P162"/>
      <c r="Q162"/>
      <c r="R162"/>
      <c r="S162"/>
      <c r="U162"/>
      <c r="V162"/>
      <c r="W162"/>
      <c r="X162"/>
      <c r="Y162"/>
    </row>
    <row r="163" spans="1:25" s="6" customFormat="1" x14ac:dyDescent="0.25">
      <c r="A163"/>
      <c r="B163"/>
      <c r="C163"/>
      <c r="D163"/>
      <c r="E163"/>
      <c r="F163"/>
      <c r="G163"/>
      <c r="I163"/>
      <c r="J163"/>
      <c r="K163"/>
      <c r="L163"/>
      <c r="M163"/>
      <c r="O163"/>
      <c r="P163"/>
      <c r="Q163"/>
      <c r="R163"/>
      <c r="S163"/>
      <c r="U163"/>
      <c r="V163"/>
      <c r="W163"/>
      <c r="X163"/>
      <c r="Y163"/>
    </row>
    <row r="164" spans="1:25" s="6" customFormat="1" x14ac:dyDescent="0.25">
      <c r="A164"/>
      <c r="B164"/>
      <c r="C164"/>
      <c r="D164"/>
      <c r="E164"/>
      <c r="F164"/>
      <c r="G164"/>
      <c r="I164"/>
      <c r="J164"/>
      <c r="K164"/>
      <c r="L164"/>
      <c r="M164"/>
      <c r="O164"/>
      <c r="P164"/>
      <c r="Q164"/>
      <c r="R164"/>
      <c r="S164"/>
      <c r="U164"/>
      <c r="V164"/>
      <c r="W164"/>
      <c r="X164"/>
      <c r="Y164"/>
    </row>
    <row r="165" spans="1:25" s="6" customFormat="1" x14ac:dyDescent="0.25">
      <c r="A165"/>
      <c r="B165"/>
      <c r="C165"/>
      <c r="D165"/>
      <c r="E165"/>
      <c r="F165"/>
      <c r="G165"/>
      <c r="I165"/>
      <c r="J165"/>
      <c r="K165"/>
      <c r="L165"/>
      <c r="M165"/>
      <c r="O165"/>
      <c r="P165"/>
      <c r="Q165"/>
      <c r="R165"/>
      <c r="S165"/>
      <c r="U165"/>
      <c r="V165"/>
      <c r="W165"/>
      <c r="X165"/>
      <c r="Y165"/>
    </row>
    <row r="237" spans="1:31" s="6" customFormat="1" x14ac:dyDescent="0.25">
      <c r="A237"/>
      <c r="B237"/>
      <c r="C237"/>
      <c r="D237"/>
      <c r="E237"/>
      <c r="F237"/>
      <c r="G237"/>
      <c r="I237"/>
      <c r="J237"/>
      <c r="K237"/>
      <c r="L237"/>
      <c r="M237"/>
      <c r="O237"/>
      <c r="P237"/>
      <c r="Q237"/>
      <c r="R237"/>
      <c r="S237"/>
      <c r="U237"/>
      <c r="V237"/>
      <c r="W237"/>
      <c r="X237"/>
      <c r="Y237"/>
      <c r="AA237"/>
      <c r="AB237"/>
      <c r="AC237"/>
      <c r="AD237"/>
      <c r="AE237"/>
    </row>
    <row r="238" spans="1:31" s="6" customFormat="1" x14ac:dyDescent="0.25">
      <c r="A238"/>
      <c r="B238"/>
      <c r="C238"/>
      <c r="D238"/>
      <c r="E238"/>
      <c r="F238"/>
      <c r="G238"/>
      <c r="I238"/>
      <c r="J238"/>
      <c r="K238"/>
      <c r="L238"/>
      <c r="M238"/>
      <c r="O238"/>
      <c r="P238"/>
      <c r="Q238"/>
      <c r="R238"/>
      <c r="S238"/>
      <c r="U238"/>
      <c r="V238"/>
      <c r="W238"/>
      <c r="X238"/>
      <c r="Y238"/>
      <c r="AA238"/>
      <c r="AB238"/>
      <c r="AC238"/>
      <c r="AD238"/>
      <c r="AE238"/>
    </row>
    <row r="239" spans="1:31" s="6" customFormat="1" x14ac:dyDescent="0.25">
      <c r="A239"/>
      <c r="B239"/>
      <c r="C239"/>
      <c r="D239"/>
      <c r="E239"/>
      <c r="F239"/>
      <c r="G239"/>
      <c r="I239"/>
      <c r="J239"/>
      <c r="K239"/>
      <c r="L239"/>
      <c r="M239"/>
      <c r="O239"/>
      <c r="P239"/>
      <c r="Q239"/>
      <c r="R239"/>
      <c r="S239"/>
      <c r="U239"/>
      <c r="V239"/>
      <c r="W239"/>
      <c r="X239"/>
      <c r="Y239"/>
      <c r="AA239"/>
      <c r="AB239"/>
      <c r="AC239"/>
      <c r="AD239"/>
      <c r="AE239"/>
    </row>
    <row r="240" spans="1:31" s="6" customFormat="1" x14ac:dyDescent="0.25">
      <c r="A240"/>
      <c r="B240"/>
      <c r="C240"/>
      <c r="D240"/>
      <c r="E240"/>
      <c r="F240"/>
      <c r="G240"/>
      <c r="I240"/>
      <c r="J240"/>
      <c r="K240"/>
      <c r="L240"/>
      <c r="M240"/>
      <c r="O240"/>
      <c r="P240"/>
      <c r="Q240"/>
      <c r="R240"/>
      <c r="S240"/>
      <c r="U240"/>
      <c r="V240"/>
      <c r="W240"/>
      <c r="X240"/>
      <c r="Y240"/>
      <c r="AA240"/>
      <c r="AB240"/>
      <c r="AC240"/>
      <c r="AD240"/>
      <c r="AE240"/>
    </row>
    <row r="241" spans="1:31" s="6" customFormat="1" x14ac:dyDescent="0.25">
      <c r="A241"/>
      <c r="B241"/>
      <c r="C241"/>
      <c r="D241"/>
      <c r="E241"/>
      <c r="F241"/>
      <c r="G241"/>
      <c r="I241"/>
      <c r="J241"/>
      <c r="K241"/>
      <c r="L241"/>
      <c r="M241"/>
      <c r="O241"/>
      <c r="P241"/>
      <c r="Q241"/>
      <c r="R241"/>
      <c r="S241"/>
      <c r="U241"/>
      <c r="V241"/>
      <c r="W241"/>
      <c r="X241"/>
      <c r="Y241"/>
      <c r="AA241"/>
      <c r="AB241"/>
      <c r="AC241"/>
      <c r="AD241"/>
      <c r="AE241"/>
    </row>
    <row r="242" spans="1:31" s="6" customFormat="1" x14ac:dyDescent="0.25">
      <c r="A242"/>
      <c r="B242"/>
      <c r="C242"/>
      <c r="D242"/>
      <c r="E242"/>
      <c r="F242"/>
      <c r="G242"/>
      <c r="I242"/>
      <c r="J242"/>
      <c r="K242"/>
      <c r="L242"/>
      <c r="M242"/>
      <c r="O242"/>
      <c r="P242"/>
      <c r="Q242"/>
      <c r="R242"/>
      <c r="S242"/>
      <c r="U242"/>
      <c r="V242"/>
      <c r="W242"/>
      <c r="X242"/>
      <c r="Y242"/>
      <c r="AA242"/>
      <c r="AB242"/>
      <c r="AC242"/>
      <c r="AD242"/>
      <c r="AE242"/>
    </row>
    <row r="243" spans="1:31" s="6" customFormat="1" x14ac:dyDescent="0.25">
      <c r="A243"/>
      <c r="B243"/>
      <c r="C243"/>
      <c r="D243"/>
      <c r="E243"/>
      <c r="F243"/>
      <c r="G243"/>
      <c r="I243"/>
      <c r="J243"/>
      <c r="K243"/>
      <c r="L243"/>
      <c r="M243"/>
      <c r="O243"/>
      <c r="P243"/>
      <c r="Q243"/>
      <c r="R243"/>
      <c r="S243"/>
      <c r="U243"/>
      <c r="V243"/>
      <c r="W243"/>
      <c r="X243"/>
      <c r="Y243"/>
      <c r="AA243"/>
      <c r="AB243"/>
      <c r="AC243"/>
      <c r="AD243"/>
      <c r="AE243"/>
    </row>
    <row r="244" spans="1:31" s="6" customFormat="1" x14ac:dyDescent="0.25">
      <c r="A244"/>
      <c r="B244"/>
      <c r="C244"/>
      <c r="D244"/>
      <c r="E244"/>
      <c r="F244"/>
      <c r="G244"/>
      <c r="I244"/>
      <c r="J244"/>
      <c r="K244"/>
      <c r="L244"/>
      <c r="M244"/>
      <c r="O244"/>
      <c r="P244"/>
      <c r="Q244"/>
      <c r="R244"/>
      <c r="S244"/>
      <c r="U244"/>
      <c r="V244"/>
      <c r="W244"/>
      <c r="X244"/>
      <c r="Y244"/>
      <c r="AA244"/>
      <c r="AB244"/>
      <c r="AC244"/>
      <c r="AD244"/>
      <c r="AE244"/>
    </row>
    <row r="245" spans="1:31" s="6" customFormat="1" x14ac:dyDescent="0.25">
      <c r="A245"/>
      <c r="B245"/>
      <c r="C245"/>
      <c r="D245"/>
      <c r="E245"/>
      <c r="F245"/>
      <c r="G245"/>
      <c r="I245"/>
      <c r="J245"/>
      <c r="K245"/>
      <c r="L245"/>
      <c r="M245"/>
      <c r="O245"/>
      <c r="P245"/>
      <c r="Q245"/>
      <c r="R245"/>
      <c r="S245"/>
      <c r="U245"/>
      <c r="V245"/>
      <c r="W245"/>
      <c r="X245"/>
      <c r="Y245"/>
      <c r="AA245"/>
      <c r="AB245"/>
      <c r="AC245"/>
      <c r="AD245"/>
      <c r="AE245"/>
    </row>
    <row r="246" spans="1:31" s="6" customFormat="1" x14ac:dyDescent="0.25">
      <c r="A246"/>
      <c r="B246"/>
      <c r="C246"/>
      <c r="D246"/>
      <c r="E246"/>
      <c r="F246"/>
      <c r="G246"/>
      <c r="I246"/>
      <c r="J246"/>
      <c r="K246"/>
      <c r="L246"/>
      <c r="M246"/>
      <c r="O246"/>
      <c r="P246"/>
      <c r="Q246"/>
      <c r="R246"/>
      <c r="S246"/>
      <c r="U246"/>
      <c r="V246"/>
      <c r="W246"/>
      <c r="X246"/>
      <c r="Y246"/>
      <c r="AA246"/>
      <c r="AB246"/>
      <c r="AC246"/>
      <c r="AD246"/>
      <c r="AE246"/>
    </row>
    <row r="247" spans="1:31" s="6" customFormat="1" x14ac:dyDescent="0.25">
      <c r="A247"/>
      <c r="B247"/>
      <c r="C247"/>
      <c r="D247"/>
      <c r="E247"/>
      <c r="F247"/>
      <c r="G247"/>
      <c r="I247"/>
      <c r="J247"/>
      <c r="K247"/>
      <c r="L247"/>
      <c r="M247"/>
      <c r="O247"/>
      <c r="P247"/>
      <c r="Q247"/>
      <c r="R247"/>
      <c r="S247"/>
      <c r="U247"/>
      <c r="V247"/>
      <c r="W247"/>
      <c r="X247"/>
      <c r="Y247"/>
      <c r="AA247"/>
      <c r="AB247"/>
      <c r="AC247"/>
      <c r="AD247"/>
      <c r="AE247"/>
    </row>
    <row r="248" spans="1:31" s="6" customFormat="1" x14ac:dyDescent="0.25">
      <c r="A248"/>
      <c r="B248"/>
      <c r="C248"/>
      <c r="D248"/>
      <c r="E248"/>
      <c r="F248"/>
      <c r="G248"/>
      <c r="I248"/>
      <c r="J248"/>
      <c r="K248"/>
      <c r="L248"/>
      <c r="M248"/>
      <c r="O248"/>
      <c r="P248"/>
      <c r="Q248"/>
      <c r="R248"/>
      <c r="S248"/>
      <c r="U248"/>
      <c r="V248"/>
      <c r="W248"/>
      <c r="X248"/>
      <c r="Y248"/>
      <c r="AA248"/>
      <c r="AB248"/>
      <c r="AC248"/>
      <c r="AD248"/>
      <c r="AE248"/>
    </row>
    <row r="249" spans="1:31" s="6" customFormat="1" x14ac:dyDescent="0.25">
      <c r="A249"/>
      <c r="B249"/>
      <c r="C249"/>
      <c r="D249"/>
      <c r="E249"/>
      <c r="F249"/>
      <c r="G249"/>
      <c r="I249"/>
      <c r="J249"/>
      <c r="K249"/>
      <c r="L249"/>
      <c r="M249"/>
      <c r="O249"/>
      <c r="P249"/>
      <c r="Q249"/>
      <c r="R249"/>
      <c r="S249"/>
      <c r="U249"/>
      <c r="V249"/>
      <c r="W249"/>
      <c r="X249"/>
      <c r="Y249"/>
      <c r="AA249"/>
      <c r="AB249"/>
      <c r="AC249"/>
      <c r="AD249"/>
      <c r="AE249"/>
    </row>
  </sheetData>
  <mergeCells count="5">
    <mergeCell ref="B10:F10"/>
    <mergeCell ref="I10:M10"/>
    <mergeCell ref="O10:S10"/>
    <mergeCell ref="U10:Y10"/>
    <mergeCell ref="AA10:AE10"/>
  </mergeCells>
  <pageMargins left="0.7" right="0.7" top="0.75" bottom="0.75" header="0.3" footer="0.3"/>
  <pageSetup paperSize="9" orientation="portrait" horizontalDpi="300" r:id="rId1"/>
  <drawing r:id="rId2"/>
  <tableParts count="5"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C86A-1689-4838-B377-C37A228BA9FA}">
  <dimension ref="A1:AE249"/>
  <sheetViews>
    <sheetView showGridLines="0" zoomScale="115" zoomScaleNormal="115" workbookViewId="0">
      <selection activeCell="C7" sqref="C7:G7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4" bestFit="1" customWidth="1"/>
    <col min="4" max="4" width="12.140625" bestFit="1" customWidth="1"/>
    <col min="5" max="5" width="11.5703125" customWidth="1"/>
    <col min="6" max="6" width="13" bestFit="1" customWidth="1"/>
    <col min="7" max="7" width="13" customWidth="1"/>
    <col min="8" max="8" width="2.5703125" style="6" customWidth="1"/>
    <col min="9" max="9" width="12.7109375" customWidth="1"/>
    <col min="12" max="12" width="12.85546875" customWidth="1"/>
    <col min="14" max="14" width="2.5703125" style="6" customWidth="1"/>
    <col min="15" max="15" width="15.42578125" bestFit="1" customWidth="1"/>
    <col min="16" max="16" width="12.28515625" bestFit="1" customWidth="1"/>
    <col min="18" max="18" width="15.7109375" bestFit="1" customWidth="1"/>
    <col min="20" max="20" width="2.85546875" style="6" customWidth="1"/>
    <col min="26" max="26" width="3.140625" style="6" customWidth="1"/>
    <col min="27" max="27" width="13.85546875" customWidth="1"/>
    <col min="30" max="30" width="14" customWidth="1"/>
  </cols>
  <sheetData>
    <row r="1" spans="1:31" x14ac:dyDescent="0.25">
      <c r="H1"/>
      <c r="N1"/>
      <c r="T1" s="50"/>
      <c r="Z1" s="50"/>
    </row>
    <row r="2" spans="1:31" x14ac:dyDescent="0.25">
      <c r="C2" s="15" t="s">
        <v>2</v>
      </c>
      <c r="D2" s="16" t="s">
        <v>0</v>
      </c>
      <c r="E2" s="16" t="s">
        <v>1</v>
      </c>
      <c r="F2" s="16" t="s">
        <v>3</v>
      </c>
      <c r="G2" s="37" t="s">
        <v>20</v>
      </c>
      <c r="H2"/>
      <c r="N2"/>
      <c r="T2" s="50"/>
      <c r="Z2" s="50"/>
    </row>
    <row r="3" spans="1:31" x14ac:dyDescent="0.25">
      <c r="B3" s="25" t="str">
        <f>+B10</f>
        <v>EXTRACTO BBVA</v>
      </c>
      <c r="C3" s="14">
        <v>157195.29</v>
      </c>
      <c r="D3" s="14">
        <v>30865.8</v>
      </c>
      <c r="E3" s="14">
        <v>1072.60545</v>
      </c>
      <c r="F3" s="14">
        <v>3700.95</v>
      </c>
      <c r="G3" s="38">
        <v>4418.3200000000006</v>
      </c>
      <c r="H3"/>
      <c r="I3" t="s">
        <v>5</v>
      </c>
      <c r="N3"/>
      <c r="T3" s="50"/>
      <c r="Z3" s="50"/>
    </row>
    <row r="4" spans="1:31" x14ac:dyDescent="0.25">
      <c r="B4" s="25" t="str">
        <f>+I10</f>
        <v>Extracto santander</v>
      </c>
      <c r="C4" s="14">
        <v>86625.69</v>
      </c>
      <c r="D4" s="14">
        <v>18129.09</v>
      </c>
      <c r="E4" s="14">
        <v>31.152449999999998</v>
      </c>
      <c r="F4" s="14">
        <v>2584.0499999999997</v>
      </c>
      <c r="G4" s="14">
        <v>2584.0499999999997</v>
      </c>
      <c r="H4"/>
      <c r="N4"/>
      <c r="T4" s="50"/>
      <c r="Z4" s="50"/>
    </row>
    <row r="5" spans="1:31" x14ac:dyDescent="0.25">
      <c r="B5" s="25" t="s">
        <v>24</v>
      </c>
      <c r="C5" s="14">
        <v>7128.1</v>
      </c>
      <c r="D5" s="14">
        <v>1496.9010000000001</v>
      </c>
      <c r="E5" s="14">
        <v>0</v>
      </c>
      <c r="F5" s="14">
        <v>1263.2199999999998</v>
      </c>
      <c r="G5" s="14">
        <v>213.84</v>
      </c>
      <c r="H5"/>
      <c r="N5"/>
      <c r="T5" s="50"/>
      <c r="Z5" s="50"/>
    </row>
    <row r="6" spans="1:31" x14ac:dyDescent="0.25">
      <c r="B6" s="28" t="s">
        <v>22</v>
      </c>
      <c r="C6" s="14">
        <v>55726.07</v>
      </c>
      <c r="D6" s="14">
        <v>11550</v>
      </c>
      <c r="E6" s="14">
        <v>76.237350000000006</v>
      </c>
      <c r="F6" s="14">
        <v>1650</v>
      </c>
      <c r="G6" s="38">
        <v>1650</v>
      </c>
      <c r="H6"/>
      <c r="N6"/>
      <c r="T6" s="50"/>
      <c r="Z6" s="50"/>
    </row>
    <row r="7" spans="1:31" x14ac:dyDescent="0.25">
      <c r="B7" s="28" t="s">
        <v>13</v>
      </c>
      <c r="C7" s="14">
        <v>5289</v>
      </c>
      <c r="D7" s="14">
        <v>1110.69</v>
      </c>
      <c r="E7" s="14">
        <v>0</v>
      </c>
      <c r="F7" s="14">
        <v>714.68</v>
      </c>
      <c r="G7" s="38">
        <v>158.66999999999999</v>
      </c>
      <c r="H7"/>
      <c r="N7"/>
      <c r="T7" s="50"/>
      <c r="Z7" s="50"/>
    </row>
    <row r="8" spans="1:31" x14ac:dyDescent="0.25">
      <c r="A8" s="26"/>
      <c r="B8" s="26"/>
      <c r="C8" s="27">
        <f>SUM(C3:C7)</f>
        <v>311964.15000000002</v>
      </c>
      <c r="D8" s="27">
        <f>SUM(D3:D7)</f>
        <v>63152.481</v>
      </c>
      <c r="E8" s="27">
        <f>SUM(E3:E7)</f>
        <v>1179.9952500000002</v>
      </c>
      <c r="F8" s="27">
        <f>SUM(F3:F7)</f>
        <v>9912.9</v>
      </c>
      <c r="G8" s="27">
        <f>SUM(G3:G7)</f>
        <v>9024.880000000001</v>
      </c>
      <c r="H8"/>
      <c r="N8"/>
      <c r="T8" s="50"/>
      <c r="Z8" s="50"/>
    </row>
    <row r="9" spans="1:31" x14ac:dyDescent="0.25">
      <c r="A9" s="26"/>
      <c r="B9" s="26"/>
      <c r="H9"/>
      <c r="N9"/>
      <c r="T9" s="50"/>
      <c r="Z9" s="50"/>
    </row>
    <row r="10" spans="1:31" ht="16.5" customHeight="1" x14ac:dyDescent="0.3">
      <c r="B10" s="52" t="s">
        <v>14</v>
      </c>
      <c r="C10" s="52"/>
      <c r="D10" s="52"/>
      <c r="E10" s="52"/>
      <c r="F10" s="52"/>
      <c r="G10" s="39"/>
      <c r="I10" s="52" t="s">
        <v>23</v>
      </c>
      <c r="J10" s="52"/>
      <c r="K10" s="52"/>
      <c r="L10" s="52"/>
      <c r="M10" s="52"/>
      <c r="O10" s="52" t="s">
        <v>21</v>
      </c>
      <c r="P10" s="52"/>
      <c r="Q10" s="52"/>
      <c r="R10" s="52"/>
      <c r="S10" s="52"/>
      <c r="T10" s="43"/>
      <c r="U10" s="52" t="s">
        <v>24</v>
      </c>
      <c r="V10" s="52"/>
      <c r="W10" s="52"/>
      <c r="X10" s="52"/>
      <c r="Y10" s="52"/>
      <c r="AA10" s="52" t="s">
        <v>13</v>
      </c>
      <c r="AB10" s="52"/>
      <c r="AC10" s="52"/>
      <c r="AD10" s="52"/>
      <c r="AE10" s="52"/>
    </row>
    <row r="11" spans="1:31" s="5" customFormat="1" x14ac:dyDescent="0.25">
      <c r="B11" s="10" t="s">
        <v>2</v>
      </c>
      <c r="C11" s="9" t="s">
        <v>0</v>
      </c>
      <c r="D11" s="9" t="s">
        <v>1</v>
      </c>
      <c r="E11" s="9" t="s">
        <v>3</v>
      </c>
      <c r="F11" s="9" t="s">
        <v>4</v>
      </c>
      <c r="G11" s="9"/>
      <c r="H11" s="7"/>
      <c r="I11" s="12" t="s">
        <v>2</v>
      </c>
      <c r="J11" s="13" t="s">
        <v>0</v>
      </c>
      <c r="K11" s="13" t="s">
        <v>1</v>
      </c>
      <c r="L11" s="13" t="s">
        <v>3</v>
      </c>
      <c r="M11" s="13" t="s">
        <v>4</v>
      </c>
      <c r="N11" s="7"/>
      <c r="O11" s="12" t="s">
        <v>2</v>
      </c>
      <c r="P11" s="13" t="s">
        <v>0</v>
      </c>
      <c r="Q11" s="13" t="s">
        <v>1</v>
      </c>
      <c r="R11" s="13" t="s">
        <v>3</v>
      </c>
      <c r="S11" s="13" t="s">
        <v>4</v>
      </c>
      <c r="T11" s="44"/>
      <c r="U11" s="12" t="s">
        <v>2</v>
      </c>
      <c r="V11" s="13" t="s">
        <v>0</v>
      </c>
      <c r="W11" s="13" t="s">
        <v>1</v>
      </c>
      <c r="X11" s="13" t="s">
        <v>3</v>
      </c>
      <c r="Y11" s="13" t="s">
        <v>4</v>
      </c>
      <c r="Z11" s="51"/>
      <c r="AA11" s="5" t="s">
        <v>2</v>
      </c>
      <c r="AB11" s="5" t="s">
        <v>0</v>
      </c>
      <c r="AC11" s="5" t="s">
        <v>1</v>
      </c>
      <c r="AD11" s="5" t="s">
        <v>3</v>
      </c>
      <c r="AE11" s="5" t="s">
        <v>4</v>
      </c>
    </row>
    <row r="12" spans="1:31" x14ac:dyDescent="0.25">
      <c r="B12" s="2">
        <v>10</v>
      </c>
      <c r="C12" s="2">
        <f>Tabla13162432212223352627282212223242526263707792[[#This Row],[COMISIONES]]*0.21</f>
        <v>2.1</v>
      </c>
      <c r="D12" s="3"/>
      <c r="E12" s="3">
        <v>306.45</v>
      </c>
      <c r="F12" s="1">
        <v>153.22</v>
      </c>
      <c r="G12" s="1"/>
      <c r="H12" s="8"/>
      <c r="I12" s="3">
        <v>14259</v>
      </c>
      <c r="J12" s="11">
        <f>Tabla3510182636414244454647484414243444546465727893[[#This Row],[COMISIONES]]*0.21</f>
        <v>2994.39</v>
      </c>
      <c r="K12" s="11"/>
      <c r="L12" s="1">
        <v>421.95</v>
      </c>
      <c r="M12">
        <v>421.95</v>
      </c>
      <c r="N12" s="8"/>
      <c r="O12" s="3">
        <v>55000</v>
      </c>
      <c r="P12" s="11">
        <f>Tabla35681314223040818284858687888818283848586866737994[[#This Row],[COMISIONES]]*0.21</f>
        <v>11550</v>
      </c>
      <c r="Q12" s="11"/>
      <c r="R12" s="1">
        <v>1650</v>
      </c>
      <c r="S12" s="11">
        <v>1650</v>
      </c>
      <c r="T12" s="45"/>
      <c r="U12" s="11">
        <v>7128.1</v>
      </c>
      <c r="V12" s="11">
        <f>Tabla356111927344311213151617181911121314151617167758095[[#This Row],[COMISIONES]]*0.21</f>
        <v>1496.9010000000001</v>
      </c>
      <c r="W12" s="11"/>
      <c r="X12" s="11">
        <v>1052.83</v>
      </c>
      <c r="Y12" s="11">
        <v>213.84</v>
      </c>
      <c r="AA12" s="3">
        <v>5289</v>
      </c>
      <c r="AB12" s="3">
        <f>Tabla7369768196[[#This Row],[COMISIONES]]*0.21</f>
        <v>1110.69</v>
      </c>
      <c r="AC12" s="3"/>
      <c r="AD12" s="3">
        <v>357.34</v>
      </c>
      <c r="AE12" s="3">
        <v>158.66999999999999</v>
      </c>
    </row>
    <row r="13" spans="1:31" x14ac:dyDescent="0.25">
      <c r="B13" s="3">
        <v>10215.290000000001</v>
      </c>
      <c r="C13" s="2"/>
      <c r="D13" s="3">
        <f>Tabla13162432212223352627282212223242526263707792[[#This Row],[COMISIONES]]*0.105</f>
        <v>1072.60545</v>
      </c>
      <c r="E13" s="3">
        <v>1624.5</v>
      </c>
      <c r="F13" s="3">
        <v>1624.5</v>
      </c>
      <c r="G13" s="3"/>
      <c r="H13" s="8"/>
      <c r="I13" s="11">
        <v>296.69</v>
      </c>
      <c r="J13" s="11" t="s">
        <v>18</v>
      </c>
      <c r="K13" s="11">
        <f>Tabla3510182636414244454647484414243444546465727893[[#This Row],[COMISIONES]]*0.105</f>
        <v>31.152449999999998</v>
      </c>
      <c r="L13" s="1"/>
      <c r="N13" s="8"/>
      <c r="O13" s="11">
        <v>726.07</v>
      </c>
      <c r="P13" s="11"/>
      <c r="Q13" s="11">
        <f>Tabla35681314223040818284858687888818283848586866737994[[#This Row],[COMISIONES]]*0.105</f>
        <v>76.237350000000006</v>
      </c>
      <c r="R13" s="11"/>
      <c r="S13" s="11"/>
      <c r="T13" s="45"/>
      <c r="U13" s="11"/>
      <c r="V13" s="11">
        <f>Tabla356111927344311213151617181911121314151617167758095[[#This Row],[COMISIONES]]*0.21</f>
        <v>0</v>
      </c>
      <c r="W13" s="11"/>
      <c r="X13" s="11">
        <v>210.39</v>
      </c>
      <c r="Y13" s="11" t="s">
        <v>18</v>
      </c>
      <c r="AA13" s="3"/>
      <c r="AB13" s="3">
        <f>Tabla7369768196[[#This Row],[COMISIONES]]*0.21</f>
        <v>0</v>
      </c>
      <c r="AC13" s="3"/>
      <c r="AD13" s="3">
        <v>357.34</v>
      </c>
      <c r="AE13" s="3"/>
    </row>
    <row r="14" spans="1:31" x14ac:dyDescent="0.25">
      <c r="B14" s="3">
        <v>54150</v>
      </c>
      <c r="C14" s="2">
        <f>Tabla13162432212223352627282212223242526263707792[[#This Row],[COMISIONES]]*0.21</f>
        <v>11371.5</v>
      </c>
      <c r="D14" s="3"/>
      <c r="E14" s="3">
        <v>1770</v>
      </c>
      <c r="F14" s="3">
        <v>1770</v>
      </c>
      <c r="G14" s="3"/>
      <c r="I14" s="1">
        <v>57500</v>
      </c>
      <c r="J14" s="11">
        <f>Tabla3510182636414244454647484414243444546465727893[[#This Row],[COMISIONES]]*0.21</f>
        <v>12075</v>
      </c>
      <c r="K14" s="11"/>
      <c r="L14" s="11">
        <v>1725</v>
      </c>
      <c r="M14" s="23">
        <v>1725</v>
      </c>
      <c r="O14" s="11"/>
      <c r="P14" s="11">
        <f>Tabla35681314223040818284858687888818283848586866737994[[#This Row],[COMISIONES]]*0.21</f>
        <v>0</v>
      </c>
      <c r="Q14" s="11"/>
      <c r="R14" s="11"/>
      <c r="S14" s="11"/>
      <c r="T14" s="45"/>
      <c r="U14" s="11"/>
      <c r="V14" s="11">
        <f>Tabla356111927344311213151617181911121314151617167758095[[#This Row],[COMISIONES]]*0.21</f>
        <v>0</v>
      </c>
      <c r="W14" s="11"/>
      <c r="X14" s="11"/>
      <c r="Y14" s="11"/>
      <c r="AA14" s="3"/>
      <c r="AB14" s="3">
        <f>Tabla7369768196[[#This Row],[COMISIONES]]*0.21</f>
        <v>0</v>
      </c>
      <c r="AC14" s="3"/>
      <c r="AD14" s="3"/>
      <c r="AE14" s="3"/>
    </row>
    <row r="15" spans="1:31" x14ac:dyDescent="0.25">
      <c r="B15" s="3">
        <v>59000</v>
      </c>
      <c r="C15" s="2">
        <f>Tabla13162432212223352627282212223242526263707792[[#This Row],[COMISIONES]]*0.21</f>
        <v>12390</v>
      </c>
      <c r="D15" s="3"/>
      <c r="E15" s="3"/>
      <c r="F15" s="3">
        <v>870.6</v>
      </c>
      <c r="G15" s="3"/>
      <c r="H15" s="8"/>
      <c r="I15" s="1">
        <v>14570</v>
      </c>
      <c r="J15" s="11">
        <f>Tabla3510182636414244454647484414243444546465727893[[#This Row],[COMISIONES]]*0.21</f>
        <v>3059.7</v>
      </c>
      <c r="K15" s="11"/>
      <c r="L15" s="11">
        <v>437.1</v>
      </c>
      <c r="M15" s="23">
        <v>437.1</v>
      </c>
      <c r="N15" s="8"/>
      <c r="O15" s="11"/>
      <c r="P15" s="11">
        <f>Tabla35681314223040818284858687888818283848586866737994[[#This Row],[COMISIONES]]*0.21</f>
        <v>0</v>
      </c>
      <c r="Q15" s="11"/>
      <c r="R15" s="11"/>
      <c r="S15" s="11"/>
      <c r="T15" s="45"/>
      <c r="U15" s="11"/>
      <c r="V15" s="11">
        <f>Tabla356111927344311213151617181911121314151617167758095[[#This Row],[COMISIONES]]*0.21</f>
        <v>0</v>
      </c>
      <c r="W15" s="11"/>
      <c r="X15" s="11"/>
      <c r="Y15" s="11"/>
      <c r="AA15" s="3"/>
      <c r="AB15" s="3">
        <f>Tabla7369768196[[#This Row],[COMISIONES]]*0.21</f>
        <v>0</v>
      </c>
      <c r="AC15" s="3"/>
      <c r="AD15" s="3"/>
      <c r="AE15" s="3"/>
    </row>
    <row r="16" spans="1:31" x14ac:dyDescent="0.25">
      <c r="B16" s="3">
        <v>300</v>
      </c>
      <c r="C16" s="2">
        <f>Tabla13162432212223352627282212223242526263707792[[#This Row],[COMISIONES]]*0.21</f>
        <v>63</v>
      </c>
      <c r="D16" s="3"/>
      <c r="E16" s="3"/>
      <c r="F16" s="3"/>
      <c r="G16" s="3"/>
      <c r="I16" s="1"/>
      <c r="J16" s="11">
        <f>Tabla3510182636414244454647484414243444546465727893[[#This Row],[COMISIONES]]*0.21</f>
        <v>0</v>
      </c>
      <c r="K16" s="11"/>
      <c r="L16" s="11"/>
      <c r="M16" s="23"/>
      <c r="O16" s="11"/>
      <c r="P16" s="11">
        <f>Tabla35681314223040818284858687888818283848586866737994[[#This Row],[COMISIONES]]*0.21</f>
        <v>0</v>
      </c>
      <c r="Q16" s="11"/>
      <c r="R16" s="11"/>
      <c r="S16" s="11"/>
      <c r="T16" s="45"/>
      <c r="U16" s="11"/>
      <c r="V16" s="11">
        <f>Tabla356111927344311213151617181911121314151617167758095[[#This Row],[COMISIONES]]*0.21</f>
        <v>0</v>
      </c>
      <c r="W16" s="11"/>
      <c r="X16" s="11"/>
      <c r="Y16" s="11"/>
      <c r="AA16" s="3"/>
      <c r="AB16" s="3">
        <f>Tabla7369768196[[#This Row],[COMISIONES]]*0.21</f>
        <v>0</v>
      </c>
      <c r="AC16" s="3"/>
      <c r="AD16" s="3"/>
      <c r="AE16" s="3"/>
    </row>
    <row r="17" spans="2:31" x14ac:dyDescent="0.25">
      <c r="B17" s="3">
        <v>300</v>
      </c>
      <c r="C17" s="2">
        <f>Tabla13162432212223352627282212223242526263707792[[#This Row],[COMISIONES]]*0.21</f>
        <v>63</v>
      </c>
      <c r="D17" s="3"/>
      <c r="E17" s="3"/>
      <c r="F17" s="3"/>
      <c r="G17" s="3"/>
      <c r="I17" s="11"/>
      <c r="J17" s="11">
        <f>Tabla3510182636414244454647484414243444546465727893[[#This Row],[COMISIONES]]*0.21</f>
        <v>0</v>
      </c>
      <c r="K17" s="11"/>
      <c r="L17" s="11"/>
      <c r="M17" s="11"/>
      <c r="O17" s="11"/>
      <c r="P17" s="11">
        <f>Tabla35681314223040818284858687888818283848586866737994[[#This Row],[COMISIONES]]*0.21</f>
        <v>0</v>
      </c>
      <c r="Q17" s="11"/>
      <c r="R17" s="11"/>
      <c r="S17" s="11"/>
      <c r="T17" s="45"/>
      <c r="U17" s="11"/>
      <c r="V17" s="11">
        <f>Tabla356111927344311213151617181911121314151617167758095[[#This Row],[COMISIONES]]*0.21</f>
        <v>0</v>
      </c>
      <c r="W17" s="11"/>
      <c r="X17" s="11"/>
      <c r="Y17" s="11"/>
      <c r="AA17" s="3"/>
      <c r="AB17" s="3">
        <f>Tabla7369768196[[#This Row],[COMISIONES]]*0.21</f>
        <v>0</v>
      </c>
      <c r="AC17" s="3"/>
      <c r="AD17" s="3"/>
      <c r="AE17" s="3"/>
    </row>
    <row r="18" spans="2:31" x14ac:dyDescent="0.25">
      <c r="B18" s="3">
        <v>300</v>
      </c>
      <c r="C18" s="2">
        <f>Tabla13162432212223352627282212223242526263707792[[#This Row],[COMISIONES]]*0.21</f>
        <v>63</v>
      </c>
      <c r="D18" s="3"/>
      <c r="E18" s="3"/>
      <c r="F18" s="3"/>
      <c r="G18" s="3"/>
      <c r="I18" s="11"/>
      <c r="J18" s="11">
        <f>Tabla3510182636414244454647484414243444546465727893[[#This Row],[COMISIONES]]*0.21</f>
        <v>0</v>
      </c>
      <c r="K18" s="11"/>
      <c r="L18" s="11"/>
      <c r="M18" s="11"/>
      <c r="O18" s="11"/>
      <c r="P18" s="11">
        <f>Tabla35681314223040818284858687888818283848586866737994[[#This Row],[COMISIONES]]*0.21</f>
        <v>0</v>
      </c>
      <c r="Q18" s="11"/>
      <c r="R18" s="11"/>
      <c r="S18" s="11"/>
      <c r="T18" s="45"/>
      <c r="U18" s="11"/>
      <c r="V18" s="11">
        <f>Tabla356111927344311213151617181911121314151617167758095[[#This Row],[COMISIONES]]*0.21</f>
        <v>0</v>
      </c>
      <c r="W18" s="11"/>
      <c r="X18" s="11"/>
      <c r="Y18" s="11"/>
      <c r="AA18" s="3"/>
      <c r="AB18" s="3">
        <f>Tabla7369768196[[#This Row],[COMISIONES]]*0.21</f>
        <v>0</v>
      </c>
      <c r="AC18" s="3"/>
      <c r="AD18" s="3"/>
      <c r="AE18" s="3"/>
    </row>
    <row r="19" spans="2:31" x14ac:dyDescent="0.25">
      <c r="B19" s="3">
        <v>300</v>
      </c>
      <c r="C19" s="2">
        <f>Tabla13162432212223352627282212223242526263707792[[#This Row],[COMISIONES]]*0.21</f>
        <v>63</v>
      </c>
      <c r="D19" s="3"/>
      <c r="E19" s="3"/>
      <c r="F19" s="3"/>
      <c r="G19" s="3"/>
      <c r="I19" s="11"/>
      <c r="J19" s="11">
        <f>Tabla3510182636414244454647484414243444546465727893[[#This Row],[COMISIONES]]*0.21</f>
        <v>0</v>
      </c>
      <c r="K19" s="11"/>
      <c r="L19" s="11"/>
      <c r="M19" s="11"/>
      <c r="O19" s="11"/>
      <c r="P19" s="11">
        <f>Tabla35681314223040818284858687888818283848586866737994[[#This Row],[COMISIONES]]*0.21</f>
        <v>0</v>
      </c>
      <c r="Q19" s="11"/>
      <c r="R19" s="11"/>
      <c r="S19" s="11"/>
      <c r="T19" s="45"/>
      <c r="U19" s="11"/>
      <c r="V19" s="11">
        <f>Tabla356111927344311213151617181911121314151617167758095[[#This Row],[COMISIONES]]*0.21</f>
        <v>0</v>
      </c>
      <c r="W19" s="11"/>
      <c r="X19" s="11"/>
      <c r="Y19" s="11"/>
      <c r="AA19" s="3"/>
      <c r="AB19" s="3">
        <f>Tabla7369768196[[#This Row],[COMISIONES]]*0.21</f>
        <v>0</v>
      </c>
      <c r="AC19" s="3"/>
      <c r="AD19" s="3"/>
      <c r="AE19" s="3"/>
    </row>
    <row r="20" spans="2:31" x14ac:dyDescent="0.25">
      <c r="B20" s="3">
        <v>300</v>
      </c>
      <c r="C20" s="2">
        <f>Tabla13162432212223352627282212223242526263707792[[#This Row],[COMISIONES]]*0.21</f>
        <v>63</v>
      </c>
      <c r="D20" s="3"/>
      <c r="E20" s="3"/>
      <c r="F20" s="3"/>
      <c r="G20" s="3"/>
      <c r="I20" s="11"/>
      <c r="J20" s="11">
        <f>Tabla3510182636414244454647484414243444546465727893[[#This Row],[COMISIONES]]*0.21</f>
        <v>0</v>
      </c>
      <c r="K20" s="11"/>
      <c r="L20" s="11"/>
      <c r="M20" s="11"/>
      <c r="O20" s="11"/>
      <c r="P20" s="11">
        <f>Tabla35681314223040818284858687888818283848586866737994[[#This Row],[COMISIONES]]*0.21</f>
        <v>0</v>
      </c>
      <c r="Q20" s="11"/>
      <c r="R20" s="11"/>
      <c r="S20" s="11"/>
      <c r="T20" s="45"/>
      <c r="U20" s="11"/>
      <c r="V20" s="11">
        <f>Tabla356111927344311213151617181911121314151617167758095[[#This Row],[COMISIONES]]*0.21</f>
        <v>0</v>
      </c>
      <c r="W20" s="11"/>
      <c r="X20" s="11"/>
      <c r="Y20" s="11"/>
      <c r="AA20" s="3"/>
      <c r="AB20" s="3">
        <f>Tabla7369768196[[#This Row],[COMISIONES]]*0.21</f>
        <v>0</v>
      </c>
      <c r="AC20" s="3"/>
      <c r="AD20" s="3"/>
      <c r="AE20" s="3"/>
    </row>
    <row r="21" spans="2:31" x14ac:dyDescent="0.25">
      <c r="B21" s="3">
        <v>300</v>
      </c>
      <c r="C21" s="2">
        <f>Tabla13162432212223352627282212223242526263707792[[#This Row],[COMISIONES]]*0.21</f>
        <v>63</v>
      </c>
      <c r="D21" s="3"/>
      <c r="E21" s="3"/>
      <c r="F21" s="3"/>
      <c r="G21" s="3"/>
      <c r="I21" s="11"/>
      <c r="J21" s="11">
        <f>Tabla3510182636414244454647484414243444546465727893[[#This Row],[COMISIONES]]*0.21</f>
        <v>0</v>
      </c>
      <c r="K21" s="11"/>
      <c r="L21" s="11"/>
      <c r="M21" s="11"/>
      <c r="O21" s="11"/>
      <c r="P21" s="11">
        <f>Tabla35681314223040818284858687888818283848586866737994[[#This Row],[COMISIONES]]*0.21</f>
        <v>0</v>
      </c>
      <c r="Q21" s="11"/>
      <c r="R21" s="11"/>
      <c r="S21" s="11"/>
      <c r="T21" s="45"/>
      <c r="U21" s="11"/>
      <c r="V21" s="11">
        <f>Tabla356111927344311213151617181911121314151617167758095[[#This Row],[COMISIONES]]*0.21</f>
        <v>0</v>
      </c>
      <c r="W21" s="11"/>
      <c r="X21" s="11"/>
      <c r="Y21" s="11"/>
      <c r="AA21" s="3"/>
      <c r="AB21" s="3">
        <f>Tabla7369768196[[#This Row],[COMISIONES]]*0.21</f>
        <v>0</v>
      </c>
      <c r="AC21" s="3"/>
      <c r="AD21" s="3"/>
      <c r="AE21" s="3"/>
    </row>
    <row r="22" spans="2:31" x14ac:dyDescent="0.25">
      <c r="B22" s="3">
        <v>300</v>
      </c>
      <c r="C22" s="2">
        <f>Tabla13162432212223352627282212223242526263707792[[#This Row],[COMISIONES]]*0.21</f>
        <v>63</v>
      </c>
      <c r="D22" s="3"/>
      <c r="E22" s="3"/>
      <c r="F22" s="3"/>
      <c r="G22" s="3"/>
      <c r="I22" s="11"/>
      <c r="J22" s="11">
        <f>Tabla3510182636414244454647484414243444546465727893[[#This Row],[COMISIONES]]*0.21</f>
        <v>0</v>
      </c>
      <c r="K22" s="11"/>
      <c r="L22" s="11"/>
      <c r="M22" s="11"/>
      <c r="O22" s="40"/>
      <c r="P22" s="40">
        <f>Tabla35681314223040818284858687888818283848586866737994[[#This Row],[COMISIONES]]*0.21</f>
        <v>0</v>
      </c>
      <c r="Q22" s="40"/>
      <c r="R22" s="40"/>
      <c r="S22" s="40"/>
      <c r="T22" s="46"/>
      <c r="U22" s="11"/>
      <c r="V22" s="11">
        <f>Tabla356111927344311213151617181911121314151617167758095[[#This Row],[COMISIONES]]*0.21</f>
        <v>0</v>
      </c>
      <c r="W22" s="11"/>
      <c r="X22" s="11"/>
      <c r="Y22" s="11"/>
      <c r="AA22" s="3"/>
      <c r="AB22" s="3">
        <f>Tabla7369768196[[#This Row],[COMISIONES]]*0.21</f>
        <v>0</v>
      </c>
      <c r="AC22" s="3"/>
      <c r="AD22" s="3"/>
      <c r="AE22" s="3"/>
    </row>
    <row r="23" spans="2:31" x14ac:dyDescent="0.25">
      <c r="B23" s="3">
        <v>300</v>
      </c>
      <c r="C23" s="2">
        <f>Tabla13162432212223352627282212223242526263707792[[#This Row],[COMISIONES]]*0.21</f>
        <v>63</v>
      </c>
      <c r="D23" s="3"/>
      <c r="E23" s="3"/>
      <c r="F23" s="3"/>
      <c r="G23" s="3"/>
      <c r="I23" s="11"/>
      <c r="J23" s="11">
        <f>Tabla3510182636414244454647484414243444546465727893[[#This Row],[COMISIONES]]*0.21</f>
        <v>0</v>
      </c>
      <c r="K23" s="11"/>
      <c r="L23" s="11"/>
      <c r="M23" s="11"/>
      <c r="O23" s="40"/>
      <c r="P23" s="40">
        <f>Tabla35681314223040818284858687888818283848586866737994[[#This Row],[COMISIONES]]*0.21</f>
        <v>0</v>
      </c>
      <c r="Q23" s="40"/>
      <c r="R23" s="40"/>
      <c r="S23" s="40"/>
      <c r="T23" s="46"/>
      <c r="U23" s="11"/>
      <c r="V23" s="11">
        <f>Tabla356111927344311213151617181911121314151617167758095[[#This Row],[COMISIONES]]*0.21</f>
        <v>0</v>
      </c>
      <c r="W23" s="11"/>
      <c r="X23" s="11"/>
      <c r="Y23" s="11"/>
      <c r="AA23" s="3"/>
      <c r="AB23" s="3">
        <f>Tabla7369768196[[#This Row],[COMISIONES]]*0.21</f>
        <v>0</v>
      </c>
      <c r="AC23" s="3"/>
      <c r="AD23" s="3"/>
      <c r="AE23" s="3"/>
    </row>
    <row r="24" spans="2:31" x14ac:dyDescent="0.25">
      <c r="B24" s="3">
        <v>300</v>
      </c>
      <c r="C24" s="2">
        <f>Tabla13162432212223352627282212223242526263707792[[#This Row],[COMISIONES]]*0.21</f>
        <v>63</v>
      </c>
      <c r="D24" s="3"/>
      <c r="E24" s="3"/>
      <c r="F24" s="3"/>
      <c r="G24" s="3"/>
      <c r="I24" s="11"/>
      <c r="J24" s="11">
        <f>Tabla3510182636414244454647484414243444546465727893[[#This Row],[COMISIONES]]*0.21</f>
        <v>0</v>
      </c>
      <c r="K24" s="11"/>
      <c r="L24" s="11"/>
      <c r="M24" s="11"/>
      <c r="O24" s="40"/>
      <c r="P24" s="40">
        <f>Tabla35681314223040818284858687888818283848586866737994[[#This Row],[COMISIONES]]*0.21</f>
        <v>0</v>
      </c>
      <c r="Q24" s="40"/>
      <c r="R24" s="40"/>
      <c r="S24" s="40"/>
      <c r="T24" s="46"/>
      <c r="U24" s="11"/>
      <c r="V24" s="11">
        <f>Tabla356111927344311213151617181911121314151617167758095[[#This Row],[COMISIONES]]*0.21</f>
        <v>0</v>
      </c>
      <c r="W24" s="11"/>
      <c r="X24" s="11"/>
      <c r="Y24" s="11"/>
      <c r="AA24" s="3"/>
      <c r="AB24" s="3">
        <f>Tabla7369768196[[#This Row],[COMISIONES]]*0.21</f>
        <v>0</v>
      </c>
      <c r="AC24" s="3"/>
      <c r="AD24" s="3"/>
      <c r="AE24" s="3"/>
    </row>
    <row r="25" spans="2:31" x14ac:dyDescent="0.25">
      <c r="B25" s="3">
        <v>300</v>
      </c>
      <c r="C25" s="2">
        <f>Tabla13162432212223352627282212223242526263707792[[#This Row],[COMISIONES]]*0.21</f>
        <v>63</v>
      </c>
      <c r="D25" s="3"/>
      <c r="E25" s="3"/>
      <c r="F25" s="3"/>
      <c r="G25" s="3"/>
      <c r="I25" s="11"/>
      <c r="J25" s="11">
        <f>Tabla3510182636414244454647484414243444546465727893[[#This Row],[COMISIONES]]*0.21</f>
        <v>0</v>
      </c>
      <c r="K25" s="11"/>
      <c r="L25" s="11"/>
      <c r="M25" s="11"/>
      <c r="O25" s="41"/>
      <c r="P25" s="42">
        <f>Tabla35681314223040818284858687888818283848586866737994[[#This Row],[COMISIONES]]*0.21</f>
        <v>0</v>
      </c>
      <c r="Q25" s="42"/>
      <c r="R25" s="42"/>
      <c r="S25" s="42"/>
      <c r="T25" s="47"/>
      <c r="U25" s="18"/>
      <c r="V25" s="18">
        <f>Tabla356111927344311213151617181911121314151617167758095[[#This Row],[COMISIONES]]*0.21</f>
        <v>0</v>
      </c>
      <c r="W25" s="18"/>
      <c r="X25" s="18"/>
      <c r="Y25" s="18"/>
      <c r="AA25" s="3"/>
      <c r="AB25" s="3">
        <f>Tabla7369768196[[#This Row],[COMISIONES]]*0.21</f>
        <v>0</v>
      </c>
      <c r="AC25" s="3"/>
      <c r="AD25" s="3"/>
      <c r="AE25" s="3"/>
    </row>
    <row r="26" spans="2:31" x14ac:dyDescent="0.25">
      <c r="B26" s="3">
        <v>300</v>
      </c>
      <c r="C26" s="2">
        <f>Tabla13162432212223352627282212223242526263707792[[#This Row],[COMISIONES]]*0.21</f>
        <v>63</v>
      </c>
      <c r="D26" s="3"/>
      <c r="E26" s="3"/>
      <c r="F26" s="3"/>
      <c r="G26" s="3"/>
      <c r="I26" s="11"/>
      <c r="J26" s="11">
        <f>Tabla3510182636414244454647484414243444546465727893[[#This Row],[COMISIONES]]*0.21</f>
        <v>0</v>
      </c>
      <c r="K26" s="11"/>
      <c r="L26" s="11"/>
      <c r="M26" s="11"/>
      <c r="O26" s="40"/>
      <c r="P26" s="40">
        <f>Tabla35681314223040818284858687888818283848586866737994[[#This Row],[COMISIONES]]*0.21</f>
        <v>0</v>
      </c>
      <c r="Q26" s="40"/>
      <c r="R26" s="40"/>
      <c r="S26" s="40"/>
      <c r="T26" s="46"/>
      <c r="U26" s="18"/>
      <c r="V26" s="18">
        <f>Tabla356111927344311213151617181911121314151617167758095[[#This Row],[COMISIONES]]*0.21</f>
        <v>0</v>
      </c>
      <c r="W26" s="18"/>
      <c r="X26" s="18"/>
      <c r="Y26" s="18"/>
      <c r="AA26" s="3"/>
      <c r="AB26" s="3">
        <f>Tabla7369768196[[#This Row],[COMISIONES]]*0.21</f>
        <v>0</v>
      </c>
      <c r="AC26" s="3"/>
      <c r="AD26" s="3"/>
      <c r="AE26" s="3"/>
    </row>
    <row r="27" spans="2:31" x14ac:dyDescent="0.25">
      <c r="B27" s="3">
        <v>29020</v>
      </c>
      <c r="C27" s="2">
        <f>Tabla13162432212223352627282212223242526263707792[[#This Row],[COMISIONES]]*0.21</f>
        <v>6094.2</v>
      </c>
      <c r="D27" s="3"/>
      <c r="E27" s="1"/>
      <c r="F27" s="3"/>
      <c r="G27" s="3"/>
      <c r="I27" s="11"/>
      <c r="J27" s="11">
        <f>Tabla3510182636414244454647484414243444546465727893[[#This Row],[COMISIONES]]*0.21</f>
        <v>0</v>
      </c>
      <c r="K27" s="11"/>
      <c r="L27" s="11"/>
      <c r="M27" s="11"/>
      <c r="O27" s="40"/>
      <c r="P27" s="40">
        <f>Tabla35681314223040818284858687888818283848586866737994[[#This Row],[COMISIONES]]*0.21</f>
        <v>0</v>
      </c>
      <c r="Q27" s="40"/>
      <c r="R27" s="40"/>
      <c r="S27" s="40"/>
      <c r="T27" s="46"/>
      <c r="U27" s="40"/>
      <c r="V27" s="40">
        <f>Tabla356111927344311213151617181911121314151617167758095[[#This Row],[COMISIONES]]*0.21</f>
        <v>0</v>
      </c>
      <c r="W27" s="40"/>
      <c r="X27" s="40"/>
      <c r="Y27" s="40"/>
      <c r="AA27" s="4">
        <f>SUM(Tabla7369768196[COMISIONES])</f>
        <v>5289</v>
      </c>
      <c r="AB27" s="4">
        <f>SUM(Tabla7369768196[IVA 21])</f>
        <v>1110.69</v>
      </c>
      <c r="AC27" s="4">
        <f>SUM(Tabla7369768196[IVA 10,5])</f>
        <v>0</v>
      </c>
      <c r="AD27" s="4">
        <f>SUM(Tabla7369768196[Ret IIBB Caba])</f>
        <v>714.68</v>
      </c>
      <c r="AE27" s="4">
        <f>SUM(Tabla7369768196[PERC IVA])</f>
        <v>158.66999999999999</v>
      </c>
    </row>
    <row r="28" spans="2:31" x14ac:dyDescent="0.25">
      <c r="B28" s="3">
        <v>300</v>
      </c>
      <c r="C28" s="2">
        <f>Tabla13162432212223352627282212223242526263707792[[#This Row],[COMISIONES]]*0.21</f>
        <v>63</v>
      </c>
      <c r="D28" s="3"/>
      <c r="E28" s="3"/>
      <c r="F28" s="3"/>
      <c r="G28" s="3"/>
      <c r="I28" s="11"/>
      <c r="J28" s="11">
        <f>Tabla3510182636414244454647484414243444546465727893[[#This Row],[COMISIONES]]*0.21</f>
        <v>0</v>
      </c>
      <c r="K28" s="11"/>
      <c r="L28" s="11"/>
      <c r="M28" s="11"/>
      <c r="O28" s="40"/>
      <c r="P28" s="40">
        <f>Tabla35681314223040818284858687888818283848586866737994[[#This Row],[COMISIONES]]*0.21</f>
        <v>0</v>
      </c>
      <c r="Q28" s="40"/>
      <c r="R28" s="40"/>
      <c r="S28" s="40"/>
      <c r="T28" s="46"/>
      <c r="U28" s="40"/>
      <c r="V28" s="40">
        <f>Tabla356111927344311213151617181911121314151617167758095[[#This Row],[COMISIONES]]*0.21</f>
        <v>0</v>
      </c>
      <c r="W28" s="40"/>
      <c r="X28" s="40"/>
      <c r="Y28" s="40"/>
    </row>
    <row r="29" spans="2:31" x14ac:dyDescent="0.25">
      <c r="B29" s="3">
        <v>300</v>
      </c>
      <c r="C29" s="2">
        <f>Tabla13162432212223352627282212223242526263707792[[#This Row],[COMISIONES]]*0.21</f>
        <v>63</v>
      </c>
      <c r="D29" s="3"/>
      <c r="E29" s="3"/>
      <c r="F29" s="3"/>
      <c r="G29" s="3"/>
      <c r="I29" s="11"/>
      <c r="J29" s="11">
        <f>Tabla3510182636414244454647484414243444546465727893[[#This Row],[COMISIONES]]*0.21</f>
        <v>0</v>
      </c>
      <c r="K29" s="11"/>
      <c r="L29" s="11"/>
      <c r="M29" s="11"/>
      <c r="O29" s="40"/>
      <c r="P29" s="40">
        <f>Tabla35681314223040818284858687888818283848586866737994[[#This Row],[COMISIONES]]*0.21</f>
        <v>0</v>
      </c>
      <c r="Q29" s="40"/>
      <c r="R29" s="40"/>
      <c r="S29" s="40"/>
      <c r="T29" s="46"/>
      <c r="U29" s="40"/>
      <c r="V29" s="40">
        <f>Tabla356111927344311213151617181911121314151617167758095[[#This Row],[COMISIONES]]*0.21</f>
        <v>0</v>
      </c>
      <c r="W29" s="40"/>
      <c r="X29" s="40"/>
      <c r="Y29" s="40"/>
    </row>
    <row r="30" spans="2:31" x14ac:dyDescent="0.25">
      <c r="B30" s="3">
        <v>300</v>
      </c>
      <c r="C30" s="2">
        <f>Tabla13162432212223352627282212223242526263707792[[#This Row],[COMISIONES]]*0.21</f>
        <v>63</v>
      </c>
      <c r="D30" s="3"/>
      <c r="E30" s="3"/>
      <c r="F30" s="3"/>
      <c r="G30" s="3"/>
      <c r="I30" s="11"/>
      <c r="J30" s="11">
        <f>Tabla3510182636414244454647484414243444546465727893[[#This Row],[COMISIONES]]*0.21</f>
        <v>0</v>
      </c>
      <c r="K30" s="11"/>
      <c r="L30" s="11"/>
      <c r="M30" s="11"/>
      <c r="O30" s="40"/>
      <c r="P30" s="40">
        <f>Tabla35681314223040818284858687888818283848586866737994[[#This Row],[COMISIONES]]*0.21</f>
        <v>0</v>
      </c>
      <c r="Q30" s="40"/>
      <c r="R30" s="40"/>
      <c r="S30" s="40"/>
      <c r="T30" s="46"/>
      <c r="U30" s="40"/>
      <c r="V30" s="40">
        <f>Tabla356111927344311213151617181911121314151617167758095[[#This Row],[COMISIONES]]*0.21</f>
        <v>0</v>
      </c>
      <c r="W30" s="40"/>
      <c r="X30" s="40"/>
      <c r="Y30" s="40"/>
    </row>
    <row r="31" spans="2:31" x14ac:dyDescent="0.25">
      <c r="B31" s="3">
        <v>300</v>
      </c>
      <c r="C31" s="2">
        <f>Tabla13162432212223352627282212223242526263707792[[#This Row],[COMISIONES]]*0.21</f>
        <v>63</v>
      </c>
      <c r="D31" s="3"/>
      <c r="E31" s="3"/>
      <c r="F31" s="3"/>
      <c r="G31" s="3"/>
      <c r="I31" s="11"/>
      <c r="J31" s="11">
        <f>Tabla3510182636414244454647484414243444546465727893[[#This Row],[COMISIONES]]*0.21</f>
        <v>0</v>
      </c>
      <c r="K31" s="11"/>
      <c r="L31" s="11"/>
      <c r="M31" s="11"/>
      <c r="O31" s="40"/>
      <c r="P31" s="40">
        <f>Tabla35681314223040818284858687888818283848586866737994[[#This Row],[COMISIONES]]*0.21</f>
        <v>0</v>
      </c>
      <c r="Q31" s="40"/>
      <c r="R31" s="40"/>
      <c r="S31" s="40"/>
      <c r="T31" s="46"/>
      <c r="U31" s="40"/>
      <c r="V31" s="40">
        <f>Tabla356111927344311213151617181911121314151617167758095[[#This Row],[COMISIONES]]*0.21</f>
        <v>0</v>
      </c>
      <c r="W31" s="40"/>
      <c r="X31" s="40"/>
      <c r="Y31" s="40"/>
    </row>
    <row r="32" spans="2:31" x14ac:dyDescent="0.25">
      <c r="B32" s="3">
        <v>300</v>
      </c>
      <c r="C32" s="2">
        <f>Tabla13162432212223352627282212223242526263707792[[#This Row],[COMISIONES]]*0.21</f>
        <v>63</v>
      </c>
      <c r="D32" s="3"/>
      <c r="E32" s="3"/>
      <c r="F32" s="3"/>
      <c r="G32" s="3"/>
      <c r="I32" s="11"/>
      <c r="J32" s="11">
        <f>Tabla3510182636414244454647484414243444546465727893[[#This Row],[COMISIONES]]*0.21</f>
        <v>0</v>
      </c>
      <c r="K32" s="11"/>
      <c r="L32" s="11"/>
      <c r="M32" s="11"/>
      <c r="O32" s="40"/>
      <c r="P32" s="40">
        <f>Tabla35681314223040818284858687888818283848586866737994[[#This Row],[COMISIONES]]*0.21</f>
        <v>0</v>
      </c>
      <c r="Q32" s="40"/>
      <c r="R32" s="40"/>
      <c r="S32" s="40"/>
      <c r="T32" s="46"/>
      <c r="U32" s="40"/>
      <c r="V32" s="40">
        <f>Tabla356111927344311213151617181911121314151617167758095[[#This Row],[COMISIONES]]*0.21</f>
        <v>0</v>
      </c>
      <c r="W32" s="40"/>
      <c r="X32" s="40"/>
      <c r="Y32" s="40"/>
    </row>
    <row r="33" spans="1:25" x14ac:dyDescent="0.25">
      <c r="B33" s="3"/>
      <c r="C33" s="2">
        <f>Tabla13162432212223352627282212223242526263707792[[#This Row],[COMISIONES]]*0.21</f>
        <v>0</v>
      </c>
      <c r="D33" s="3"/>
      <c r="E33" s="3"/>
      <c r="F33" s="3"/>
      <c r="G33" s="3"/>
      <c r="I33" s="11"/>
      <c r="J33" s="11">
        <f>Tabla3510182636414244454647484414243444546465727893[[#This Row],[COMISIONES]]*0.21</f>
        <v>0</v>
      </c>
      <c r="K33" s="11"/>
      <c r="L33" s="11"/>
      <c r="M33" s="11"/>
      <c r="O33" s="40"/>
      <c r="P33" s="40">
        <f>Tabla35681314223040818284858687888818283848586866737994[[#This Row],[COMISIONES]]*0.21</f>
        <v>0</v>
      </c>
      <c r="Q33" s="40"/>
      <c r="R33" s="40"/>
      <c r="S33" s="40"/>
      <c r="T33" s="46"/>
      <c r="U33" s="40"/>
      <c r="V33" s="40">
        <f>Tabla356111927344311213151617181911121314151617167758095[[#This Row],[COMISIONES]]*0.21</f>
        <v>0</v>
      </c>
      <c r="W33" s="40"/>
      <c r="X33" s="40"/>
      <c r="Y33" s="40"/>
    </row>
    <row r="34" spans="1:25" x14ac:dyDescent="0.25">
      <c r="B34" s="3"/>
      <c r="C34" s="2">
        <f>Tabla13162432212223352627282212223242526263707792[[#This Row],[COMISIONES]]*0.21</f>
        <v>0</v>
      </c>
      <c r="D34" s="3"/>
      <c r="E34" s="3"/>
      <c r="F34" s="3"/>
      <c r="G34" s="3"/>
      <c r="I34" s="11"/>
      <c r="J34" s="11">
        <f>Tabla3510182636414244454647484414243444546465727893[[#This Row],[COMISIONES]]*0.21</f>
        <v>0</v>
      </c>
      <c r="K34" s="11"/>
      <c r="L34" s="11"/>
      <c r="M34" s="11"/>
      <c r="O34" s="40"/>
      <c r="P34" s="40">
        <f>Tabla35681314223040818284858687888818283848586866737994[[#This Row],[COMISIONES]]*0.21</f>
        <v>0</v>
      </c>
      <c r="Q34" s="40"/>
      <c r="R34" s="40"/>
      <c r="S34" s="40"/>
      <c r="T34" s="46"/>
      <c r="U34" s="40"/>
      <c r="V34" s="40">
        <f>Tabla356111927344311213151617181911121314151617167758095[[#This Row],[COMISIONES]]*0.21</f>
        <v>0</v>
      </c>
      <c r="W34" s="40"/>
      <c r="X34" s="40"/>
      <c r="Y34" s="40"/>
    </row>
    <row r="35" spans="1:25" x14ac:dyDescent="0.25">
      <c r="B35" s="3"/>
      <c r="C35" s="2">
        <f>Tabla13162432212223352627282212223242526263707792[[#This Row],[COMISIONES]]*0.21</f>
        <v>0</v>
      </c>
      <c r="D35" s="3"/>
      <c r="E35" s="3"/>
      <c r="F35" s="3"/>
      <c r="G35" s="3"/>
      <c r="I35" s="11"/>
      <c r="J35" s="11">
        <f>Tabla3510182636414244454647484414243444546465727893[[#This Row],[COMISIONES]]*0.21</f>
        <v>0</v>
      </c>
      <c r="K35" s="11"/>
      <c r="L35" s="11"/>
      <c r="M35" s="11"/>
      <c r="O35" s="40"/>
      <c r="P35" s="40">
        <f>Tabla35681314223040818284858687888818283848586866737994[[#This Row],[COMISIONES]]*0.21</f>
        <v>0</v>
      </c>
      <c r="Q35" s="40"/>
      <c r="R35" s="40"/>
      <c r="S35" s="40"/>
      <c r="T35" s="46"/>
      <c r="U35" s="40"/>
      <c r="V35" s="40">
        <f>Tabla356111927344311213151617181911121314151617167758095[[#This Row],[COMISIONES]]*0.21</f>
        <v>0</v>
      </c>
      <c r="W35" s="40"/>
      <c r="X35" s="40"/>
      <c r="Y35" s="40"/>
    </row>
    <row r="36" spans="1:25" x14ac:dyDescent="0.25">
      <c r="B36" s="3"/>
      <c r="C36" s="2">
        <f>Tabla13162432212223352627282212223242526263707792[[#This Row],[COMISIONES]]*0.21</f>
        <v>0</v>
      </c>
      <c r="D36" s="3"/>
      <c r="E36" s="3"/>
      <c r="F36" s="3"/>
      <c r="G36" s="3"/>
      <c r="I36" s="11"/>
      <c r="J36" s="11">
        <f>Tabla3510182636414244454647484414243444546465727893[[#This Row],[COMISIONES]]*0.21</f>
        <v>0</v>
      </c>
      <c r="K36" s="11"/>
      <c r="L36" s="11"/>
      <c r="M36" s="11"/>
      <c r="O36" s="40"/>
      <c r="P36" s="40">
        <f>Tabla35681314223040818284858687888818283848586866737994[[#This Row],[COMISIONES]]*0.21</f>
        <v>0</v>
      </c>
      <c r="Q36" s="40"/>
      <c r="R36" s="40"/>
      <c r="S36" s="40"/>
      <c r="T36" s="46"/>
      <c r="U36" s="40"/>
      <c r="V36" s="40">
        <f>Tabla356111927344311213151617181911121314151617167758095[[#This Row],[COMISIONES]]*0.21</f>
        <v>0</v>
      </c>
      <c r="W36" s="40"/>
      <c r="X36" s="40"/>
      <c r="Y36" s="40"/>
    </row>
    <row r="37" spans="1:25" x14ac:dyDescent="0.25">
      <c r="B37" s="3"/>
      <c r="C37" s="2">
        <f>Tabla13162432212223352627282212223242526263707792[[#This Row],[COMISIONES]]*0.21</f>
        <v>0</v>
      </c>
      <c r="D37" s="3"/>
      <c r="E37" s="3"/>
      <c r="F37" s="3"/>
      <c r="G37" s="3"/>
      <c r="I37" s="11"/>
      <c r="J37" s="11">
        <f>Tabla3510182636414244454647484414243444546465727893[[#This Row],[COMISIONES]]*0.21</f>
        <v>0</v>
      </c>
      <c r="K37" s="11"/>
      <c r="L37" s="11"/>
      <c r="M37" s="11"/>
      <c r="O37" s="40"/>
      <c r="P37" s="40">
        <f>Tabla35681314223040818284858687888818283848586866737994[[#This Row],[COMISIONES]]*0.21</f>
        <v>0</v>
      </c>
      <c r="Q37" s="40"/>
      <c r="R37" s="40"/>
      <c r="S37" s="40"/>
      <c r="T37" s="46"/>
      <c r="U37" s="40"/>
      <c r="V37" s="40">
        <f>Tabla356111927344311213151617181911121314151617167758095[[#This Row],[COMISIONES]]*0.21</f>
        <v>0</v>
      </c>
      <c r="W37" s="40"/>
      <c r="X37" s="40"/>
      <c r="Y37" s="40"/>
    </row>
    <row r="38" spans="1:25" x14ac:dyDescent="0.25">
      <c r="B38" s="3"/>
      <c r="C38" s="2">
        <f>Tabla13162432212223352627282212223242526263707792[[#This Row],[COMISIONES]]*0.21</f>
        <v>0</v>
      </c>
      <c r="D38" s="3"/>
      <c r="E38" s="3"/>
      <c r="F38" s="3"/>
      <c r="G38" s="3"/>
      <c r="I38" s="11"/>
      <c r="J38" s="11">
        <f>Tabla3510182636414244454647484414243444546465727893[[#This Row],[COMISIONES]]*0.21</f>
        <v>0</v>
      </c>
      <c r="K38" s="11"/>
      <c r="L38" s="11"/>
      <c r="M38" s="11"/>
      <c r="O38" s="40"/>
      <c r="P38" s="40">
        <f>Tabla35681314223040818284858687888818283848586866737994[[#This Row],[COMISIONES]]*0.21</f>
        <v>0</v>
      </c>
      <c r="Q38" s="40"/>
      <c r="R38" s="40"/>
      <c r="S38" s="40"/>
      <c r="T38" s="46"/>
      <c r="U38" s="40"/>
      <c r="V38" s="40">
        <f>Tabla356111927344311213151617181911121314151617167758095[[#This Row],[COMISIONES]]*0.21</f>
        <v>0</v>
      </c>
      <c r="W38" s="40"/>
      <c r="X38" s="40"/>
      <c r="Y38" s="40"/>
    </row>
    <row r="39" spans="1:25" x14ac:dyDescent="0.25">
      <c r="B39" s="3"/>
      <c r="C39" s="2">
        <f>Tabla13162432212223352627282212223242526263707792[[#This Row],[COMISIONES]]*0.21</f>
        <v>0</v>
      </c>
      <c r="D39" s="3"/>
      <c r="E39" s="3"/>
      <c r="F39" s="3"/>
      <c r="G39" s="3"/>
      <c r="H39" s="8"/>
      <c r="I39" s="11"/>
      <c r="J39" s="11">
        <f>Tabla3510182636414244454647484414243444546465727893[[#This Row],[COMISIONES]]*0.21</f>
        <v>0</v>
      </c>
      <c r="K39" s="11"/>
      <c r="L39" s="11"/>
      <c r="M39" s="11"/>
      <c r="N39" s="8"/>
      <c r="O39" s="40"/>
      <c r="P39" s="40">
        <f>Tabla35681314223040818284858687888818283848586866737994[[#This Row],[COMISIONES]]*0.21</f>
        <v>0</v>
      </c>
      <c r="Q39" s="40"/>
      <c r="R39" s="40"/>
      <c r="S39" s="40"/>
      <c r="T39" s="46"/>
      <c r="U39" s="40"/>
      <c r="V39" s="40">
        <f>Tabla356111927344311213151617181911121314151617167758095[[#This Row],[COMISIONES]]*0.21</f>
        <v>0</v>
      </c>
      <c r="W39" s="40"/>
      <c r="X39" s="40"/>
      <c r="Y39" s="40"/>
    </row>
    <row r="40" spans="1:25" x14ac:dyDescent="0.25">
      <c r="B40" s="3"/>
      <c r="C40" s="2">
        <f>Tabla13162432212223352627282212223242526263707792[[#This Row],[COMISIONES]]*0.21</f>
        <v>0</v>
      </c>
      <c r="D40" s="3"/>
      <c r="E40" s="3"/>
      <c r="F40" s="3"/>
      <c r="G40" s="3"/>
      <c r="I40" s="11"/>
      <c r="J40" s="11">
        <f>Tabla3510182636414244454647484414243444546465727893[[#This Row],[COMISIONES]]*0.21</f>
        <v>0</v>
      </c>
      <c r="K40" s="11"/>
      <c r="L40" s="11"/>
      <c r="M40" s="11"/>
      <c r="O40" s="40"/>
      <c r="P40" s="40">
        <f>Tabla35681314223040818284858687888818283848586866737994[[#This Row],[COMISIONES]]*0.21</f>
        <v>0</v>
      </c>
      <c r="Q40" s="40"/>
      <c r="R40" s="40"/>
      <c r="S40" s="40"/>
      <c r="T40" s="46"/>
      <c r="U40" s="40"/>
      <c r="V40" s="40">
        <f>Tabla356111927344311213151617181911121314151617167758095[[#This Row],[COMISIONES]]*0.21</f>
        <v>0</v>
      </c>
      <c r="W40" s="40"/>
      <c r="X40" s="40"/>
      <c r="Y40" s="40"/>
    </row>
    <row r="41" spans="1:25" x14ac:dyDescent="0.25">
      <c r="B41" s="3"/>
      <c r="C41" s="2">
        <f>Tabla13162432212223352627282212223242526263707792[[#This Row],[COMISIONES]]*0.21</f>
        <v>0</v>
      </c>
      <c r="D41" s="3"/>
      <c r="E41" s="3"/>
      <c r="F41" s="3"/>
      <c r="G41" s="3"/>
      <c r="I41" s="11"/>
      <c r="J41" s="11">
        <f>Tabla3510182636414244454647484414243444546465727893[[#This Row],[COMISIONES]]*0.21</f>
        <v>0</v>
      </c>
      <c r="K41" s="11"/>
      <c r="L41" s="11"/>
      <c r="M41" s="11"/>
      <c r="O41" s="40"/>
      <c r="P41" s="40">
        <f>Tabla35681314223040818284858687888818283848586866737994[[#This Row],[COMISIONES]]*0.21</f>
        <v>0</v>
      </c>
      <c r="Q41" s="40"/>
      <c r="R41" s="40"/>
      <c r="S41" s="40"/>
      <c r="T41" s="46"/>
      <c r="U41" s="40"/>
      <c r="V41" s="40">
        <f>Tabla356111927344311213151617181911121314151617167758095[[#This Row],[COMISIONES]]*0.21</f>
        <v>0</v>
      </c>
      <c r="W41" s="40"/>
      <c r="X41" s="40"/>
      <c r="Y41" s="40"/>
    </row>
    <row r="42" spans="1:25" x14ac:dyDescent="0.25">
      <c r="B42" s="3"/>
      <c r="C42" s="2">
        <f>Tabla13162432212223352627282212223242526263707792[[#This Row],[COMISIONES]]*0.21</f>
        <v>0</v>
      </c>
      <c r="D42" s="3"/>
      <c r="E42" s="3"/>
      <c r="F42" s="3"/>
      <c r="G42" s="3"/>
      <c r="I42" s="11"/>
      <c r="J42" s="11">
        <f>Tabla3510182636414244454647484414243444546465727893[[#This Row],[COMISIONES]]*0.21</f>
        <v>0</v>
      </c>
      <c r="K42" s="11"/>
      <c r="L42" s="11"/>
      <c r="M42" s="11"/>
      <c r="O42" s="40"/>
      <c r="P42" s="40">
        <f>Tabla35681314223040818284858687888818283848586866737994[[#This Row],[COMISIONES]]*0.21</f>
        <v>0</v>
      </c>
      <c r="Q42" s="40"/>
      <c r="R42" s="40"/>
      <c r="S42" s="40"/>
      <c r="T42" s="46"/>
      <c r="U42" s="40"/>
      <c r="V42" s="40">
        <f>Tabla356111927344311213151617181911121314151617167758095[[#This Row],[COMISIONES]]*0.21</f>
        <v>0</v>
      </c>
      <c r="W42" s="40"/>
      <c r="X42" s="40"/>
      <c r="Y42" s="40"/>
    </row>
    <row r="43" spans="1:25" x14ac:dyDescent="0.25">
      <c r="B43" s="3"/>
      <c r="C43" s="2">
        <f>Tabla13162432212223352627282212223242526263707792[[#This Row],[COMISIONES]]*0.21</f>
        <v>0</v>
      </c>
      <c r="D43" s="3"/>
      <c r="E43" s="3"/>
      <c r="F43" s="3"/>
      <c r="G43" s="3"/>
      <c r="I43" s="11"/>
      <c r="J43" s="11">
        <f>Tabla3510182636414244454647484414243444546465727893[[#This Row],[COMISIONES]]*0.21</f>
        <v>0</v>
      </c>
      <c r="K43" s="11"/>
      <c r="L43" s="11"/>
      <c r="M43" s="11"/>
      <c r="O43" s="40"/>
      <c r="P43" s="40">
        <f>Tabla35681314223040818284858687888818283848586866737994[[#This Row],[COMISIONES]]*0.21</f>
        <v>0</v>
      </c>
      <c r="Q43" s="40"/>
      <c r="R43" s="40"/>
      <c r="S43" s="40"/>
      <c r="T43" s="46"/>
      <c r="U43" s="40"/>
      <c r="V43" s="40">
        <f>Tabla356111927344311213151617181911121314151617167758095[[#This Row],[COMISIONES]]*0.21</f>
        <v>0</v>
      </c>
      <c r="W43" s="40"/>
      <c r="X43" s="40"/>
      <c r="Y43" s="40"/>
    </row>
    <row r="44" spans="1:25" x14ac:dyDescent="0.25">
      <c r="B44" s="3"/>
      <c r="C44" s="2">
        <f>Tabla13162432212223352627282212223242526263707792[[#This Row],[COMISIONES]]*0.21</f>
        <v>0</v>
      </c>
      <c r="D44" s="3"/>
      <c r="E44" s="3"/>
      <c r="F44" s="3"/>
      <c r="G44" s="3"/>
      <c r="I44" s="11"/>
      <c r="J44" s="11">
        <f>Tabla3510182636414244454647484414243444546465727893[[#This Row],[COMISIONES]]*0.21</f>
        <v>0</v>
      </c>
      <c r="K44" s="11"/>
      <c r="L44" s="11"/>
      <c r="M44" s="11"/>
      <c r="O44" s="40"/>
      <c r="P44" s="40">
        <f>Tabla35681314223040818284858687888818283848586866737994[[#This Row],[COMISIONES]]*0.21</f>
        <v>0</v>
      </c>
      <c r="Q44" s="40"/>
      <c r="R44" s="40"/>
      <c r="S44" s="40"/>
      <c r="T44" s="46"/>
      <c r="U44" s="40"/>
      <c r="V44" s="40">
        <f>Tabla356111927344311213151617181911121314151617167758095[[#This Row],[COMISIONES]]*0.21</f>
        <v>0</v>
      </c>
      <c r="W44" s="40"/>
      <c r="X44" s="40"/>
      <c r="Y44" s="40"/>
    </row>
    <row r="45" spans="1:25" x14ac:dyDescent="0.25">
      <c r="B45" s="3"/>
      <c r="C45" s="2">
        <f>Tabla13162432212223352627282212223242526263707792[[#This Row],[COMISIONES]]*0.21</f>
        <v>0</v>
      </c>
      <c r="D45" s="3"/>
      <c r="E45" s="3"/>
      <c r="F45" s="3"/>
      <c r="G45" s="3"/>
      <c r="I45" s="11"/>
      <c r="J45" s="11">
        <f>Tabla3510182636414244454647484414243444546465727893[[#This Row],[COMISIONES]]*0.21</f>
        <v>0</v>
      </c>
      <c r="K45" s="11"/>
      <c r="L45" s="11"/>
      <c r="M45" s="11"/>
      <c r="O45" s="40"/>
      <c r="P45" s="40">
        <f>Tabla35681314223040818284858687888818283848586866737994[[#This Row],[COMISIONES]]*0.21</f>
        <v>0</v>
      </c>
      <c r="Q45" s="40"/>
      <c r="R45" s="40"/>
      <c r="S45" s="40"/>
      <c r="T45" s="46"/>
      <c r="U45" s="40"/>
      <c r="V45" s="40">
        <f>Tabla356111927344311213151617181911121314151617167758095[[#This Row],[COMISIONES]]*0.21</f>
        <v>0</v>
      </c>
      <c r="W45" s="40"/>
      <c r="X45" s="40"/>
      <c r="Y45" s="40"/>
    </row>
    <row r="46" spans="1:25" s="6" customFormat="1" x14ac:dyDescent="0.25">
      <c r="A46"/>
      <c r="B46" s="3"/>
      <c r="C46" s="2">
        <f>Tabla13162432212223352627282212223242526263707792[[#This Row],[COMISIONES]]*0.21</f>
        <v>0</v>
      </c>
      <c r="D46" s="3"/>
      <c r="E46" s="3"/>
      <c r="F46" s="3"/>
      <c r="G46" s="3"/>
      <c r="I46" s="11"/>
      <c r="J46" s="11">
        <f>Tabla3510182636414244454647484414243444546465727893[[#This Row],[COMISIONES]]*0.21</f>
        <v>0</v>
      </c>
      <c r="K46" s="11"/>
      <c r="L46" s="11"/>
      <c r="M46" s="11"/>
      <c r="O46" s="40"/>
      <c r="P46" s="40">
        <f>Tabla35681314223040818284858687888818283848586866737994[[#This Row],[COMISIONES]]*0.21</f>
        <v>0</v>
      </c>
      <c r="Q46" s="40"/>
      <c r="R46" s="40"/>
      <c r="S46" s="40"/>
      <c r="T46" s="46"/>
      <c r="U46" s="40"/>
      <c r="V46" s="40">
        <f>Tabla356111927344311213151617181911121314151617167758095[[#This Row],[COMISIONES]]*0.21</f>
        <v>0</v>
      </c>
      <c r="W46" s="40"/>
      <c r="X46" s="40"/>
      <c r="Y46" s="40"/>
    </row>
    <row r="47" spans="1:25" s="6" customFormat="1" x14ac:dyDescent="0.25">
      <c r="A47"/>
      <c r="B47" s="2"/>
      <c r="C47" s="2">
        <f>Tabla13162432212223352627282212223242526263707792[[#This Row],[COMISIONES]]*0.21</f>
        <v>0</v>
      </c>
      <c r="D47" s="2"/>
      <c r="E47" s="2"/>
      <c r="F47"/>
      <c r="G47"/>
      <c r="I47" s="11"/>
      <c r="J47" s="11">
        <f>Tabla3510182636414244454647484414243444546465727893[[#This Row],[COMISIONES]]*0.21</f>
        <v>0</v>
      </c>
      <c r="K47" s="11"/>
      <c r="L47" s="11"/>
      <c r="M47" s="11"/>
      <c r="O47" s="40"/>
      <c r="P47" s="40">
        <f>Tabla35681314223040818284858687888818283848586866737994[[#This Row],[COMISIONES]]*0.21</f>
        <v>0</v>
      </c>
      <c r="Q47" s="40"/>
      <c r="R47" s="40"/>
      <c r="S47" s="40"/>
      <c r="T47" s="46"/>
      <c r="U47" s="40"/>
      <c r="V47" s="40">
        <f>Tabla356111927344311213151617181911121314151617167758095[[#This Row],[COMISIONES]]*0.21</f>
        <v>0</v>
      </c>
      <c r="W47" s="40"/>
      <c r="X47" s="40"/>
      <c r="Y47" s="40"/>
    </row>
    <row r="48" spans="1:25" s="6" customFormat="1" x14ac:dyDescent="0.25">
      <c r="A48"/>
      <c r="B48" s="2"/>
      <c r="C48" s="2">
        <f>Tabla13162432212223352627282212223242526263707792[[#This Row],[COMISIONES]]*0.21</f>
        <v>0</v>
      </c>
      <c r="D48" s="2"/>
      <c r="E48" s="2"/>
      <c r="F48"/>
      <c r="G48"/>
      <c r="I48" s="11"/>
      <c r="J48" s="11">
        <f>Tabla3510182636414244454647484414243444546465727893[[#This Row],[COMISIONES]]*0.21</f>
        <v>0</v>
      </c>
      <c r="K48" s="11"/>
      <c r="L48" s="11"/>
      <c r="M48" s="11"/>
      <c r="O48" s="40"/>
      <c r="P48" s="40">
        <f>Tabla35681314223040818284858687888818283848586866737994[[#This Row],[COMISIONES]]*0.21</f>
        <v>0</v>
      </c>
      <c r="Q48" s="40"/>
      <c r="R48" s="40"/>
      <c r="S48" s="40"/>
      <c r="T48" s="46"/>
      <c r="U48" s="40"/>
      <c r="V48" s="40">
        <f>Tabla356111927344311213151617181911121314151617167758095[[#This Row],[COMISIONES]]*0.21</f>
        <v>0</v>
      </c>
      <c r="W48" s="40"/>
      <c r="X48" s="40"/>
      <c r="Y48" s="40"/>
    </row>
    <row r="49" spans="1:25" s="6" customFormat="1" x14ac:dyDescent="0.25">
      <c r="A49"/>
      <c r="B49" s="2"/>
      <c r="C49" s="2">
        <f>Tabla13162432212223352627282212223242526263707792[[#This Row],[COMISIONES]]*0.21</f>
        <v>0</v>
      </c>
      <c r="D49" s="2"/>
      <c r="E49" s="2"/>
      <c r="F49"/>
      <c r="G49"/>
      <c r="I49" s="11"/>
      <c r="J49" s="11">
        <f>Tabla3510182636414244454647484414243444546465727893[[#This Row],[COMISIONES]]*0.21</f>
        <v>0</v>
      </c>
      <c r="K49" s="11"/>
      <c r="L49" s="11"/>
      <c r="M49" s="11"/>
      <c r="O49" s="40"/>
      <c r="P49" s="40">
        <f>Tabla35681314223040818284858687888818283848586866737994[[#This Row],[COMISIONES]]*0.21</f>
        <v>0</v>
      </c>
      <c r="Q49" s="40"/>
      <c r="R49" s="40"/>
      <c r="S49" s="40"/>
      <c r="T49" s="46"/>
      <c r="U49" s="40"/>
      <c r="V49" s="40">
        <f>Tabla356111927344311213151617181911121314151617167758095[[#This Row],[COMISIONES]]*0.21</f>
        <v>0</v>
      </c>
      <c r="W49" s="40"/>
      <c r="X49" s="40"/>
      <c r="Y49" s="40"/>
    </row>
    <row r="50" spans="1:25" s="6" customFormat="1" x14ac:dyDescent="0.25">
      <c r="A50"/>
      <c r="B50" s="2"/>
      <c r="C50" s="2">
        <f>Tabla13162432212223352627282212223242526263707792[[#This Row],[COMISIONES]]*0.21</f>
        <v>0</v>
      </c>
      <c r="D50" s="2"/>
      <c r="E50" s="2"/>
      <c r="F50"/>
      <c r="G50"/>
      <c r="I50" s="11"/>
      <c r="J50" s="11">
        <f>Tabla3510182636414244454647484414243444546465727893[[#This Row],[COMISIONES]]*0.21</f>
        <v>0</v>
      </c>
      <c r="K50" s="11"/>
      <c r="L50" s="11"/>
      <c r="M50" s="11"/>
      <c r="O50" s="40"/>
      <c r="P50" s="40">
        <f>Tabla35681314223040818284858687888818283848586866737994[[#This Row],[COMISIONES]]*0.21</f>
        <v>0</v>
      </c>
      <c r="Q50" s="40"/>
      <c r="R50" s="40"/>
      <c r="S50" s="40"/>
      <c r="T50" s="46"/>
      <c r="U50" s="40"/>
      <c r="V50" s="40">
        <f>Tabla356111927344311213151617181911121314151617167758095[[#This Row],[COMISIONES]]*0.21</f>
        <v>0</v>
      </c>
      <c r="W50" s="40"/>
      <c r="X50" s="40"/>
      <c r="Y50" s="40"/>
    </row>
    <row r="51" spans="1:25" s="6" customFormat="1" x14ac:dyDescent="0.25">
      <c r="A51"/>
      <c r="B51" s="2"/>
      <c r="C51" s="2">
        <f>Tabla13162432212223352627282212223242526263707792[[#This Row],[COMISIONES]]*0.21</f>
        <v>0</v>
      </c>
      <c r="D51" s="2"/>
      <c r="E51" s="2"/>
      <c r="F51"/>
      <c r="G51"/>
      <c r="I51" s="11"/>
      <c r="J51" s="11">
        <f>Tabla3510182636414244454647484414243444546465727893[[#This Row],[COMISIONES]]*0.21</f>
        <v>0</v>
      </c>
      <c r="K51" s="11"/>
      <c r="L51" s="11"/>
      <c r="M51" s="11"/>
      <c r="O51" s="40"/>
      <c r="P51" s="40">
        <f>Tabla35681314223040818284858687888818283848586866737994[[#This Row],[COMISIONES]]*0.21</f>
        <v>0</v>
      </c>
      <c r="Q51" s="40"/>
      <c r="R51" s="40"/>
      <c r="S51" s="40"/>
      <c r="T51" s="48"/>
      <c r="U51" s="4">
        <f>SUBTOTAL(109,Tabla356111927344311213151617181911121314151617167758095[COMISIONES])</f>
        <v>7128.1</v>
      </c>
      <c r="V51" s="4">
        <f>SUBTOTAL(109,Tabla356111927344311213151617181911121314151617167758095[IVA 21])</f>
        <v>1496.9010000000001</v>
      </c>
      <c r="W51" s="4">
        <f>SUBTOTAL(109,Tabla356111927344311213151617181911121314151617167758095[IVA 10,5])</f>
        <v>0</v>
      </c>
      <c r="X51" s="4">
        <f>SUBTOTAL(109,Tabla356111927344311213151617181911121314151617167758095[Ret IIBB Caba])</f>
        <v>1263.2199999999998</v>
      </c>
      <c r="Y51" s="4">
        <f>SUBTOTAL(109,Tabla356111927344311213151617181911121314151617167758095[PERC IVA])</f>
        <v>213.84</v>
      </c>
    </row>
    <row r="52" spans="1:25" s="6" customFormat="1" x14ac:dyDescent="0.25">
      <c r="A52"/>
      <c r="B52" s="2"/>
      <c r="C52" s="2">
        <f>Tabla13162432212223352627282212223242526263707792[[#This Row],[COMISIONES]]*0.21</f>
        <v>0</v>
      </c>
      <c r="D52" s="2"/>
      <c r="E52" s="2"/>
      <c r="F52"/>
      <c r="G52"/>
      <c r="I52" s="11"/>
      <c r="J52" s="11">
        <f>Tabla3510182636414244454647484414243444546465727893[[#This Row],[COMISIONES]]*0.21</f>
        <v>0</v>
      </c>
      <c r="K52" s="11"/>
      <c r="L52" s="11"/>
      <c r="M52" s="11"/>
      <c r="O52" s="40"/>
      <c r="P52" s="40">
        <f>Tabla35681314223040818284858687888818283848586866737994[[#This Row],[COMISIONES]]*0.21</f>
        <v>0</v>
      </c>
      <c r="Q52" s="40"/>
      <c r="R52" s="40"/>
      <c r="S52" s="40"/>
      <c r="T52" s="48"/>
      <c r="U52"/>
      <c r="V52"/>
      <c r="W52"/>
      <c r="X52"/>
      <c r="Y52"/>
    </row>
    <row r="53" spans="1:25" s="6" customFormat="1" x14ac:dyDescent="0.25">
      <c r="A53"/>
      <c r="B53" s="2"/>
      <c r="C53" s="2">
        <f>Tabla13162432212223352627282212223242526263707792[[#This Row],[COMISIONES]]*0.21</f>
        <v>0</v>
      </c>
      <c r="D53" s="2"/>
      <c r="E53" s="2"/>
      <c r="F53"/>
      <c r="G53"/>
      <c r="I53" s="11"/>
      <c r="J53" s="11">
        <f>Tabla3510182636414244454647484414243444546465727893[[#This Row],[COMISIONES]]*0.21</f>
        <v>0</v>
      </c>
      <c r="K53" s="11"/>
      <c r="L53" s="11"/>
      <c r="M53" s="11"/>
      <c r="O53" s="40"/>
      <c r="P53" s="40">
        <f>Tabla35681314223040818284858687888818283848586866737994[[#This Row],[COMISIONES]]*0.21</f>
        <v>0</v>
      </c>
      <c r="Q53" s="40"/>
      <c r="R53" s="40"/>
      <c r="S53" s="40"/>
      <c r="T53" s="48"/>
      <c r="U53"/>
      <c r="V53"/>
      <c r="W53"/>
      <c r="X53"/>
      <c r="Y53"/>
    </row>
    <row r="54" spans="1:25" s="6" customFormat="1" x14ac:dyDescent="0.25">
      <c r="A54"/>
      <c r="B54" s="2"/>
      <c r="C54" s="2">
        <f>Tabla13162432212223352627282212223242526263707792[[#This Row],[COMISIONES]]*0.21</f>
        <v>0</v>
      </c>
      <c r="D54" s="1"/>
      <c r="E54" s="2"/>
      <c r="F54"/>
      <c r="G54"/>
      <c r="I54" s="11"/>
      <c r="J54" s="11">
        <f>Tabla3510182636414244454647484414243444546465727893[[#This Row],[COMISIONES]]*0.21</f>
        <v>0</v>
      </c>
      <c r="K54" s="11"/>
      <c r="L54" s="11"/>
      <c r="M54" s="11"/>
      <c r="O54" s="40"/>
      <c r="P54" s="40">
        <f>Tabla35681314223040818284858687888818283848586866737994[[#This Row],[COMISIONES]]*0.21</f>
        <v>0</v>
      </c>
      <c r="Q54" s="40"/>
      <c r="R54" s="40"/>
      <c r="S54" s="40"/>
      <c r="T54" s="48"/>
      <c r="U54"/>
      <c r="V54"/>
      <c r="W54"/>
      <c r="X54"/>
      <c r="Y54"/>
    </row>
    <row r="55" spans="1:25" s="6" customFormat="1" x14ac:dyDescent="0.25">
      <c r="A55"/>
      <c r="B55" s="2"/>
      <c r="C55" s="2">
        <f>Tabla13162432212223352627282212223242526263707792[[#This Row],[COMISIONES]]*0.21</f>
        <v>0</v>
      </c>
      <c r="D55" s="2"/>
      <c r="E55" s="2"/>
      <c r="F55"/>
      <c r="G55"/>
      <c r="I55" s="11"/>
      <c r="J55" s="11">
        <f>Tabla3510182636414244454647484414243444546465727893[[#This Row],[COMISIONES]]*0.21</f>
        <v>0</v>
      </c>
      <c r="K55" s="11"/>
      <c r="L55" s="11"/>
      <c r="M55" s="11"/>
      <c r="O55" s="40"/>
      <c r="P55" s="40">
        <f>Tabla35681314223040818284858687888818283848586866737994[[#This Row],[COMISIONES]]*0.21</f>
        <v>0</v>
      </c>
      <c r="Q55" s="40"/>
      <c r="R55" s="40"/>
      <c r="S55" s="40"/>
      <c r="T55" s="48"/>
      <c r="U55"/>
      <c r="V55"/>
      <c r="W55"/>
      <c r="X55"/>
      <c r="Y55"/>
    </row>
    <row r="56" spans="1:25" s="6" customFormat="1" x14ac:dyDescent="0.25">
      <c r="A56"/>
      <c r="B56" s="2"/>
      <c r="C56" s="2">
        <f>Tabla13162432212223352627282212223242526263707792[[#This Row],[COMISIONES]]*0.21</f>
        <v>0</v>
      </c>
      <c r="D56" s="2"/>
      <c r="E56" s="2"/>
      <c r="F56"/>
      <c r="G56"/>
      <c r="I56" s="11"/>
      <c r="J56" s="11">
        <f>Tabla3510182636414244454647484414243444546465727893[[#This Row],[COMISIONES]]*0.21</f>
        <v>0</v>
      </c>
      <c r="K56" s="11"/>
      <c r="L56" s="11"/>
      <c r="M56" s="11"/>
      <c r="O56" s="40"/>
      <c r="P56" s="40">
        <f>Tabla35681314223040818284858687888818283848586866737994[[#This Row],[COMISIONES]]*0.21</f>
        <v>0</v>
      </c>
      <c r="Q56" s="40"/>
      <c r="R56" s="40"/>
      <c r="S56" s="40"/>
      <c r="T56" s="48"/>
      <c r="U56"/>
      <c r="V56"/>
      <c r="W56"/>
      <c r="X56"/>
      <c r="Y56"/>
    </row>
    <row r="57" spans="1:25" s="6" customFormat="1" x14ac:dyDescent="0.25">
      <c r="A57"/>
      <c r="B57" s="4">
        <f>SUBTOTAL(109,Tabla13162432212223352627282212223242526263707792[COMISIONES])</f>
        <v>157195.29</v>
      </c>
      <c r="C57" s="4">
        <f>SUBTOTAL(109,Tabla13162432212223352627282212223242526263707792[IVA 21])</f>
        <v>30865.8</v>
      </c>
      <c r="D57" s="4">
        <f>SUBTOTAL(109,Tabla13162432212223352627282212223242526263707792[IVA 10,5])</f>
        <v>1072.60545</v>
      </c>
      <c r="E57" s="4">
        <f>SUBTOTAL(109,Tabla13162432212223352627282212223242526263707792[Ret IIBB Caba])</f>
        <v>3700.95</v>
      </c>
      <c r="F57" s="4">
        <f>SUBTOTAL(109,Tabla13162432212223352627282212223242526263707792[PERC IVA])</f>
        <v>4418.3200000000006</v>
      </c>
      <c r="G57" s="4"/>
      <c r="I57" s="11"/>
      <c r="J57" s="11">
        <f>Tabla3510182636414244454647484414243444546465727893[[#This Row],[COMISIONES]]*0.21</f>
        <v>0</v>
      </c>
      <c r="K57" s="11"/>
      <c r="L57" s="11"/>
      <c r="M57" s="11"/>
      <c r="O57" s="40"/>
      <c r="P57" s="40">
        <f>Tabla35681314223040818284858687888818283848586866737994[[#This Row],[COMISIONES]]*0.21</f>
        <v>0</v>
      </c>
      <c r="Q57" s="40"/>
      <c r="R57" s="40"/>
      <c r="S57" s="40"/>
      <c r="T57" s="48"/>
      <c r="U57"/>
      <c r="V57"/>
      <c r="W57"/>
      <c r="X57"/>
      <c r="Y57"/>
    </row>
    <row r="58" spans="1:25" s="6" customFormat="1" x14ac:dyDescent="0.25">
      <c r="A58"/>
      <c r="B58"/>
      <c r="C58"/>
      <c r="D58"/>
      <c r="E58"/>
      <c r="F58"/>
      <c r="G58"/>
      <c r="I58" s="11"/>
      <c r="J58" s="11">
        <f>Tabla3510182636414244454647484414243444546465727893[[#This Row],[COMISIONES]]*0.21</f>
        <v>0</v>
      </c>
      <c r="K58" s="11"/>
      <c r="L58" s="11"/>
      <c r="M58" s="11"/>
      <c r="O58" s="40"/>
      <c r="P58" s="40">
        <f>Tabla35681314223040818284858687888818283848586866737994[[#This Row],[COMISIONES]]*0.21</f>
        <v>0</v>
      </c>
      <c r="Q58" s="40"/>
      <c r="R58" s="40"/>
      <c r="S58" s="40"/>
      <c r="T58" s="48"/>
      <c r="U58"/>
      <c r="V58"/>
      <c r="W58"/>
      <c r="X58"/>
      <c r="Y58"/>
    </row>
    <row r="59" spans="1:25" s="6" customFormat="1" x14ac:dyDescent="0.25">
      <c r="A59"/>
      <c r="B59"/>
      <c r="C59"/>
      <c r="D59"/>
      <c r="E59"/>
      <c r="F59"/>
      <c r="G59"/>
      <c r="I59" s="11"/>
      <c r="J59" s="11">
        <f>Tabla3510182636414244454647484414243444546465727893[[#This Row],[COMISIONES]]*0.21</f>
        <v>0</v>
      </c>
      <c r="K59" s="11"/>
      <c r="L59" s="11"/>
      <c r="M59" s="11"/>
      <c r="O59" s="40"/>
      <c r="P59" s="40">
        <f>Tabla35681314223040818284858687888818283848586866737994[[#This Row],[COMISIONES]]*0.21</f>
        <v>0</v>
      </c>
      <c r="Q59" s="40"/>
      <c r="R59" s="40"/>
      <c r="S59" s="40"/>
      <c r="T59" s="48"/>
      <c r="U59"/>
      <c r="V59"/>
      <c r="W59"/>
      <c r="X59"/>
      <c r="Y59"/>
    </row>
    <row r="60" spans="1:25" s="6" customFormat="1" x14ac:dyDescent="0.25">
      <c r="A60"/>
      <c r="B60"/>
      <c r="C60"/>
      <c r="D60"/>
      <c r="E60"/>
      <c r="F60"/>
      <c r="G60"/>
      <c r="I60" s="11"/>
      <c r="J60" s="11">
        <f>Tabla3510182636414244454647484414243444546465727893[[#This Row],[COMISIONES]]*0.21</f>
        <v>0</v>
      </c>
      <c r="K60" s="11"/>
      <c r="L60" s="11"/>
      <c r="M60" s="11"/>
      <c r="O60" s="40"/>
      <c r="P60" s="40">
        <f>Tabla35681314223040818284858687888818283848586866737994[[#This Row],[COMISIONES]]*0.21</f>
        <v>0</v>
      </c>
      <c r="Q60" s="40"/>
      <c r="R60" s="40"/>
      <c r="S60" s="40"/>
      <c r="T60" s="48"/>
      <c r="U60"/>
      <c r="V60"/>
      <c r="W60"/>
      <c r="X60"/>
      <c r="Y60"/>
    </row>
    <row r="61" spans="1:25" s="6" customFormat="1" x14ac:dyDescent="0.25">
      <c r="A61"/>
      <c r="B61"/>
      <c r="C61"/>
      <c r="D61"/>
      <c r="E61"/>
      <c r="F61"/>
      <c r="G61"/>
      <c r="I61" s="11"/>
      <c r="J61" s="11">
        <f>Tabla3510182636414244454647484414243444546465727893[[#This Row],[COMISIONES]]*0.21</f>
        <v>0</v>
      </c>
      <c r="K61" s="11"/>
      <c r="L61" s="11"/>
      <c r="M61" s="11"/>
      <c r="O61" s="40"/>
      <c r="P61" s="40">
        <f>Tabla35681314223040818284858687888818283848586866737994[[#This Row],[COMISIONES]]*0.21</f>
        <v>0</v>
      </c>
      <c r="Q61" s="40"/>
      <c r="R61" s="40"/>
      <c r="S61" s="40"/>
      <c r="T61" s="48"/>
      <c r="U61"/>
      <c r="V61"/>
      <c r="W61"/>
      <c r="X61"/>
      <c r="Y61"/>
    </row>
    <row r="62" spans="1:25" s="6" customFormat="1" x14ac:dyDescent="0.25">
      <c r="A62"/>
      <c r="B62"/>
      <c r="C62"/>
      <c r="D62"/>
      <c r="E62"/>
      <c r="F62"/>
      <c r="G62"/>
      <c r="I62" s="11"/>
      <c r="J62" s="11">
        <f>Tabla3510182636414244454647484414243444546465727893[[#This Row],[COMISIONES]]*0.21</f>
        <v>0</v>
      </c>
      <c r="K62" s="11"/>
      <c r="L62" s="11"/>
      <c r="M62" s="11"/>
      <c r="O62" s="40"/>
      <c r="P62" s="40">
        <f>Tabla35681314223040818284858687888818283848586866737994[[#This Row],[COMISIONES]]*0.21</f>
        <v>0</v>
      </c>
      <c r="Q62" s="40"/>
      <c r="R62" s="40"/>
      <c r="S62" s="40"/>
      <c r="T62" s="48"/>
      <c r="U62"/>
      <c r="V62"/>
      <c r="W62"/>
      <c r="X62"/>
      <c r="Y62"/>
    </row>
    <row r="63" spans="1:25" s="6" customFormat="1" x14ac:dyDescent="0.25">
      <c r="A63"/>
      <c r="B63"/>
      <c r="C63"/>
      <c r="D63"/>
      <c r="E63"/>
      <c r="F63"/>
      <c r="G63"/>
      <c r="I63" s="18"/>
      <c r="J63" s="11">
        <f>Tabla3510182636414244454647484414243444546465727893[[#This Row],[COMISIONES]]*0.21</f>
        <v>0</v>
      </c>
      <c r="K63" s="18"/>
      <c r="L63" s="18"/>
      <c r="M63" s="18"/>
      <c r="O63" s="40"/>
      <c r="P63" s="40">
        <f>Tabla35681314223040818284858687888818283848586866737994[[#This Row],[COMISIONES]]*0.21</f>
        <v>0</v>
      </c>
      <c r="Q63" s="40"/>
      <c r="R63" s="40"/>
      <c r="S63" s="40"/>
      <c r="T63" s="48"/>
      <c r="U63"/>
      <c r="V63"/>
      <c r="W63"/>
      <c r="X63"/>
      <c r="Y63"/>
    </row>
    <row r="64" spans="1:25" s="6" customFormat="1" x14ac:dyDescent="0.25">
      <c r="A64"/>
      <c r="B64"/>
      <c r="C64"/>
      <c r="D64"/>
      <c r="E64"/>
      <c r="F64"/>
      <c r="G64"/>
      <c r="I64" s="18"/>
      <c r="J64" s="11">
        <f>Tabla3510182636414244454647484414243444546465727893[[#This Row],[COMISIONES]]*0.21</f>
        <v>0</v>
      </c>
      <c r="K64" s="18"/>
      <c r="L64" s="18"/>
      <c r="M64" s="18"/>
      <c r="O64" s="40"/>
      <c r="P64" s="40">
        <f>Tabla35681314223040818284858687888818283848586866737994[[#This Row],[COMISIONES]]*0.21</f>
        <v>0</v>
      </c>
      <c r="Q64" s="40"/>
      <c r="R64" s="40"/>
      <c r="S64" s="40"/>
      <c r="T64" s="49"/>
      <c r="U64"/>
      <c r="V64"/>
      <c r="W64"/>
      <c r="X64"/>
      <c r="Y64"/>
    </row>
    <row r="65" spans="1:25" s="6" customFormat="1" x14ac:dyDescent="0.25">
      <c r="A65"/>
      <c r="B65"/>
      <c r="C65"/>
      <c r="D65"/>
      <c r="E65"/>
      <c r="F65"/>
      <c r="G65"/>
      <c r="I65" s="18"/>
      <c r="J65" s="11">
        <f>Tabla3510182636414244454647484414243444546465727893[[#This Row],[COMISIONES]]*0.21</f>
        <v>0</v>
      </c>
      <c r="K65" s="18"/>
      <c r="L65" s="18"/>
      <c r="M65" s="18"/>
      <c r="O65" s="40"/>
      <c r="P65" s="40">
        <f>Tabla35681314223040818284858687888818283848586866737994[[#This Row],[COMISIONES]]*0.21</f>
        <v>0</v>
      </c>
      <c r="Q65" s="40"/>
      <c r="R65" s="40"/>
      <c r="S65" s="40"/>
      <c r="U65"/>
      <c r="V65"/>
      <c r="W65"/>
      <c r="X65"/>
      <c r="Y65"/>
    </row>
    <row r="66" spans="1:25" s="6" customFormat="1" x14ac:dyDescent="0.25">
      <c r="A66"/>
      <c r="B66"/>
      <c r="C66"/>
      <c r="D66"/>
      <c r="E66"/>
      <c r="F66"/>
      <c r="G66"/>
      <c r="I66" s="18"/>
      <c r="J66" s="11">
        <f>Tabla3510182636414244454647484414243444546465727893[[#This Row],[COMISIONES]]*0.21</f>
        <v>0</v>
      </c>
      <c r="K66" s="18"/>
      <c r="L66" s="18"/>
      <c r="M66" s="18"/>
      <c r="O66" s="40"/>
      <c r="P66" s="40">
        <f>Tabla35681314223040818284858687888818283848586866737994[[#This Row],[COMISIONES]]*0.21</f>
        <v>0</v>
      </c>
      <c r="Q66" s="40"/>
      <c r="R66" s="40"/>
      <c r="S66" s="40"/>
      <c r="U66"/>
      <c r="V66"/>
      <c r="W66"/>
      <c r="X66"/>
      <c r="Y66"/>
    </row>
    <row r="67" spans="1:25" s="6" customFormat="1" x14ac:dyDescent="0.25">
      <c r="A67"/>
      <c r="B67"/>
      <c r="C67"/>
      <c r="D67"/>
      <c r="E67"/>
      <c r="F67"/>
      <c r="G67"/>
      <c r="I67" s="18"/>
      <c r="J67" s="11">
        <f>Tabla3510182636414244454647484414243444546465727893[[#This Row],[COMISIONES]]*0.21</f>
        <v>0</v>
      </c>
      <c r="K67" s="18"/>
      <c r="L67" s="18"/>
      <c r="M67" s="18"/>
      <c r="O67" s="40"/>
      <c r="P67" s="40">
        <f>Tabla35681314223040818284858687888818283848586866737994[[#This Row],[COMISIONES]]*0.21</f>
        <v>0</v>
      </c>
      <c r="Q67" s="40"/>
      <c r="R67" s="40"/>
      <c r="S67" s="40"/>
      <c r="U67"/>
      <c r="V67"/>
      <c r="W67"/>
      <c r="X67"/>
      <c r="Y67"/>
    </row>
    <row r="68" spans="1:25" s="6" customFormat="1" x14ac:dyDescent="0.25">
      <c r="A68"/>
      <c r="B68"/>
      <c r="C68"/>
      <c r="D68"/>
      <c r="E68"/>
      <c r="F68"/>
      <c r="G68"/>
      <c r="I68" s="18"/>
      <c r="J68" s="11">
        <f>Tabla3510182636414244454647484414243444546465727893[[#This Row],[COMISIONES]]*0.21</f>
        <v>0</v>
      </c>
      <c r="K68" s="18"/>
      <c r="L68" s="18"/>
      <c r="M68" s="18"/>
      <c r="O68" s="40"/>
      <c r="P68" s="40">
        <f>Tabla35681314223040818284858687888818283848586866737994[[#This Row],[COMISIONES]]*0.21</f>
        <v>0</v>
      </c>
      <c r="Q68" s="40"/>
      <c r="R68" s="40"/>
      <c r="S68" s="40"/>
      <c r="U68"/>
      <c r="V68"/>
      <c r="W68"/>
      <c r="X68"/>
      <c r="Y68"/>
    </row>
    <row r="69" spans="1:25" s="6" customFormat="1" x14ac:dyDescent="0.25">
      <c r="A69"/>
      <c r="B69"/>
      <c r="C69"/>
      <c r="D69"/>
      <c r="E69"/>
      <c r="F69"/>
      <c r="G69"/>
      <c r="I69" s="18"/>
      <c r="J69" s="11">
        <f>Tabla3510182636414244454647484414243444546465727893[[#This Row],[COMISIONES]]*0.21</f>
        <v>0</v>
      </c>
      <c r="K69" s="18"/>
      <c r="L69" s="18"/>
      <c r="M69" s="18"/>
      <c r="O69" s="40"/>
      <c r="P69" s="40">
        <f>Tabla35681314223040818284858687888818283848586866737994[[#This Row],[COMISIONES]]*0.21</f>
        <v>0</v>
      </c>
      <c r="Q69" s="40"/>
      <c r="R69" s="40"/>
      <c r="S69" s="40"/>
      <c r="U69"/>
      <c r="V69"/>
      <c r="W69"/>
      <c r="X69"/>
      <c r="Y69"/>
    </row>
    <row r="70" spans="1:25" s="6" customFormat="1" x14ac:dyDescent="0.25">
      <c r="A70"/>
      <c r="B70"/>
      <c r="C70"/>
      <c r="D70"/>
      <c r="E70"/>
      <c r="F70"/>
      <c r="G70"/>
      <c r="I70" s="18"/>
      <c r="J70" s="11">
        <f>Tabla3510182636414244454647484414243444546465727893[[#This Row],[COMISIONES]]*0.21</f>
        <v>0</v>
      </c>
      <c r="K70" s="18"/>
      <c r="L70" s="18"/>
      <c r="M70" s="18"/>
      <c r="O70" s="40"/>
      <c r="P70" s="40">
        <f>Tabla35681314223040818284858687888818283848586866737994[[#This Row],[COMISIONES]]*0.21</f>
        <v>0</v>
      </c>
      <c r="Q70" s="40"/>
      <c r="R70" s="40"/>
      <c r="S70" s="40"/>
      <c r="U70"/>
      <c r="V70"/>
      <c r="W70"/>
      <c r="X70"/>
      <c r="Y70"/>
    </row>
    <row r="71" spans="1:25" s="6" customFormat="1" x14ac:dyDescent="0.25">
      <c r="A71"/>
      <c r="B71"/>
      <c r="C71"/>
      <c r="D71"/>
      <c r="E71"/>
      <c r="F71"/>
      <c r="G71"/>
      <c r="I71" s="18"/>
      <c r="J71" s="11">
        <f>Tabla3510182636414244454647484414243444546465727893[[#This Row],[COMISIONES]]*0.21</f>
        <v>0</v>
      </c>
      <c r="K71" s="18"/>
      <c r="L71" s="18"/>
      <c r="M71" s="18"/>
      <c r="O71" s="40"/>
      <c r="P71" s="40">
        <f>Tabla35681314223040818284858687888818283848586866737994[[#This Row],[COMISIONES]]*0.21</f>
        <v>0</v>
      </c>
      <c r="Q71" s="40"/>
      <c r="R71" s="40"/>
      <c r="S71" s="40"/>
      <c r="U71"/>
      <c r="V71"/>
      <c r="W71"/>
      <c r="X71"/>
      <c r="Y71"/>
    </row>
    <row r="72" spans="1:25" s="6" customFormat="1" x14ac:dyDescent="0.25">
      <c r="A72"/>
      <c r="B72"/>
      <c r="C72"/>
      <c r="D72"/>
      <c r="E72"/>
      <c r="F72"/>
      <c r="G72"/>
      <c r="I72" s="18"/>
      <c r="J72" s="11">
        <f>Tabla3510182636414244454647484414243444546465727893[[#This Row],[COMISIONES]]*0.21</f>
        <v>0</v>
      </c>
      <c r="K72" s="18"/>
      <c r="L72" s="18"/>
      <c r="M72" s="18"/>
      <c r="O72" s="40"/>
      <c r="P72" s="40">
        <f>Tabla35681314223040818284858687888818283848586866737994[[#This Row],[COMISIONES]]*0.21</f>
        <v>0</v>
      </c>
      <c r="Q72" s="40"/>
      <c r="R72" s="40"/>
      <c r="S72" s="40"/>
      <c r="U72"/>
      <c r="V72"/>
      <c r="W72"/>
      <c r="X72"/>
      <c r="Y72"/>
    </row>
    <row r="73" spans="1:25" s="6" customFormat="1" x14ac:dyDescent="0.25">
      <c r="A73"/>
      <c r="B73"/>
      <c r="C73"/>
      <c r="D73"/>
      <c r="E73"/>
      <c r="F73"/>
      <c r="G73"/>
      <c r="I73" s="18"/>
      <c r="J73" s="11">
        <f>Tabla3510182636414244454647484414243444546465727893[[#This Row],[COMISIONES]]*0.21</f>
        <v>0</v>
      </c>
      <c r="K73" s="18"/>
      <c r="L73" s="18"/>
      <c r="M73" s="18"/>
      <c r="O73" s="40"/>
      <c r="P73" s="40">
        <f>Tabla35681314223040818284858687888818283848586866737994[[#This Row],[COMISIONES]]*0.21</f>
        <v>0</v>
      </c>
      <c r="Q73" s="40"/>
      <c r="R73" s="40"/>
      <c r="S73" s="40"/>
      <c r="U73"/>
      <c r="V73"/>
      <c r="W73"/>
      <c r="X73"/>
      <c r="Y73"/>
    </row>
    <row r="74" spans="1:25" s="6" customFormat="1" x14ac:dyDescent="0.25">
      <c r="A74"/>
      <c r="B74"/>
      <c r="C74"/>
      <c r="D74"/>
      <c r="E74"/>
      <c r="F74"/>
      <c r="G74"/>
      <c r="I74" s="18"/>
      <c r="J74" s="11">
        <f>Tabla3510182636414244454647484414243444546465727893[[#This Row],[COMISIONES]]*0.21</f>
        <v>0</v>
      </c>
      <c r="K74" s="18"/>
      <c r="L74" s="18"/>
      <c r="M74" s="18"/>
      <c r="O74" s="40"/>
      <c r="P74" s="40">
        <f>Tabla35681314223040818284858687888818283848586866737994[[#This Row],[COMISIONES]]*0.21</f>
        <v>0</v>
      </c>
      <c r="Q74" s="40"/>
      <c r="R74" s="40"/>
      <c r="S74" s="40"/>
      <c r="U74"/>
      <c r="V74"/>
      <c r="W74"/>
      <c r="X74"/>
      <c r="Y74"/>
    </row>
    <row r="75" spans="1:25" s="6" customFormat="1" x14ac:dyDescent="0.25">
      <c r="A75"/>
      <c r="B75"/>
      <c r="C75"/>
      <c r="D75"/>
      <c r="E75"/>
      <c r="F75"/>
      <c r="G75"/>
      <c r="I75" s="18"/>
      <c r="J75" s="11">
        <f>Tabla3510182636414244454647484414243444546465727893[[#This Row],[COMISIONES]]*0.21</f>
        <v>0</v>
      </c>
      <c r="K75" s="18"/>
      <c r="L75" s="18"/>
      <c r="M75" s="18"/>
      <c r="O75" s="40"/>
      <c r="P75" s="40">
        <f>Tabla35681314223040818284858687888818283848586866737994[[#This Row],[COMISIONES]]*0.21</f>
        <v>0</v>
      </c>
      <c r="Q75" s="40"/>
      <c r="R75" s="40"/>
      <c r="S75" s="40"/>
      <c r="U75"/>
      <c r="V75"/>
      <c r="W75"/>
      <c r="X75"/>
      <c r="Y75"/>
    </row>
    <row r="76" spans="1:25" s="6" customFormat="1" x14ac:dyDescent="0.25">
      <c r="A76"/>
      <c r="B76"/>
      <c r="C76"/>
      <c r="D76"/>
      <c r="E76"/>
      <c r="F76"/>
      <c r="G76"/>
      <c r="I76" s="18"/>
      <c r="J76" s="11">
        <f>Tabla3510182636414244454647484414243444546465727893[[#This Row],[COMISIONES]]*0.21</f>
        <v>0</v>
      </c>
      <c r="K76" s="18"/>
      <c r="L76" s="18"/>
      <c r="M76" s="18"/>
      <c r="O76" s="40"/>
      <c r="P76" s="40">
        <f>Tabla35681314223040818284858687888818283848586866737994[[#This Row],[COMISIONES]]*0.21</f>
        <v>0</v>
      </c>
      <c r="Q76" s="40"/>
      <c r="R76" s="40"/>
      <c r="S76" s="40"/>
      <c r="U76"/>
      <c r="V76"/>
      <c r="W76"/>
      <c r="X76"/>
      <c r="Y76"/>
    </row>
    <row r="77" spans="1:25" s="6" customFormat="1" x14ac:dyDescent="0.25">
      <c r="A77"/>
      <c r="B77"/>
      <c r="C77"/>
      <c r="D77"/>
      <c r="E77"/>
      <c r="F77"/>
      <c r="G77"/>
      <c r="I77" s="18"/>
      <c r="J77" s="11">
        <f>Tabla3510182636414244454647484414243444546465727893[[#This Row],[COMISIONES]]*0.21</f>
        <v>0</v>
      </c>
      <c r="K77" s="18"/>
      <c r="L77" s="18"/>
      <c r="M77" s="18"/>
      <c r="O77" s="4">
        <f>SUBTOTAL(109,Tabla35681314223040818284858687888818283848586866737994[COMISIONES])</f>
        <v>55726.07</v>
      </c>
      <c r="P77" s="4">
        <f>SUBTOTAL(109,Tabla35681314223040818284858687888818283848586866737994[IVA 21])</f>
        <v>11550</v>
      </c>
      <c r="Q77" s="4">
        <f>SUBTOTAL(109,Tabla35681314223040818284858687888818283848586866737994[IVA 10,5])</f>
        <v>76.237350000000006</v>
      </c>
      <c r="R77" s="4">
        <f>SUBTOTAL(109,Tabla35681314223040818284858687888818283848586866737994[Ret IIBB Caba])</f>
        <v>1650</v>
      </c>
      <c r="S77" s="4">
        <f>SUBTOTAL(109,Tabla35681314223040818284858687888818283848586866737994[PERC IVA])</f>
        <v>1650</v>
      </c>
      <c r="U77"/>
      <c r="V77"/>
      <c r="W77"/>
      <c r="X77"/>
      <c r="Y77"/>
    </row>
    <row r="78" spans="1:25" s="6" customFormat="1" x14ac:dyDescent="0.25">
      <c r="A78"/>
      <c r="B78"/>
      <c r="C78"/>
      <c r="D78"/>
      <c r="E78"/>
      <c r="F78"/>
      <c r="G78"/>
      <c r="I78" s="18"/>
      <c r="J78" s="11">
        <f>Tabla3510182636414244454647484414243444546465727893[[#This Row],[COMISIONES]]*0.21</f>
        <v>0</v>
      </c>
      <c r="K78" s="18"/>
      <c r="L78" s="18"/>
      <c r="M78" s="18"/>
      <c r="O78"/>
      <c r="P78"/>
      <c r="Q78"/>
      <c r="R78"/>
      <c r="S78"/>
      <c r="U78"/>
      <c r="V78"/>
      <c r="W78"/>
      <c r="X78"/>
      <c r="Y78"/>
    </row>
    <row r="79" spans="1:25" s="6" customFormat="1" x14ac:dyDescent="0.25">
      <c r="A79"/>
      <c r="B79"/>
      <c r="C79"/>
      <c r="D79"/>
      <c r="E79"/>
      <c r="F79"/>
      <c r="G79"/>
      <c r="I79" s="18"/>
      <c r="J79" s="11">
        <f>Tabla3510182636414244454647484414243444546465727893[[#This Row],[COMISIONES]]*0.21</f>
        <v>0</v>
      </c>
      <c r="K79" s="18"/>
      <c r="L79" s="18"/>
      <c r="M79" s="18"/>
      <c r="O79"/>
      <c r="P79"/>
      <c r="Q79"/>
      <c r="R79"/>
      <c r="S79"/>
      <c r="U79"/>
      <c r="V79"/>
      <c r="W79"/>
      <c r="X79"/>
      <c r="Y79"/>
    </row>
    <row r="80" spans="1:25" s="6" customFormat="1" x14ac:dyDescent="0.25">
      <c r="A80"/>
      <c r="B80"/>
      <c r="C80"/>
      <c r="D80"/>
      <c r="E80"/>
      <c r="F80"/>
      <c r="G80"/>
      <c r="I80" s="18"/>
      <c r="J80" s="11">
        <f>Tabla3510182636414244454647484414243444546465727893[[#This Row],[COMISIONES]]*0.21</f>
        <v>0</v>
      </c>
      <c r="K80" s="18"/>
      <c r="L80" s="18"/>
      <c r="M80" s="18"/>
      <c r="O80"/>
      <c r="P80"/>
      <c r="Q80"/>
      <c r="R80"/>
      <c r="S80"/>
      <c r="U80"/>
      <c r="V80"/>
      <c r="W80"/>
      <c r="X80"/>
      <c r="Y80"/>
    </row>
    <row r="81" spans="1:25" s="6" customFormat="1" x14ac:dyDescent="0.25">
      <c r="A81"/>
      <c r="B81"/>
      <c r="C81"/>
      <c r="D81"/>
      <c r="E81"/>
      <c r="F81"/>
      <c r="G81"/>
      <c r="I81" s="18"/>
      <c r="J81" s="11">
        <f>Tabla3510182636414244454647484414243444546465727893[[#This Row],[COMISIONES]]*0.21</f>
        <v>0</v>
      </c>
      <c r="K81" s="18"/>
      <c r="L81" s="18"/>
      <c r="M81" s="18"/>
      <c r="O81"/>
      <c r="P81"/>
      <c r="Q81"/>
      <c r="R81"/>
      <c r="S81"/>
      <c r="U81"/>
      <c r="V81"/>
      <c r="W81"/>
      <c r="X81"/>
      <c r="Y81"/>
    </row>
    <row r="82" spans="1:25" s="6" customFormat="1" x14ac:dyDescent="0.25">
      <c r="A82"/>
      <c r="B82"/>
      <c r="C82"/>
      <c r="D82"/>
      <c r="E82"/>
      <c r="F82"/>
      <c r="G82"/>
      <c r="I82" s="18"/>
      <c r="J82" s="11">
        <f>Tabla3510182636414244454647484414243444546465727893[[#This Row],[COMISIONES]]*0.21</f>
        <v>0</v>
      </c>
      <c r="K82" s="18"/>
      <c r="L82" s="18"/>
      <c r="M82" s="18"/>
      <c r="O82"/>
      <c r="P82"/>
      <c r="Q82"/>
      <c r="R82"/>
      <c r="S82"/>
      <c r="U82"/>
      <c r="V82"/>
      <c r="W82"/>
      <c r="X82"/>
      <c r="Y82"/>
    </row>
    <row r="83" spans="1:25" s="6" customFormat="1" x14ac:dyDescent="0.25">
      <c r="A83"/>
      <c r="B83"/>
      <c r="C83"/>
      <c r="D83"/>
      <c r="E83"/>
      <c r="F83"/>
      <c r="G83"/>
      <c r="I83" s="18"/>
      <c r="J83" s="11">
        <f>Tabla3510182636414244454647484414243444546465727893[[#This Row],[COMISIONES]]*0.21</f>
        <v>0</v>
      </c>
      <c r="K83" s="18"/>
      <c r="L83" s="18"/>
      <c r="M83" s="18"/>
      <c r="O83"/>
      <c r="P83"/>
      <c r="Q83"/>
      <c r="R83"/>
      <c r="S83"/>
      <c r="U83"/>
      <c r="V83"/>
      <c r="W83"/>
      <c r="X83"/>
      <c r="Y83"/>
    </row>
    <row r="84" spans="1:25" s="6" customFormat="1" x14ac:dyDescent="0.25">
      <c r="A84"/>
      <c r="B84"/>
      <c r="C84"/>
      <c r="D84"/>
      <c r="E84"/>
      <c r="F84"/>
      <c r="G84"/>
      <c r="I84" s="18"/>
      <c r="J84" s="11">
        <f>Tabla3510182636414244454647484414243444546465727893[[#This Row],[COMISIONES]]*0.21</f>
        <v>0</v>
      </c>
      <c r="K84" s="18"/>
      <c r="L84" s="18"/>
      <c r="M84" s="18"/>
      <c r="O84"/>
      <c r="P84"/>
      <c r="Q84"/>
      <c r="R84"/>
      <c r="S84"/>
      <c r="U84"/>
      <c r="V84"/>
      <c r="W84"/>
      <c r="X84"/>
      <c r="Y84"/>
    </row>
    <row r="85" spans="1:25" s="6" customFormat="1" x14ac:dyDescent="0.25">
      <c r="A85"/>
      <c r="B85"/>
      <c r="C85"/>
      <c r="D85"/>
      <c r="E85"/>
      <c r="F85"/>
      <c r="G85"/>
      <c r="I85" s="18"/>
      <c r="J85" s="11">
        <f>Tabla3510182636414244454647484414243444546465727893[[#This Row],[COMISIONES]]*0.21</f>
        <v>0</v>
      </c>
      <c r="K85" s="18"/>
      <c r="L85" s="18"/>
      <c r="M85" s="18"/>
      <c r="O85"/>
      <c r="P85"/>
      <c r="Q85"/>
      <c r="R85"/>
      <c r="S85"/>
      <c r="U85"/>
      <c r="V85"/>
      <c r="W85"/>
      <c r="X85"/>
      <c r="Y85"/>
    </row>
    <row r="86" spans="1:25" s="6" customFormat="1" x14ac:dyDescent="0.25">
      <c r="A86"/>
      <c r="B86"/>
      <c r="C86"/>
      <c r="D86"/>
      <c r="E86"/>
      <c r="F86"/>
      <c r="G86"/>
      <c r="I86" s="18"/>
      <c r="J86" s="11">
        <f>Tabla3510182636414244454647484414243444546465727893[[#This Row],[COMISIONES]]*0.21</f>
        <v>0</v>
      </c>
      <c r="K86" s="18"/>
      <c r="L86" s="18"/>
      <c r="M86" s="18"/>
      <c r="O86"/>
      <c r="P86"/>
      <c r="Q86"/>
      <c r="R86"/>
      <c r="S86"/>
      <c r="U86"/>
      <c r="V86"/>
      <c r="W86"/>
      <c r="X86"/>
      <c r="Y86"/>
    </row>
    <row r="87" spans="1:25" s="6" customFormat="1" x14ac:dyDescent="0.25">
      <c r="A87"/>
      <c r="B87"/>
      <c r="C87"/>
      <c r="D87"/>
      <c r="E87"/>
      <c r="F87"/>
      <c r="G87"/>
      <c r="I87" s="18"/>
      <c r="J87" s="11">
        <f>Tabla3510182636414244454647484414243444546465727893[[#This Row],[COMISIONES]]*0.21</f>
        <v>0</v>
      </c>
      <c r="K87" s="18"/>
      <c r="L87" s="18"/>
      <c r="M87" s="18"/>
      <c r="O87"/>
      <c r="P87"/>
      <c r="Q87"/>
      <c r="R87"/>
      <c r="S87"/>
      <c r="U87"/>
      <c r="V87"/>
      <c r="W87"/>
      <c r="X87"/>
      <c r="Y87"/>
    </row>
    <row r="88" spans="1:25" s="6" customFormat="1" x14ac:dyDescent="0.25">
      <c r="A88"/>
      <c r="B88"/>
      <c r="C88"/>
      <c r="D88"/>
      <c r="E88"/>
      <c r="F88"/>
      <c r="G88"/>
      <c r="I88" s="18"/>
      <c r="J88" s="11">
        <f>Tabla3510182636414244454647484414243444546465727893[[#This Row],[COMISIONES]]*0.21</f>
        <v>0</v>
      </c>
      <c r="K88" s="18"/>
      <c r="L88" s="18"/>
      <c r="M88" s="18"/>
      <c r="O88"/>
      <c r="P88"/>
      <c r="Q88"/>
      <c r="R88"/>
      <c r="S88"/>
      <c r="U88"/>
      <c r="V88"/>
      <c r="W88"/>
      <c r="X88"/>
      <c r="Y88"/>
    </row>
    <row r="89" spans="1:25" s="6" customFormat="1" x14ac:dyDescent="0.25">
      <c r="A89"/>
      <c r="B89"/>
      <c r="C89"/>
      <c r="D89"/>
      <c r="E89"/>
      <c r="F89"/>
      <c r="G89"/>
      <c r="I89" s="18"/>
      <c r="J89" s="11">
        <f>Tabla3510182636414244454647484414243444546465727893[[#This Row],[COMISIONES]]*0.21</f>
        <v>0</v>
      </c>
      <c r="K89" s="18"/>
      <c r="L89" s="18"/>
      <c r="M89" s="18"/>
      <c r="O89"/>
      <c r="P89"/>
      <c r="Q89"/>
      <c r="R89"/>
      <c r="S89"/>
      <c r="U89"/>
      <c r="V89"/>
      <c r="W89"/>
      <c r="X89"/>
      <c r="Y89"/>
    </row>
    <row r="90" spans="1:25" s="6" customFormat="1" x14ac:dyDescent="0.25">
      <c r="A90"/>
      <c r="B90"/>
      <c r="C90"/>
      <c r="D90"/>
      <c r="E90"/>
      <c r="F90"/>
      <c r="G90"/>
      <c r="I90" s="18"/>
      <c r="J90" s="11">
        <f>Tabla3510182636414244454647484414243444546465727893[[#This Row],[COMISIONES]]*0.21</f>
        <v>0</v>
      </c>
      <c r="K90" s="18"/>
      <c r="L90" s="18"/>
      <c r="M90" s="18"/>
      <c r="O90"/>
      <c r="P90"/>
      <c r="Q90"/>
      <c r="R90"/>
      <c r="S90"/>
      <c r="U90"/>
      <c r="V90"/>
      <c r="W90"/>
      <c r="X90"/>
      <c r="Y90"/>
    </row>
    <row r="91" spans="1:25" s="6" customFormat="1" x14ac:dyDescent="0.25">
      <c r="A91"/>
      <c r="B91"/>
      <c r="C91"/>
      <c r="D91"/>
      <c r="E91"/>
      <c r="F91"/>
      <c r="G91"/>
      <c r="I91" s="18"/>
      <c r="J91" s="11">
        <f>Tabla3510182636414244454647484414243444546465727893[[#This Row],[COMISIONES]]*0.21</f>
        <v>0</v>
      </c>
      <c r="K91" s="18"/>
      <c r="L91" s="18"/>
      <c r="M91" s="18"/>
      <c r="O91"/>
      <c r="P91"/>
      <c r="Q91"/>
      <c r="R91"/>
      <c r="S91"/>
      <c r="U91"/>
      <c r="V91"/>
      <c r="W91"/>
      <c r="X91"/>
      <c r="Y91"/>
    </row>
    <row r="92" spans="1:25" s="6" customFormat="1" x14ac:dyDescent="0.25">
      <c r="A92"/>
      <c r="B92"/>
      <c r="C92"/>
      <c r="D92"/>
      <c r="E92"/>
      <c r="F92"/>
      <c r="G92"/>
      <c r="I92" s="18"/>
      <c r="J92" s="11">
        <f>Tabla3510182636414244454647484414243444546465727893[[#This Row],[COMISIONES]]*0.21</f>
        <v>0</v>
      </c>
      <c r="K92" s="18"/>
      <c r="L92" s="18"/>
      <c r="M92" s="18"/>
      <c r="O92"/>
      <c r="P92"/>
      <c r="Q92"/>
      <c r="R92"/>
      <c r="S92"/>
      <c r="U92"/>
      <c r="V92"/>
      <c r="W92"/>
      <c r="X92"/>
      <c r="Y92"/>
    </row>
    <row r="93" spans="1:25" s="6" customFormat="1" x14ac:dyDescent="0.25">
      <c r="A93"/>
      <c r="B93"/>
      <c r="C93"/>
      <c r="D93"/>
      <c r="E93"/>
      <c r="F93"/>
      <c r="G93"/>
      <c r="I93" s="18"/>
      <c r="J93" s="11">
        <f>Tabla3510182636414244454647484414243444546465727893[[#This Row],[COMISIONES]]*0.21</f>
        <v>0</v>
      </c>
      <c r="K93" s="18"/>
      <c r="L93" s="18"/>
      <c r="M93" s="18"/>
      <c r="O93"/>
      <c r="P93"/>
      <c r="Q93"/>
      <c r="R93"/>
      <c r="S93"/>
      <c r="U93"/>
      <c r="V93"/>
      <c r="W93"/>
      <c r="X93"/>
      <c r="Y93"/>
    </row>
    <row r="94" spans="1:25" s="6" customFormat="1" x14ac:dyDescent="0.25">
      <c r="A94"/>
      <c r="B94"/>
      <c r="C94"/>
      <c r="D94"/>
      <c r="E94"/>
      <c r="F94"/>
      <c r="G94"/>
      <c r="I94" s="18"/>
      <c r="J94" s="11">
        <f>Tabla3510182636414244454647484414243444546465727893[[#This Row],[COMISIONES]]*0.21</f>
        <v>0</v>
      </c>
      <c r="K94" s="18"/>
      <c r="L94" s="18"/>
      <c r="M94" s="18"/>
      <c r="O94"/>
      <c r="P94"/>
      <c r="Q94"/>
      <c r="R94"/>
      <c r="S94"/>
      <c r="U94"/>
      <c r="V94"/>
      <c r="W94"/>
      <c r="X94"/>
      <c r="Y94"/>
    </row>
    <row r="95" spans="1:25" s="6" customFormat="1" x14ac:dyDescent="0.25">
      <c r="A95"/>
      <c r="B95"/>
      <c r="C95"/>
      <c r="D95"/>
      <c r="E95"/>
      <c r="F95"/>
      <c r="G95"/>
      <c r="I95" s="18"/>
      <c r="J95" s="11">
        <f>Tabla3510182636414244454647484414243444546465727893[[#This Row],[COMISIONES]]*0.21</f>
        <v>0</v>
      </c>
      <c r="K95" s="18"/>
      <c r="L95" s="18"/>
      <c r="M95" s="18"/>
      <c r="O95"/>
      <c r="P95"/>
      <c r="Q95"/>
      <c r="R95"/>
      <c r="S95"/>
      <c r="U95"/>
      <c r="V95"/>
      <c r="W95"/>
      <c r="X95"/>
      <c r="Y95"/>
    </row>
    <row r="96" spans="1:25" s="6" customFormat="1" x14ac:dyDescent="0.25">
      <c r="A96"/>
      <c r="B96"/>
      <c r="C96"/>
      <c r="D96"/>
      <c r="E96"/>
      <c r="F96"/>
      <c r="G96"/>
      <c r="I96" s="18"/>
      <c r="J96" s="11">
        <f>Tabla3510182636414244454647484414243444546465727893[[#This Row],[COMISIONES]]*0.21</f>
        <v>0</v>
      </c>
      <c r="K96" s="18"/>
      <c r="L96" s="18"/>
      <c r="M96" s="18"/>
      <c r="O96"/>
      <c r="P96"/>
      <c r="Q96"/>
      <c r="R96"/>
      <c r="S96"/>
      <c r="U96"/>
      <c r="V96"/>
      <c r="W96"/>
      <c r="X96"/>
      <c r="Y96"/>
    </row>
    <row r="97" spans="1:25" s="6" customFormat="1" x14ac:dyDescent="0.25">
      <c r="A97"/>
      <c r="B97"/>
      <c r="C97"/>
      <c r="D97"/>
      <c r="E97"/>
      <c r="F97"/>
      <c r="G97"/>
      <c r="I97" s="18"/>
      <c r="J97" s="11">
        <f>Tabla3510182636414244454647484414243444546465727893[[#This Row],[COMISIONES]]*0.21</f>
        <v>0</v>
      </c>
      <c r="K97" s="18"/>
      <c r="L97" s="18"/>
      <c r="M97" s="18"/>
      <c r="O97"/>
      <c r="P97"/>
      <c r="Q97"/>
      <c r="R97"/>
      <c r="S97"/>
      <c r="U97"/>
      <c r="V97"/>
      <c r="W97"/>
      <c r="X97"/>
      <c r="Y97"/>
    </row>
    <row r="98" spans="1:25" s="6" customFormat="1" x14ac:dyDescent="0.25">
      <c r="A98"/>
      <c r="B98"/>
      <c r="C98"/>
      <c r="D98"/>
      <c r="E98"/>
      <c r="F98"/>
      <c r="G98"/>
      <c r="I98" s="18"/>
      <c r="J98" s="11">
        <f>Tabla3510182636414244454647484414243444546465727893[[#This Row],[COMISIONES]]*0.21</f>
        <v>0</v>
      </c>
      <c r="K98" s="18"/>
      <c r="L98" s="18"/>
      <c r="M98" s="18"/>
      <c r="O98"/>
      <c r="P98"/>
      <c r="Q98"/>
      <c r="R98"/>
      <c r="S98"/>
      <c r="U98"/>
      <c r="V98"/>
      <c r="W98"/>
      <c r="X98"/>
      <c r="Y98"/>
    </row>
    <row r="99" spans="1:25" s="6" customFormat="1" x14ac:dyDescent="0.25">
      <c r="A99"/>
      <c r="B99"/>
      <c r="C99"/>
      <c r="D99"/>
      <c r="E99"/>
      <c r="F99"/>
      <c r="G99"/>
      <c r="I99" s="18"/>
      <c r="J99" s="11">
        <f>Tabla3510182636414244454647484414243444546465727893[[#This Row],[COMISIONES]]*0.21</f>
        <v>0</v>
      </c>
      <c r="K99" s="18"/>
      <c r="L99" s="18"/>
      <c r="M99" s="18"/>
      <c r="O99"/>
      <c r="P99"/>
      <c r="Q99"/>
      <c r="R99"/>
      <c r="S99"/>
      <c r="U99"/>
      <c r="V99"/>
      <c r="W99"/>
      <c r="X99"/>
      <c r="Y99"/>
    </row>
    <row r="100" spans="1:25" s="6" customFormat="1" x14ac:dyDescent="0.25">
      <c r="A100"/>
      <c r="B100"/>
      <c r="C100"/>
      <c r="D100"/>
      <c r="E100"/>
      <c r="F100"/>
      <c r="G100"/>
      <c r="I100" s="18"/>
      <c r="J100" s="11">
        <f>Tabla3510182636414244454647484414243444546465727893[[#This Row],[COMISIONES]]*0.21</f>
        <v>0</v>
      </c>
      <c r="K100" s="18"/>
      <c r="L100" s="18"/>
      <c r="M100" s="18"/>
      <c r="O100"/>
      <c r="P100"/>
      <c r="Q100"/>
      <c r="R100"/>
      <c r="S100"/>
      <c r="U100"/>
      <c r="V100"/>
      <c r="W100"/>
      <c r="X100"/>
      <c r="Y100"/>
    </row>
    <row r="101" spans="1:25" s="6" customFormat="1" x14ac:dyDescent="0.25">
      <c r="A101"/>
      <c r="B101"/>
      <c r="C101"/>
      <c r="D101"/>
      <c r="E101"/>
      <c r="F101"/>
      <c r="G101"/>
      <c r="I101" s="18"/>
      <c r="J101" s="11">
        <f>Tabla3510182636414244454647484414243444546465727893[[#This Row],[COMISIONES]]*0.21</f>
        <v>0</v>
      </c>
      <c r="K101" s="18"/>
      <c r="L101" s="18"/>
      <c r="M101" s="18"/>
      <c r="O101"/>
      <c r="P101"/>
      <c r="Q101"/>
      <c r="R101"/>
      <c r="S101"/>
      <c r="U101"/>
      <c r="V101"/>
      <c r="W101"/>
      <c r="X101"/>
      <c r="Y101"/>
    </row>
    <row r="102" spans="1:25" s="6" customFormat="1" x14ac:dyDescent="0.25">
      <c r="A102"/>
      <c r="B102"/>
      <c r="C102"/>
      <c r="D102"/>
      <c r="E102"/>
      <c r="F102"/>
      <c r="G102"/>
      <c r="I102" s="18"/>
      <c r="J102" s="11">
        <f>Tabla3510182636414244454647484414243444546465727893[[#This Row],[COMISIONES]]*0.21</f>
        <v>0</v>
      </c>
      <c r="K102" s="18"/>
      <c r="L102" s="18"/>
      <c r="M102" s="18"/>
      <c r="O102"/>
      <c r="P102"/>
      <c r="Q102"/>
      <c r="R102"/>
      <c r="S102"/>
      <c r="U102"/>
      <c r="V102"/>
      <c r="W102"/>
      <c r="X102"/>
      <c r="Y102"/>
    </row>
    <row r="103" spans="1:25" s="6" customFormat="1" x14ac:dyDescent="0.25">
      <c r="A103"/>
      <c r="B103"/>
      <c r="C103"/>
      <c r="D103"/>
      <c r="E103"/>
      <c r="F103"/>
      <c r="G103"/>
      <c r="I103" s="18"/>
      <c r="J103" s="11">
        <f>Tabla3510182636414244454647484414243444546465727893[[#This Row],[COMISIONES]]*0.21</f>
        <v>0</v>
      </c>
      <c r="K103" s="18"/>
      <c r="L103" s="18"/>
      <c r="M103" s="18"/>
      <c r="O103"/>
      <c r="P103"/>
      <c r="Q103"/>
      <c r="R103"/>
      <c r="S103"/>
      <c r="U103"/>
      <c r="V103"/>
      <c r="W103"/>
      <c r="X103"/>
      <c r="Y103"/>
    </row>
    <row r="104" spans="1:25" s="6" customFormat="1" x14ac:dyDescent="0.25">
      <c r="A104"/>
      <c r="B104"/>
      <c r="C104"/>
      <c r="D104"/>
      <c r="E104"/>
      <c r="F104"/>
      <c r="G104"/>
      <c r="I104" s="18"/>
      <c r="J104" s="11">
        <f>Tabla3510182636414244454647484414243444546465727893[[#This Row],[COMISIONES]]*0.21</f>
        <v>0</v>
      </c>
      <c r="K104" s="18"/>
      <c r="L104" s="18"/>
      <c r="M104" s="18"/>
      <c r="O104"/>
      <c r="P104"/>
      <c r="Q104"/>
      <c r="R104"/>
      <c r="S104"/>
      <c r="U104"/>
      <c r="V104"/>
      <c r="W104"/>
      <c r="X104"/>
      <c r="Y104"/>
    </row>
    <row r="105" spans="1:25" s="6" customFormat="1" x14ac:dyDescent="0.25">
      <c r="A105"/>
      <c r="B105"/>
      <c r="C105"/>
      <c r="D105"/>
      <c r="E105"/>
      <c r="F105"/>
      <c r="G105"/>
      <c r="I105" s="18"/>
      <c r="J105" s="11">
        <f>Tabla3510182636414244454647484414243444546465727893[[#This Row],[COMISIONES]]*0.21</f>
        <v>0</v>
      </c>
      <c r="K105" s="18"/>
      <c r="L105" s="18"/>
      <c r="M105" s="18"/>
      <c r="O105"/>
      <c r="P105"/>
      <c r="Q105"/>
      <c r="R105"/>
      <c r="S105"/>
      <c r="U105"/>
      <c r="V105"/>
      <c r="W105"/>
      <c r="X105"/>
      <c r="Y105"/>
    </row>
    <row r="106" spans="1:25" s="6" customFormat="1" x14ac:dyDescent="0.25">
      <c r="A106"/>
      <c r="B106"/>
      <c r="C106"/>
      <c r="D106"/>
      <c r="E106"/>
      <c r="F106"/>
      <c r="G106"/>
      <c r="I106" s="18"/>
      <c r="J106" s="11">
        <f>Tabla3510182636414244454647484414243444546465727893[[#This Row],[COMISIONES]]*0.21</f>
        <v>0</v>
      </c>
      <c r="K106" s="18"/>
      <c r="L106" s="18"/>
      <c r="M106" s="18"/>
      <c r="O106"/>
      <c r="P106"/>
      <c r="Q106"/>
      <c r="R106"/>
      <c r="S106"/>
      <c r="U106"/>
      <c r="V106"/>
      <c r="W106"/>
      <c r="X106"/>
      <c r="Y106"/>
    </row>
    <row r="107" spans="1:25" s="6" customFormat="1" x14ac:dyDescent="0.25">
      <c r="A107"/>
      <c r="B107"/>
      <c r="C107"/>
      <c r="D107"/>
      <c r="E107"/>
      <c r="F107"/>
      <c r="G107"/>
      <c r="I107" s="18"/>
      <c r="J107" s="11">
        <f>Tabla3510182636414244454647484414243444546465727893[[#This Row],[COMISIONES]]*0.21</f>
        <v>0</v>
      </c>
      <c r="K107" s="18"/>
      <c r="L107" s="18"/>
      <c r="M107" s="18"/>
      <c r="O107"/>
      <c r="P107"/>
      <c r="Q107"/>
      <c r="R107"/>
      <c r="S107"/>
      <c r="U107"/>
      <c r="V107"/>
      <c r="W107"/>
      <c r="X107"/>
      <c r="Y107"/>
    </row>
    <row r="108" spans="1:25" s="6" customFormat="1" x14ac:dyDescent="0.25">
      <c r="A108"/>
      <c r="B108"/>
      <c r="C108"/>
      <c r="D108"/>
      <c r="E108"/>
      <c r="F108"/>
      <c r="G108"/>
      <c r="I108" s="18"/>
      <c r="J108" s="11">
        <f>Tabla3510182636414244454647484414243444546465727893[[#This Row],[COMISIONES]]*0.21</f>
        <v>0</v>
      </c>
      <c r="K108" s="18"/>
      <c r="L108" s="18"/>
      <c r="M108" s="18"/>
      <c r="O108"/>
      <c r="P108"/>
      <c r="Q108"/>
      <c r="R108"/>
      <c r="S108"/>
      <c r="U108"/>
      <c r="V108"/>
      <c r="W108"/>
      <c r="X108"/>
      <c r="Y108"/>
    </row>
    <row r="109" spans="1:25" s="6" customFormat="1" x14ac:dyDescent="0.25">
      <c r="A109"/>
      <c r="B109"/>
      <c r="C109"/>
      <c r="D109"/>
      <c r="E109"/>
      <c r="F109"/>
      <c r="G109"/>
      <c r="I109" s="18"/>
      <c r="J109" s="11">
        <f>Tabla3510182636414244454647484414243444546465727893[[#This Row],[COMISIONES]]*0.21</f>
        <v>0</v>
      </c>
      <c r="K109" s="18"/>
      <c r="L109" s="18"/>
      <c r="M109" s="18"/>
      <c r="O109"/>
      <c r="P109"/>
      <c r="Q109"/>
      <c r="R109"/>
      <c r="S109"/>
      <c r="U109"/>
      <c r="V109"/>
      <c r="W109"/>
      <c r="X109"/>
      <c r="Y109"/>
    </row>
    <row r="110" spans="1:25" s="6" customFormat="1" x14ac:dyDescent="0.25">
      <c r="A110"/>
      <c r="B110"/>
      <c r="C110"/>
      <c r="D110"/>
      <c r="E110"/>
      <c r="F110"/>
      <c r="G110"/>
      <c r="I110" s="18"/>
      <c r="J110" s="11">
        <f>Tabla3510182636414244454647484414243444546465727893[[#This Row],[COMISIONES]]*0.21</f>
        <v>0</v>
      </c>
      <c r="K110" s="18"/>
      <c r="L110" s="18"/>
      <c r="M110" s="18"/>
      <c r="O110"/>
      <c r="P110"/>
      <c r="Q110"/>
      <c r="R110"/>
      <c r="S110"/>
      <c r="U110"/>
      <c r="V110"/>
      <c r="W110"/>
      <c r="X110"/>
      <c r="Y110"/>
    </row>
    <row r="111" spans="1:25" s="6" customFormat="1" x14ac:dyDescent="0.25">
      <c r="A111"/>
      <c r="B111"/>
      <c r="C111"/>
      <c r="D111"/>
      <c r="E111"/>
      <c r="F111"/>
      <c r="G111"/>
      <c r="I111" s="18"/>
      <c r="J111" s="11">
        <f>Tabla3510182636414244454647484414243444546465727893[[#This Row],[COMISIONES]]*0.21</f>
        <v>0</v>
      </c>
      <c r="K111" s="18"/>
      <c r="L111" s="18"/>
      <c r="M111" s="18"/>
      <c r="O111"/>
      <c r="P111"/>
      <c r="Q111"/>
      <c r="R111"/>
      <c r="S111"/>
      <c r="U111"/>
      <c r="V111"/>
      <c r="W111"/>
      <c r="X111"/>
      <c r="Y111"/>
    </row>
    <row r="112" spans="1:25" s="6" customFormat="1" x14ac:dyDescent="0.25">
      <c r="A112"/>
      <c r="B112"/>
      <c r="C112"/>
      <c r="D112"/>
      <c r="E112"/>
      <c r="F112"/>
      <c r="G112"/>
      <c r="I112" s="18"/>
      <c r="J112" s="11">
        <f>Tabla3510182636414244454647484414243444546465727893[[#This Row],[COMISIONES]]*0.21</f>
        <v>0</v>
      </c>
      <c r="K112" s="18"/>
      <c r="L112" s="18"/>
      <c r="M112" s="18"/>
      <c r="O112"/>
      <c r="P112"/>
      <c r="Q112"/>
      <c r="R112"/>
      <c r="S112"/>
      <c r="U112"/>
      <c r="V112"/>
      <c r="W112"/>
      <c r="X112"/>
      <c r="Y112"/>
    </row>
    <row r="113" spans="1:25" s="6" customFormat="1" x14ac:dyDescent="0.25">
      <c r="A113"/>
      <c r="B113"/>
      <c r="C113"/>
      <c r="D113"/>
      <c r="E113"/>
      <c r="F113"/>
      <c r="G113"/>
      <c r="I113" s="18"/>
      <c r="J113" s="11">
        <f>Tabla3510182636414244454647484414243444546465727893[[#This Row],[COMISIONES]]*0.21</f>
        <v>0</v>
      </c>
      <c r="K113" s="18"/>
      <c r="L113" s="18"/>
      <c r="M113" s="18"/>
      <c r="O113"/>
      <c r="P113"/>
      <c r="Q113"/>
      <c r="R113"/>
      <c r="S113"/>
      <c r="U113"/>
      <c r="V113"/>
      <c r="W113"/>
      <c r="X113"/>
      <c r="Y113"/>
    </row>
    <row r="114" spans="1:25" s="6" customFormat="1" x14ac:dyDescent="0.25">
      <c r="A114"/>
      <c r="B114"/>
      <c r="C114"/>
      <c r="D114"/>
      <c r="E114"/>
      <c r="F114"/>
      <c r="G114"/>
      <c r="I114" s="18"/>
      <c r="J114" s="11">
        <f>Tabla3510182636414244454647484414243444546465727893[[#This Row],[COMISIONES]]*0.21</f>
        <v>0</v>
      </c>
      <c r="K114" s="18"/>
      <c r="L114" s="18"/>
      <c r="M114" s="18"/>
      <c r="O114"/>
      <c r="P114"/>
      <c r="Q114"/>
      <c r="R114"/>
      <c r="S114"/>
      <c r="U114"/>
      <c r="V114"/>
      <c r="W114"/>
      <c r="X114"/>
      <c r="Y114"/>
    </row>
    <row r="115" spans="1:25" s="6" customFormat="1" x14ac:dyDescent="0.25">
      <c r="A115"/>
      <c r="B115"/>
      <c r="C115"/>
      <c r="D115"/>
      <c r="E115"/>
      <c r="F115"/>
      <c r="G115"/>
      <c r="I115" s="18"/>
      <c r="J115" s="11">
        <f>Tabla3510182636414244454647484414243444546465727893[[#This Row],[COMISIONES]]*0.21</f>
        <v>0</v>
      </c>
      <c r="K115" s="18"/>
      <c r="L115" s="18"/>
      <c r="M115" s="18"/>
      <c r="O115"/>
      <c r="P115"/>
      <c r="Q115"/>
      <c r="R115"/>
      <c r="S115"/>
      <c r="U115"/>
      <c r="V115"/>
      <c r="W115"/>
      <c r="X115"/>
      <c r="Y115"/>
    </row>
    <row r="116" spans="1:25" s="6" customFormat="1" x14ac:dyDescent="0.25">
      <c r="A116"/>
      <c r="B116"/>
      <c r="C116"/>
      <c r="D116"/>
      <c r="E116"/>
      <c r="F116"/>
      <c r="G116"/>
      <c r="I116" s="18"/>
      <c r="J116" s="11">
        <f>Tabla3510182636414244454647484414243444546465727893[[#This Row],[COMISIONES]]*0.21</f>
        <v>0</v>
      </c>
      <c r="K116" s="18"/>
      <c r="L116" s="18"/>
      <c r="M116" s="18"/>
      <c r="O116"/>
      <c r="P116"/>
      <c r="Q116"/>
      <c r="R116"/>
      <c r="S116"/>
      <c r="U116"/>
      <c r="V116"/>
      <c r="W116"/>
      <c r="X116"/>
      <c r="Y116"/>
    </row>
    <row r="117" spans="1:25" s="6" customFormat="1" x14ac:dyDescent="0.25">
      <c r="A117"/>
      <c r="B117"/>
      <c r="C117"/>
      <c r="D117"/>
      <c r="E117"/>
      <c r="F117"/>
      <c r="G117"/>
      <c r="I117" s="18"/>
      <c r="J117" s="11">
        <f>Tabla3510182636414244454647484414243444546465727893[[#This Row],[COMISIONES]]*0.21</f>
        <v>0</v>
      </c>
      <c r="K117" s="18"/>
      <c r="L117" s="18"/>
      <c r="M117" s="18"/>
      <c r="O117"/>
      <c r="P117"/>
      <c r="Q117"/>
      <c r="R117"/>
      <c r="S117"/>
      <c r="U117"/>
      <c r="V117"/>
      <c r="W117"/>
      <c r="X117"/>
      <c r="Y117"/>
    </row>
    <row r="118" spans="1:25" s="6" customFormat="1" x14ac:dyDescent="0.25">
      <c r="A118"/>
      <c r="B118"/>
      <c r="C118"/>
      <c r="D118"/>
      <c r="E118"/>
      <c r="F118"/>
      <c r="G118"/>
      <c r="I118" s="18"/>
      <c r="J118" s="11">
        <f>Tabla3510182636414244454647484414243444546465727893[[#This Row],[COMISIONES]]*0.21</f>
        <v>0</v>
      </c>
      <c r="K118" s="18"/>
      <c r="L118" s="18"/>
      <c r="M118" s="18"/>
      <c r="O118"/>
      <c r="P118"/>
      <c r="Q118"/>
      <c r="R118"/>
      <c r="S118"/>
      <c r="U118"/>
      <c r="V118"/>
      <c r="W118"/>
      <c r="X118"/>
      <c r="Y118"/>
    </row>
    <row r="119" spans="1:25" s="6" customFormat="1" x14ac:dyDescent="0.25">
      <c r="A119"/>
      <c r="B119"/>
      <c r="C119"/>
      <c r="D119"/>
      <c r="E119"/>
      <c r="F119"/>
      <c r="G119"/>
      <c r="I119" s="18"/>
      <c r="J119" s="18"/>
      <c r="K119" s="18"/>
      <c r="L119" s="18"/>
      <c r="M119" s="18"/>
      <c r="O119"/>
      <c r="P119"/>
      <c r="Q119"/>
      <c r="R119"/>
      <c r="S119"/>
      <c r="U119"/>
      <c r="V119"/>
      <c r="W119"/>
      <c r="X119"/>
      <c r="Y119"/>
    </row>
    <row r="120" spans="1:25" s="6" customFormat="1" x14ac:dyDescent="0.25">
      <c r="A120"/>
      <c r="B120"/>
      <c r="C120"/>
      <c r="D120"/>
      <c r="E120"/>
      <c r="F120"/>
      <c r="G120"/>
      <c r="I120" s="18"/>
      <c r="J120" s="18"/>
      <c r="K120" s="18"/>
      <c r="L120" s="18"/>
      <c r="M120" s="18"/>
      <c r="O120"/>
      <c r="P120"/>
      <c r="Q120"/>
      <c r="R120"/>
      <c r="S120"/>
      <c r="U120"/>
      <c r="V120"/>
      <c r="W120"/>
      <c r="X120"/>
      <c r="Y120"/>
    </row>
    <row r="121" spans="1:25" s="6" customFormat="1" x14ac:dyDescent="0.25">
      <c r="A121"/>
      <c r="B121"/>
      <c r="C121"/>
      <c r="D121"/>
      <c r="E121"/>
      <c r="F121"/>
      <c r="G121"/>
      <c r="I121" s="18"/>
      <c r="J121" s="18"/>
      <c r="K121" s="18"/>
      <c r="L121" s="18"/>
      <c r="M121" s="18"/>
      <c r="O121"/>
      <c r="P121"/>
      <c r="Q121"/>
      <c r="R121"/>
      <c r="S121"/>
      <c r="U121"/>
      <c r="V121"/>
      <c r="W121"/>
      <c r="X121"/>
      <c r="Y121"/>
    </row>
    <row r="122" spans="1:25" s="6" customFormat="1" x14ac:dyDescent="0.25">
      <c r="A122"/>
      <c r="B122"/>
      <c r="C122"/>
      <c r="D122"/>
      <c r="E122"/>
      <c r="F122"/>
      <c r="G122"/>
      <c r="I122" s="18"/>
      <c r="J122" s="18"/>
      <c r="K122" s="18"/>
      <c r="L122" s="18"/>
      <c r="M122" s="18"/>
      <c r="O122"/>
      <c r="P122"/>
      <c r="Q122"/>
      <c r="R122"/>
      <c r="S122"/>
      <c r="U122"/>
      <c r="V122"/>
      <c r="W122"/>
      <c r="X122"/>
      <c r="Y122"/>
    </row>
    <row r="123" spans="1:25" s="6" customFormat="1" x14ac:dyDescent="0.25">
      <c r="A123"/>
      <c r="B123"/>
      <c r="C123"/>
      <c r="D123"/>
      <c r="E123"/>
      <c r="F123"/>
      <c r="G123"/>
      <c r="I123" s="18"/>
      <c r="J123" s="18"/>
      <c r="K123" s="18"/>
      <c r="L123" s="18"/>
      <c r="M123" s="18"/>
      <c r="O123"/>
      <c r="P123"/>
      <c r="Q123"/>
      <c r="R123"/>
      <c r="S123"/>
      <c r="U123"/>
      <c r="V123"/>
      <c r="W123"/>
      <c r="X123"/>
      <c r="Y123"/>
    </row>
    <row r="124" spans="1:25" s="6" customFormat="1" x14ac:dyDescent="0.25">
      <c r="A124"/>
      <c r="B124"/>
      <c r="C124"/>
      <c r="D124"/>
      <c r="E124"/>
      <c r="F124"/>
      <c r="G124"/>
      <c r="I124" s="18"/>
      <c r="J124" s="18"/>
      <c r="K124" s="18"/>
      <c r="L124" s="18"/>
      <c r="M124" s="18"/>
      <c r="O124"/>
      <c r="P124"/>
      <c r="Q124"/>
      <c r="R124"/>
      <c r="S124"/>
      <c r="U124"/>
      <c r="V124"/>
      <c r="W124"/>
      <c r="X124"/>
      <c r="Y124"/>
    </row>
    <row r="125" spans="1:25" s="6" customFormat="1" x14ac:dyDescent="0.25">
      <c r="A125"/>
      <c r="B125"/>
      <c r="C125"/>
      <c r="D125"/>
      <c r="E125"/>
      <c r="F125"/>
      <c r="G125"/>
      <c r="I125" s="18"/>
      <c r="J125" s="18"/>
      <c r="K125" s="18"/>
      <c r="L125" s="18"/>
      <c r="M125" s="18"/>
      <c r="O125"/>
      <c r="P125"/>
      <c r="Q125"/>
      <c r="R125"/>
      <c r="S125"/>
      <c r="U125"/>
      <c r="V125"/>
      <c r="W125"/>
      <c r="X125"/>
      <c r="Y125"/>
    </row>
    <row r="126" spans="1:25" s="6" customFormat="1" x14ac:dyDescent="0.25">
      <c r="A126"/>
      <c r="B126"/>
      <c r="C126"/>
      <c r="D126"/>
      <c r="E126"/>
      <c r="F126"/>
      <c r="G126"/>
      <c r="I126" s="18"/>
      <c r="J126" s="18"/>
      <c r="K126" s="18"/>
      <c r="L126" s="18"/>
      <c r="M126" s="18"/>
      <c r="O126"/>
      <c r="P126"/>
      <c r="Q126"/>
      <c r="R126"/>
      <c r="S126"/>
      <c r="U126"/>
      <c r="V126"/>
      <c r="W126"/>
      <c r="X126"/>
      <c r="Y126"/>
    </row>
    <row r="127" spans="1:25" s="6" customFormat="1" x14ac:dyDescent="0.25">
      <c r="A127"/>
      <c r="B127"/>
      <c r="C127"/>
      <c r="D127"/>
      <c r="E127"/>
      <c r="F127"/>
      <c r="G127"/>
      <c r="I127" s="18"/>
      <c r="J127" s="18"/>
      <c r="K127" s="18"/>
      <c r="L127" s="18"/>
      <c r="M127" s="18"/>
      <c r="O127"/>
      <c r="P127"/>
      <c r="Q127"/>
      <c r="R127"/>
      <c r="S127"/>
      <c r="U127"/>
      <c r="V127"/>
      <c r="W127"/>
      <c r="X127"/>
      <c r="Y127"/>
    </row>
    <row r="128" spans="1:25" s="6" customFormat="1" x14ac:dyDescent="0.25">
      <c r="A128"/>
      <c r="B128"/>
      <c r="C128"/>
      <c r="D128"/>
      <c r="E128"/>
      <c r="F128"/>
      <c r="G128"/>
      <c r="I128" s="18"/>
      <c r="J128" s="18"/>
      <c r="K128" s="18"/>
      <c r="L128" s="18"/>
      <c r="M128" s="18"/>
      <c r="O128"/>
      <c r="P128"/>
      <c r="Q128"/>
      <c r="R128"/>
      <c r="S128"/>
      <c r="U128"/>
      <c r="V128"/>
      <c r="W128"/>
      <c r="X128"/>
      <c r="Y128"/>
    </row>
    <row r="129" spans="1:25" s="6" customFormat="1" x14ac:dyDescent="0.25">
      <c r="A129"/>
      <c r="B129"/>
      <c r="C129"/>
      <c r="D129"/>
      <c r="E129"/>
      <c r="F129"/>
      <c r="G129"/>
      <c r="I129" s="18"/>
      <c r="J129" s="18"/>
      <c r="K129" s="18"/>
      <c r="L129" s="18"/>
      <c r="M129" s="18"/>
      <c r="O129"/>
      <c r="P129"/>
      <c r="Q129"/>
      <c r="R129"/>
      <c r="S129"/>
      <c r="U129"/>
      <c r="V129"/>
      <c r="W129"/>
      <c r="X129"/>
      <c r="Y129"/>
    </row>
    <row r="130" spans="1:25" s="6" customFormat="1" x14ac:dyDescent="0.25">
      <c r="A130"/>
      <c r="B130"/>
      <c r="C130"/>
      <c r="D130"/>
      <c r="E130"/>
      <c r="F130"/>
      <c r="G130"/>
      <c r="I130" s="18"/>
      <c r="J130" s="18">
        <f>Tabla3510182636414244454647484414243444546465727893[[#This Row],[COMISIONES]]*0.21</f>
        <v>0</v>
      </c>
      <c r="K130" s="18"/>
      <c r="L130" s="18"/>
      <c r="M130" s="18"/>
      <c r="O130"/>
      <c r="P130"/>
      <c r="Q130"/>
      <c r="R130"/>
      <c r="S130"/>
      <c r="U130"/>
      <c r="V130"/>
      <c r="W130"/>
      <c r="X130"/>
      <c r="Y130"/>
    </row>
    <row r="131" spans="1:25" s="6" customFormat="1" x14ac:dyDescent="0.25">
      <c r="A131"/>
      <c r="B131"/>
      <c r="C131"/>
      <c r="D131"/>
      <c r="E131"/>
      <c r="F131"/>
      <c r="G131"/>
      <c r="I131" s="4">
        <f>SUBTOTAL(109,Tabla3510182636414244454647484414243444546465727893[COMISIONES])</f>
        <v>86625.69</v>
      </c>
      <c r="J131" s="4">
        <f>SUBTOTAL(109,Tabla3510182636414244454647484414243444546465727893[IVA 21])</f>
        <v>18129.09</v>
      </c>
      <c r="K131" s="4">
        <f>SUBTOTAL(109,Tabla3510182636414244454647484414243444546465727893[IVA 10,5])</f>
        <v>31.152449999999998</v>
      </c>
      <c r="L131" s="4">
        <f>SUBTOTAL(109,Tabla3510182636414244454647484414243444546465727893[Ret IIBB Caba])</f>
        <v>2584.0499999999997</v>
      </c>
      <c r="M131" s="4">
        <f>SUBTOTAL(109,Tabla3510182636414244454647484414243444546465727893[PERC IVA])</f>
        <v>2584.0499999999997</v>
      </c>
      <c r="O131"/>
      <c r="P131"/>
      <c r="Q131"/>
      <c r="R131"/>
      <c r="S131"/>
      <c r="U131"/>
      <c r="V131"/>
      <c r="W131"/>
      <c r="X131"/>
      <c r="Y131"/>
    </row>
    <row r="132" spans="1:25" s="6" customFormat="1" x14ac:dyDescent="0.25">
      <c r="A132"/>
      <c r="B132"/>
      <c r="C132"/>
      <c r="D132"/>
      <c r="E132"/>
      <c r="F132"/>
      <c r="G132"/>
      <c r="I132"/>
      <c r="J132"/>
      <c r="K132"/>
      <c r="L132"/>
      <c r="M132"/>
      <c r="O132"/>
      <c r="P132"/>
      <c r="Q132"/>
      <c r="R132"/>
      <c r="S132"/>
      <c r="U132"/>
      <c r="V132"/>
      <c r="W132"/>
      <c r="X132"/>
      <c r="Y132"/>
    </row>
    <row r="133" spans="1:25" s="6" customFormat="1" x14ac:dyDescent="0.25">
      <c r="A133"/>
      <c r="B133"/>
      <c r="C133"/>
      <c r="D133"/>
      <c r="E133"/>
      <c r="F133"/>
      <c r="G133"/>
      <c r="I133"/>
      <c r="J133"/>
      <c r="K133"/>
      <c r="L133"/>
      <c r="M133"/>
      <c r="O133"/>
      <c r="P133"/>
      <c r="Q133"/>
      <c r="R133"/>
      <c r="S133"/>
      <c r="U133"/>
      <c r="V133"/>
      <c r="W133"/>
      <c r="X133"/>
      <c r="Y133"/>
    </row>
    <row r="134" spans="1:25" s="6" customFormat="1" x14ac:dyDescent="0.25">
      <c r="A134"/>
      <c r="B134"/>
      <c r="C134"/>
      <c r="D134"/>
      <c r="E134"/>
      <c r="F134"/>
      <c r="G134"/>
      <c r="I134"/>
      <c r="J134"/>
      <c r="K134"/>
      <c r="L134"/>
      <c r="M134"/>
      <c r="O134"/>
      <c r="P134"/>
      <c r="Q134"/>
      <c r="R134"/>
      <c r="S134"/>
      <c r="U134"/>
      <c r="V134"/>
      <c r="W134"/>
      <c r="X134"/>
      <c r="Y134"/>
    </row>
    <row r="135" spans="1:25" s="6" customFormat="1" x14ac:dyDescent="0.25">
      <c r="A135"/>
      <c r="B135"/>
      <c r="C135"/>
      <c r="D135"/>
      <c r="E135"/>
      <c r="F135"/>
      <c r="G135"/>
      <c r="I135"/>
      <c r="J135"/>
      <c r="K135"/>
      <c r="L135"/>
      <c r="M135"/>
      <c r="O135"/>
      <c r="P135"/>
      <c r="Q135"/>
      <c r="R135"/>
      <c r="S135"/>
      <c r="U135"/>
      <c r="V135"/>
      <c r="W135"/>
      <c r="X135"/>
      <c r="Y135"/>
    </row>
    <row r="136" spans="1:25" s="6" customFormat="1" x14ac:dyDescent="0.25">
      <c r="A136"/>
      <c r="B136"/>
      <c r="C136"/>
      <c r="D136"/>
      <c r="E136"/>
      <c r="F136"/>
      <c r="G136"/>
      <c r="I136"/>
      <c r="J136"/>
      <c r="K136"/>
      <c r="L136"/>
      <c r="M136"/>
      <c r="O136"/>
      <c r="P136"/>
      <c r="Q136"/>
      <c r="R136"/>
      <c r="S136"/>
      <c r="U136"/>
      <c r="V136"/>
      <c r="W136"/>
      <c r="X136"/>
      <c r="Y136"/>
    </row>
    <row r="137" spans="1:25" s="6" customFormat="1" x14ac:dyDescent="0.25">
      <c r="A137"/>
      <c r="B137"/>
      <c r="C137"/>
      <c r="D137"/>
      <c r="E137"/>
      <c r="F137"/>
      <c r="G137"/>
      <c r="I137"/>
      <c r="J137"/>
      <c r="K137"/>
      <c r="L137"/>
      <c r="M137"/>
      <c r="O137"/>
      <c r="P137"/>
      <c r="Q137"/>
      <c r="R137"/>
      <c r="S137"/>
      <c r="U137"/>
      <c r="V137"/>
      <c r="W137"/>
      <c r="X137"/>
      <c r="Y137"/>
    </row>
    <row r="138" spans="1:25" s="6" customFormat="1" x14ac:dyDescent="0.25">
      <c r="A138"/>
      <c r="B138"/>
      <c r="C138"/>
      <c r="D138"/>
      <c r="E138"/>
      <c r="F138"/>
      <c r="G138"/>
      <c r="I138"/>
      <c r="J138"/>
      <c r="K138"/>
      <c r="L138"/>
      <c r="M138"/>
      <c r="O138"/>
      <c r="P138"/>
      <c r="Q138"/>
      <c r="R138"/>
      <c r="S138"/>
      <c r="U138"/>
      <c r="V138"/>
      <c r="W138"/>
      <c r="X138"/>
      <c r="Y138"/>
    </row>
    <row r="139" spans="1:25" s="6" customFormat="1" x14ac:dyDescent="0.25">
      <c r="A139"/>
      <c r="B139"/>
      <c r="C139"/>
      <c r="D139"/>
      <c r="E139"/>
      <c r="F139"/>
      <c r="G139"/>
      <c r="I139"/>
      <c r="J139"/>
      <c r="K139"/>
      <c r="L139"/>
      <c r="M139"/>
      <c r="O139"/>
      <c r="P139"/>
      <c r="Q139"/>
      <c r="R139"/>
      <c r="S139"/>
      <c r="U139"/>
      <c r="V139"/>
      <c r="W139"/>
      <c r="X139"/>
      <c r="Y139"/>
    </row>
    <row r="140" spans="1:25" s="6" customFormat="1" x14ac:dyDescent="0.25">
      <c r="A140"/>
      <c r="B140"/>
      <c r="C140"/>
      <c r="D140"/>
      <c r="E140"/>
      <c r="F140"/>
      <c r="G140"/>
      <c r="I140"/>
      <c r="J140"/>
      <c r="K140"/>
      <c r="L140"/>
      <c r="M140"/>
      <c r="O140"/>
      <c r="P140"/>
      <c r="Q140"/>
      <c r="R140"/>
      <c r="S140"/>
      <c r="U140"/>
      <c r="V140"/>
      <c r="W140"/>
      <c r="X140"/>
      <c r="Y140"/>
    </row>
    <row r="141" spans="1:25" s="6" customFormat="1" x14ac:dyDescent="0.25">
      <c r="A141"/>
      <c r="B141"/>
      <c r="C141"/>
      <c r="D141"/>
      <c r="E141"/>
      <c r="F141"/>
      <c r="G141"/>
      <c r="I141"/>
      <c r="J141"/>
      <c r="K141"/>
      <c r="L141"/>
      <c r="M141"/>
      <c r="O141"/>
      <c r="P141"/>
      <c r="Q141"/>
      <c r="R141"/>
      <c r="S141"/>
      <c r="U141"/>
      <c r="V141"/>
      <c r="W141"/>
      <c r="X141"/>
      <c r="Y141"/>
    </row>
    <row r="142" spans="1:25" s="6" customFormat="1" x14ac:dyDescent="0.25">
      <c r="A142"/>
      <c r="B142"/>
      <c r="C142"/>
      <c r="D142"/>
      <c r="E142"/>
      <c r="F142"/>
      <c r="G142"/>
      <c r="I142"/>
      <c r="J142"/>
      <c r="K142"/>
      <c r="L142"/>
      <c r="M142"/>
      <c r="O142"/>
      <c r="P142"/>
      <c r="Q142"/>
      <c r="R142"/>
      <c r="S142"/>
      <c r="U142"/>
      <c r="V142"/>
      <c r="W142"/>
      <c r="X142"/>
      <c r="Y142"/>
    </row>
    <row r="143" spans="1:25" s="6" customFormat="1" x14ac:dyDescent="0.25">
      <c r="A143"/>
      <c r="B143"/>
      <c r="C143"/>
      <c r="D143"/>
      <c r="E143"/>
      <c r="F143"/>
      <c r="G143"/>
      <c r="I143"/>
      <c r="J143"/>
      <c r="K143"/>
      <c r="L143"/>
      <c r="M143"/>
      <c r="O143"/>
      <c r="P143"/>
      <c r="Q143"/>
      <c r="R143"/>
      <c r="S143"/>
      <c r="U143"/>
      <c r="V143"/>
      <c r="W143"/>
      <c r="X143"/>
      <c r="Y143"/>
    </row>
    <row r="144" spans="1:25" s="6" customFormat="1" x14ac:dyDescent="0.25">
      <c r="A144"/>
      <c r="B144"/>
      <c r="C144"/>
      <c r="D144"/>
      <c r="E144"/>
      <c r="F144"/>
      <c r="G144"/>
      <c r="I144"/>
      <c r="J144"/>
      <c r="K144"/>
      <c r="L144"/>
      <c r="M144"/>
      <c r="O144"/>
      <c r="P144"/>
      <c r="Q144"/>
      <c r="R144"/>
      <c r="S144"/>
      <c r="U144"/>
      <c r="V144"/>
      <c r="W144"/>
      <c r="X144"/>
      <c r="Y144"/>
    </row>
    <row r="145" spans="1:25" s="6" customFormat="1" x14ac:dyDescent="0.25">
      <c r="A145"/>
      <c r="B145"/>
      <c r="C145"/>
      <c r="D145"/>
      <c r="E145"/>
      <c r="F145"/>
      <c r="G145"/>
      <c r="I145"/>
      <c r="J145"/>
      <c r="K145"/>
      <c r="L145"/>
      <c r="M145"/>
      <c r="O145"/>
      <c r="P145"/>
      <c r="Q145"/>
      <c r="R145"/>
      <c r="S145"/>
      <c r="U145"/>
      <c r="V145"/>
      <c r="W145"/>
      <c r="X145"/>
      <c r="Y145"/>
    </row>
    <row r="146" spans="1:25" s="6" customFormat="1" x14ac:dyDescent="0.25">
      <c r="A146"/>
      <c r="B146"/>
      <c r="C146"/>
      <c r="D146"/>
      <c r="E146"/>
      <c r="F146"/>
      <c r="G146"/>
      <c r="I146"/>
      <c r="J146"/>
      <c r="K146"/>
      <c r="L146"/>
      <c r="M146"/>
      <c r="O146"/>
      <c r="P146"/>
      <c r="Q146"/>
      <c r="R146"/>
      <c r="S146"/>
      <c r="U146"/>
      <c r="V146"/>
      <c r="W146"/>
      <c r="X146"/>
      <c r="Y146"/>
    </row>
    <row r="147" spans="1:25" s="6" customFormat="1" x14ac:dyDescent="0.25">
      <c r="A147"/>
      <c r="B147"/>
      <c r="C147"/>
      <c r="D147"/>
      <c r="E147"/>
      <c r="F147"/>
      <c r="G147"/>
      <c r="I147"/>
      <c r="J147"/>
      <c r="K147"/>
      <c r="L147"/>
      <c r="M147"/>
      <c r="O147"/>
      <c r="P147"/>
      <c r="Q147"/>
      <c r="R147"/>
      <c r="S147"/>
      <c r="U147"/>
      <c r="V147"/>
      <c r="W147"/>
      <c r="X147"/>
      <c r="Y147"/>
    </row>
    <row r="148" spans="1:25" s="6" customFormat="1" x14ac:dyDescent="0.25">
      <c r="A148"/>
      <c r="B148"/>
      <c r="C148"/>
      <c r="D148"/>
      <c r="E148"/>
      <c r="F148"/>
      <c r="G148"/>
      <c r="I148"/>
      <c r="J148"/>
      <c r="K148"/>
      <c r="L148"/>
      <c r="M148"/>
      <c r="O148"/>
      <c r="P148"/>
      <c r="Q148"/>
      <c r="R148"/>
      <c r="S148"/>
      <c r="U148"/>
      <c r="V148"/>
      <c r="W148"/>
      <c r="X148"/>
      <c r="Y148"/>
    </row>
    <row r="149" spans="1:25" s="6" customFormat="1" x14ac:dyDescent="0.25">
      <c r="A149"/>
      <c r="B149"/>
      <c r="C149"/>
      <c r="D149"/>
      <c r="E149"/>
      <c r="F149"/>
      <c r="G149"/>
      <c r="I149"/>
      <c r="J149"/>
      <c r="K149"/>
      <c r="L149"/>
      <c r="M149"/>
      <c r="O149"/>
      <c r="P149"/>
      <c r="Q149"/>
      <c r="R149"/>
      <c r="S149"/>
      <c r="U149"/>
      <c r="V149"/>
      <c r="W149"/>
      <c r="X149"/>
      <c r="Y149"/>
    </row>
    <row r="150" spans="1:25" s="6" customFormat="1" x14ac:dyDescent="0.25">
      <c r="A150"/>
      <c r="B150"/>
      <c r="C150"/>
      <c r="D150"/>
      <c r="E150"/>
      <c r="F150"/>
      <c r="G150"/>
      <c r="I150"/>
      <c r="J150"/>
      <c r="K150"/>
      <c r="L150"/>
      <c r="M150"/>
      <c r="O150"/>
      <c r="P150"/>
      <c r="Q150"/>
      <c r="R150"/>
      <c r="S150"/>
      <c r="U150"/>
      <c r="V150"/>
      <c r="W150"/>
      <c r="X150"/>
      <c r="Y150"/>
    </row>
    <row r="151" spans="1:25" s="6" customFormat="1" x14ac:dyDescent="0.25">
      <c r="A151"/>
      <c r="B151"/>
      <c r="C151"/>
      <c r="D151"/>
      <c r="E151"/>
      <c r="F151"/>
      <c r="G151"/>
      <c r="I151"/>
      <c r="J151"/>
      <c r="K151"/>
      <c r="L151"/>
      <c r="M151"/>
      <c r="O151"/>
      <c r="P151"/>
      <c r="Q151"/>
      <c r="R151"/>
      <c r="S151"/>
      <c r="U151"/>
      <c r="V151"/>
      <c r="W151"/>
      <c r="X151"/>
      <c r="Y151"/>
    </row>
    <row r="152" spans="1:25" s="6" customFormat="1" x14ac:dyDescent="0.25">
      <c r="A152"/>
      <c r="B152"/>
      <c r="C152"/>
      <c r="D152"/>
      <c r="E152"/>
      <c r="F152"/>
      <c r="G152"/>
      <c r="I152"/>
      <c r="J152"/>
      <c r="K152"/>
      <c r="L152"/>
      <c r="M152"/>
      <c r="O152"/>
      <c r="P152"/>
      <c r="Q152"/>
      <c r="R152"/>
      <c r="S152"/>
      <c r="U152"/>
      <c r="V152"/>
      <c r="W152"/>
      <c r="X152"/>
      <c r="Y152"/>
    </row>
    <row r="153" spans="1:25" s="6" customFormat="1" x14ac:dyDescent="0.25">
      <c r="A153"/>
      <c r="B153"/>
      <c r="C153"/>
      <c r="D153"/>
      <c r="E153"/>
      <c r="F153"/>
      <c r="G153"/>
      <c r="I153"/>
      <c r="J153"/>
      <c r="K153"/>
      <c r="L153"/>
      <c r="M153"/>
      <c r="O153"/>
      <c r="P153"/>
      <c r="Q153"/>
      <c r="R153"/>
      <c r="S153"/>
      <c r="U153"/>
      <c r="V153"/>
      <c r="W153"/>
      <c r="X153"/>
      <c r="Y153"/>
    </row>
    <row r="154" spans="1:25" s="6" customFormat="1" x14ac:dyDescent="0.25">
      <c r="A154"/>
      <c r="B154"/>
      <c r="C154"/>
      <c r="D154"/>
      <c r="E154"/>
      <c r="F154"/>
      <c r="G154"/>
      <c r="I154"/>
      <c r="J154"/>
      <c r="K154"/>
      <c r="L154"/>
      <c r="M154"/>
      <c r="O154"/>
      <c r="P154"/>
      <c r="Q154"/>
      <c r="R154"/>
      <c r="S154"/>
      <c r="U154"/>
      <c r="V154"/>
      <c r="W154"/>
      <c r="X154"/>
      <c r="Y154"/>
    </row>
    <row r="155" spans="1:25" s="6" customFormat="1" x14ac:dyDescent="0.25">
      <c r="A155"/>
      <c r="B155"/>
      <c r="C155"/>
      <c r="D155"/>
      <c r="E155"/>
      <c r="F155"/>
      <c r="G155"/>
      <c r="I155"/>
      <c r="J155"/>
      <c r="K155"/>
      <c r="L155"/>
      <c r="M155"/>
      <c r="O155"/>
      <c r="P155"/>
      <c r="Q155"/>
      <c r="R155"/>
      <c r="S155"/>
      <c r="U155"/>
      <c r="V155"/>
      <c r="W155"/>
      <c r="X155"/>
      <c r="Y155"/>
    </row>
    <row r="156" spans="1:25" s="6" customFormat="1" x14ac:dyDescent="0.25">
      <c r="A156"/>
      <c r="B156"/>
      <c r="C156"/>
      <c r="D156"/>
      <c r="E156"/>
      <c r="F156"/>
      <c r="G156"/>
      <c r="I156"/>
      <c r="J156"/>
      <c r="K156"/>
      <c r="L156"/>
      <c r="M156"/>
      <c r="O156"/>
      <c r="P156"/>
      <c r="Q156"/>
      <c r="R156"/>
      <c r="S156"/>
      <c r="U156"/>
      <c r="V156"/>
      <c r="W156"/>
      <c r="X156"/>
      <c r="Y156"/>
    </row>
    <row r="157" spans="1:25" s="6" customFormat="1" x14ac:dyDescent="0.25">
      <c r="A157"/>
      <c r="B157"/>
      <c r="C157"/>
      <c r="D157"/>
      <c r="E157"/>
      <c r="F157"/>
      <c r="G157"/>
      <c r="I157"/>
      <c r="J157"/>
      <c r="K157"/>
      <c r="L157"/>
      <c r="M157"/>
      <c r="O157"/>
      <c r="P157"/>
      <c r="Q157"/>
      <c r="R157"/>
      <c r="S157"/>
      <c r="U157"/>
      <c r="V157"/>
      <c r="W157"/>
      <c r="X157"/>
      <c r="Y157"/>
    </row>
    <row r="158" spans="1:25" s="6" customFormat="1" x14ac:dyDescent="0.25">
      <c r="A158"/>
      <c r="B158"/>
      <c r="C158"/>
      <c r="D158"/>
      <c r="E158"/>
      <c r="F158"/>
      <c r="G158"/>
      <c r="I158"/>
      <c r="J158"/>
      <c r="K158"/>
      <c r="L158"/>
      <c r="M158"/>
      <c r="O158"/>
      <c r="P158"/>
      <c r="Q158"/>
      <c r="R158"/>
      <c r="S158"/>
      <c r="U158"/>
      <c r="V158"/>
      <c r="W158"/>
      <c r="X158"/>
      <c r="Y158"/>
    </row>
    <row r="159" spans="1:25" s="6" customFormat="1" x14ac:dyDescent="0.25">
      <c r="A159"/>
      <c r="B159"/>
      <c r="C159"/>
      <c r="D159"/>
      <c r="E159"/>
      <c r="F159"/>
      <c r="G159"/>
      <c r="I159"/>
      <c r="J159"/>
      <c r="K159"/>
      <c r="L159"/>
      <c r="M159"/>
      <c r="O159"/>
      <c r="P159"/>
      <c r="Q159"/>
      <c r="R159"/>
      <c r="S159"/>
      <c r="U159"/>
      <c r="V159"/>
      <c r="W159"/>
      <c r="X159"/>
      <c r="Y159"/>
    </row>
    <row r="160" spans="1:25" s="6" customFormat="1" x14ac:dyDescent="0.25">
      <c r="A160"/>
      <c r="B160"/>
      <c r="C160"/>
      <c r="D160"/>
      <c r="E160"/>
      <c r="F160"/>
      <c r="G160"/>
      <c r="I160"/>
      <c r="J160"/>
      <c r="K160"/>
      <c r="L160"/>
      <c r="M160"/>
      <c r="O160"/>
      <c r="P160"/>
      <c r="Q160"/>
      <c r="R160"/>
      <c r="S160"/>
      <c r="U160"/>
      <c r="V160"/>
      <c r="W160"/>
      <c r="X160"/>
      <c r="Y160"/>
    </row>
    <row r="161" spans="1:25" s="6" customFormat="1" x14ac:dyDescent="0.25">
      <c r="A161"/>
      <c r="B161"/>
      <c r="C161"/>
      <c r="D161"/>
      <c r="E161"/>
      <c r="F161"/>
      <c r="G161"/>
      <c r="I161"/>
      <c r="J161"/>
      <c r="K161"/>
      <c r="L161"/>
      <c r="M161"/>
      <c r="O161"/>
      <c r="P161"/>
      <c r="Q161"/>
      <c r="R161"/>
      <c r="S161"/>
      <c r="U161"/>
      <c r="V161"/>
      <c r="W161"/>
      <c r="X161"/>
      <c r="Y161"/>
    </row>
    <row r="162" spans="1:25" s="6" customFormat="1" x14ac:dyDescent="0.25">
      <c r="A162"/>
      <c r="B162"/>
      <c r="C162"/>
      <c r="D162"/>
      <c r="E162"/>
      <c r="F162"/>
      <c r="G162"/>
      <c r="I162"/>
      <c r="J162"/>
      <c r="K162"/>
      <c r="L162"/>
      <c r="M162"/>
      <c r="O162"/>
      <c r="P162"/>
      <c r="Q162"/>
      <c r="R162"/>
      <c r="S162"/>
      <c r="U162"/>
      <c r="V162"/>
      <c r="W162"/>
      <c r="X162"/>
      <c r="Y162"/>
    </row>
    <row r="163" spans="1:25" s="6" customFormat="1" x14ac:dyDescent="0.25">
      <c r="A163"/>
      <c r="B163"/>
      <c r="C163"/>
      <c r="D163"/>
      <c r="E163"/>
      <c r="F163"/>
      <c r="G163"/>
      <c r="I163"/>
      <c r="J163"/>
      <c r="K163"/>
      <c r="L163"/>
      <c r="M163"/>
      <c r="O163"/>
      <c r="P163"/>
      <c r="Q163"/>
      <c r="R163"/>
      <c r="S163"/>
      <c r="U163"/>
      <c r="V163"/>
      <c r="W163"/>
      <c r="X163"/>
      <c r="Y163"/>
    </row>
    <row r="164" spans="1:25" s="6" customFormat="1" x14ac:dyDescent="0.25">
      <c r="A164"/>
      <c r="B164"/>
      <c r="C164"/>
      <c r="D164"/>
      <c r="E164"/>
      <c r="F164"/>
      <c r="G164"/>
      <c r="I164"/>
      <c r="J164"/>
      <c r="K164"/>
      <c r="L164"/>
      <c r="M164"/>
      <c r="O164"/>
      <c r="P164"/>
      <c r="Q164"/>
      <c r="R164"/>
      <c r="S164"/>
      <c r="U164"/>
      <c r="V164"/>
      <c r="W164"/>
      <c r="X164"/>
      <c r="Y164"/>
    </row>
    <row r="165" spans="1:25" s="6" customFormat="1" x14ac:dyDescent="0.25">
      <c r="A165"/>
      <c r="B165"/>
      <c r="C165"/>
      <c r="D165"/>
      <c r="E165"/>
      <c r="F165"/>
      <c r="G165"/>
      <c r="I165"/>
      <c r="J165"/>
      <c r="K165"/>
      <c r="L165"/>
      <c r="M165"/>
      <c r="O165"/>
      <c r="P165"/>
      <c r="Q165"/>
      <c r="R165"/>
      <c r="S165"/>
      <c r="U165"/>
      <c r="V165"/>
      <c r="W165"/>
      <c r="X165"/>
      <c r="Y165"/>
    </row>
    <row r="237" spans="1:31" s="6" customFormat="1" x14ac:dyDescent="0.25">
      <c r="A237"/>
      <c r="B237"/>
      <c r="C237"/>
      <c r="D237"/>
      <c r="E237"/>
      <c r="F237"/>
      <c r="G237"/>
      <c r="I237"/>
      <c r="J237"/>
      <c r="K237"/>
      <c r="L237"/>
      <c r="M237"/>
      <c r="O237"/>
      <c r="P237"/>
      <c r="Q237"/>
      <c r="R237"/>
      <c r="S237"/>
      <c r="U237"/>
      <c r="V237"/>
      <c r="W237"/>
      <c r="X237"/>
      <c r="Y237"/>
      <c r="AA237"/>
      <c r="AB237"/>
      <c r="AC237"/>
      <c r="AD237"/>
      <c r="AE237"/>
    </row>
    <row r="238" spans="1:31" s="6" customFormat="1" x14ac:dyDescent="0.25">
      <c r="A238"/>
      <c r="B238"/>
      <c r="C238"/>
      <c r="D238"/>
      <c r="E238"/>
      <c r="F238"/>
      <c r="G238"/>
      <c r="I238"/>
      <c r="J238"/>
      <c r="K238"/>
      <c r="L238"/>
      <c r="M238"/>
      <c r="O238"/>
      <c r="P238"/>
      <c r="Q238"/>
      <c r="R238"/>
      <c r="S238"/>
      <c r="U238"/>
      <c r="V238"/>
      <c r="W238"/>
      <c r="X238"/>
      <c r="Y238"/>
      <c r="AA238"/>
      <c r="AB238"/>
      <c r="AC238"/>
      <c r="AD238"/>
      <c r="AE238"/>
    </row>
    <row r="239" spans="1:31" s="6" customFormat="1" x14ac:dyDescent="0.25">
      <c r="A239"/>
      <c r="B239"/>
      <c r="C239"/>
      <c r="D239"/>
      <c r="E239"/>
      <c r="F239"/>
      <c r="G239"/>
      <c r="I239"/>
      <c r="J239"/>
      <c r="K239"/>
      <c r="L239"/>
      <c r="M239"/>
      <c r="O239"/>
      <c r="P239"/>
      <c r="Q239"/>
      <c r="R239"/>
      <c r="S239"/>
      <c r="U239"/>
      <c r="V239"/>
      <c r="W239"/>
      <c r="X239"/>
      <c r="Y239"/>
      <c r="AA239"/>
      <c r="AB239"/>
      <c r="AC239"/>
      <c r="AD239"/>
      <c r="AE239"/>
    </row>
    <row r="240" spans="1:31" s="6" customFormat="1" x14ac:dyDescent="0.25">
      <c r="A240"/>
      <c r="B240"/>
      <c r="C240"/>
      <c r="D240"/>
      <c r="E240"/>
      <c r="F240"/>
      <c r="G240"/>
      <c r="I240"/>
      <c r="J240"/>
      <c r="K240"/>
      <c r="L240"/>
      <c r="M240"/>
      <c r="O240"/>
      <c r="P240"/>
      <c r="Q240"/>
      <c r="R240"/>
      <c r="S240"/>
      <c r="U240"/>
      <c r="V240"/>
      <c r="W240"/>
      <c r="X240"/>
      <c r="Y240"/>
      <c r="AA240"/>
      <c r="AB240"/>
      <c r="AC240"/>
      <c r="AD240"/>
      <c r="AE240"/>
    </row>
    <row r="241" spans="1:31" s="6" customFormat="1" x14ac:dyDescent="0.25">
      <c r="A241"/>
      <c r="B241"/>
      <c r="C241"/>
      <c r="D241"/>
      <c r="E241"/>
      <c r="F241"/>
      <c r="G241"/>
      <c r="I241"/>
      <c r="J241"/>
      <c r="K241"/>
      <c r="L241"/>
      <c r="M241"/>
      <c r="O241"/>
      <c r="P241"/>
      <c r="Q241"/>
      <c r="R241"/>
      <c r="S241"/>
      <c r="U241"/>
      <c r="V241"/>
      <c r="W241"/>
      <c r="X241"/>
      <c r="Y241"/>
      <c r="AA241"/>
      <c r="AB241"/>
      <c r="AC241"/>
      <c r="AD241"/>
      <c r="AE241"/>
    </row>
    <row r="242" spans="1:31" s="6" customFormat="1" x14ac:dyDescent="0.25">
      <c r="A242"/>
      <c r="B242"/>
      <c r="C242"/>
      <c r="D242"/>
      <c r="E242"/>
      <c r="F242"/>
      <c r="G242"/>
      <c r="I242"/>
      <c r="J242"/>
      <c r="K242"/>
      <c r="L242"/>
      <c r="M242"/>
      <c r="O242"/>
      <c r="P242"/>
      <c r="Q242"/>
      <c r="R242"/>
      <c r="S242"/>
      <c r="U242"/>
      <c r="V242"/>
      <c r="W242"/>
      <c r="X242"/>
      <c r="Y242"/>
      <c r="AA242"/>
      <c r="AB242"/>
      <c r="AC242"/>
      <c r="AD242"/>
      <c r="AE242"/>
    </row>
    <row r="243" spans="1:31" s="6" customFormat="1" x14ac:dyDescent="0.25">
      <c r="A243"/>
      <c r="B243"/>
      <c r="C243"/>
      <c r="D243"/>
      <c r="E243"/>
      <c r="F243"/>
      <c r="G243"/>
      <c r="I243"/>
      <c r="J243"/>
      <c r="K243"/>
      <c r="L243"/>
      <c r="M243"/>
      <c r="O243"/>
      <c r="P243"/>
      <c r="Q243"/>
      <c r="R243"/>
      <c r="S243"/>
      <c r="U243"/>
      <c r="V243"/>
      <c r="W243"/>
      <c r="X243"/>
      <c r="Y243"/>
      <c r="AA243"/>
      <c r="AB243"/>
      <c r="AC243"/>
      <c r="AD243"/>
      <c r="AE243"/>
    </row>
    <row r="244" spans="1:31" s="6" customFormat="1" x14ac:dyDescent="0.25">
      <c r="A244"/>
      <c r="B244"/>
      <c r="C244"/>
      <c r="D244"/>
      <c r="E244"/>
      <c r="F244"/>
      <c r="G244"/>
      <c r="I244"/>
      <c r="J244"/>
      <c r="K244"/>
      <c r="L244"/>
      <c r="M244"/>
      <c r="O244"/>
      <c r="P244"/>
      <c r="Q244"/>
      <c r="R244"/>
      <c r="S244"/>
      <c r="U244"/>
      <c r="V244"/>
      <c r="W244"/>
      <c r="X244"/>
      <c r="Y244"/>
      <c r="AA244"/>
      <c r="AB244"/>
      <c r="AC244"/>
      <c r="AD244"/>
      <c r="AE244"/>
    </row>
    <row r="245" spans="1:31" s="6" customFormat="1" x14ac:dyDescent="0.25">
      <c r="A245"/>
      <c r="B245"/>
      <c r="C245"/>
      <c r="D245"/>
      <c r="E245"/>
      <c r="F245"/>
      <c r="G245"/>
      <c r="I245"/>
      <c r="J245"/>
      <c r="K245"/>
      <c r="L245"/>
      <c r="M245"/>
      <c r="O245"/>
      <c r="P245"/>
      <c r="Q245"/>
      <c r="R245"/>
      <c r="S245"/>
      <c r="U245"/>
      <c r="V245"/>
      <c r="W245"/>
      <c r="X245"/>
      <c r="Y245"/>
      <c r="AA245"/>
      <c r="AB245"/>
      <c r="AC245"/>
      <c r="AD245"/>
      <c r="AE245"/>
    </row>
    <row r="246" spans="1:31" s="6" customFormat="1" x14ac:dyDescent="0.25">
      <c r="A246"/>
      <c r="B246"/>
      <c r="C246"/>
      <c r="D246"/>
      <c r="E246"/>
      <c r="F246"/>
      <c r="G246"/>
      <c r="I246"/>
      <c r="J246"/>
      <c r="K246"/>
      <c r="L246"/>
      <c r="M246"/>
      <c r="O246"/>
      <c r="P246"/>
      <c r="Q246"/>
      <c r="R246"/>
      <c r="S246"/>
      <c r="U246"/>
      <c r="V246"/>
      <c r="W246"/>
      <c r="X246"/>
      <c r="Y246"/>
      <c r="AA246"/>
      <c r="AB246"/>
      <c r="AC246"/>
      <c r="AD246"/>
      <c r="AE246"/>
    </row>
    <row r="247" spans="1:31" s="6" customFormat="1" x14ac:dyDescent="0.25">
      <c r="A247"/>
      <c r="B247"/>
      <c r="C247"/>
      <c r="D247"/>
      <c r="E247"/>
      <c r="F247"/>
      <c r="G247"/>
      <c r="I247"/>
      <c r="J247"/>
      <c r="K247"/>
      <c r="L247"/>
      <c r="M247"/>
      <c r="O247"/>
      <c r="P247"/>
      <c r="Q247"/>
      <c r="R247"/>
      <c r="S247"/>
      <c r="U247"/>
      <c r="V247"/>
      <c r="W247"/>
      <c r="X247"/>
      <c r="Y247"/>
      <c r="AA247"/>
      <c r="AB247"/>
      <c r="AC247"/>
      <c r="AD247"/>
      <c r="AE247"/>
    </row>
    <row r="248" spans="1:31" s="6" customFormat="1" x14ac:dyDescent="0.25">
      <c r="A248"/>
      <c r="B248"/>
      <c r="C248"/>
      <c r="D248"/>
      <c r="E248"/>
      <c r="F248"/>
      <c r="G248"/>
      <c r="I248"/>
      <c r="J248"/>
      <c r="K248"/>
      <c r="L248"/>
      <c r="M248"/>
      <c r="O248"/>
      <c r="P248"/>
      <c r="Q248"/>
      <c r="R248"/>
      <c r="S248"/>
      <c r="U248"/>
      <c r="V248"/>
      <c r="W248"/>
      <c r="X248"/>
      <c r="Y248"/>
      <c r="AA248"/>
      <c r="AB248"/>
      <c r="AC248"/>
      <c r="AD248"/>
      <c r="AE248"/>
    </row>
    <row r="249" spans="1:31" s="6" customFormat="1" x14ac:dyDescent="0.25">
      <c r="A249"/>
      <c r="B249"/>
      <c r="C249"/>
      <c r="D249"/>
      <c r="E249"/>
      <c r="F249"/>
      <c r="G249"/>
      <c r="I249"/>
      <c r="J249"/>
      <c r="K249"/>
      <c r="L249"/>
      <c r="M249"/>
      <c r="O249"/>
      <c r="P249"/>
      <c r="Q249"/>
      <c r="R249"/>
      <c r="S249"/>
      <c r="U249"/>
      <c r="V249"/>
      <c r="W249"/>
      <c r="X249"/>
      <c r="Y249"/>
      <c r="AA249"/>
      <c r="AB249"/>
      <c r="AC249"/>
      <c r="AD249"/>
      <c r="AE249"/>
    </row>
  </sheetData>
  <mergeCells count="5">
    <mergeCell ref="B10:F10"/>
    <mergeCell ref="I10:M10"/>
    <mergeCell ref="O10:S10"/>
    <mergeCell ref="U10:Y10"/>
    <mergeCell ref="AA10:AE10"/>
  </mergeCells>
  <pageMargins left="0.7" right="0.7" top="0.75" bottom="0.75" header="0.3" footer="0.3"/>
  <pageSetup paperSize="9" orientation="portrait" horizontalDpi="300" r:id="rId1"/>
  <drawing r:id="rId2"/>
  <tableParts count="5">
    <tablePart r:id="rId3"/>
    <tablePart r:id="rId4"/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03E7-485A-4D94-8BC7-A68F95F09FF5}">
  <dimension ref="A1:AE196"/>
  <sheetViews>
    <sheetView showGridLines="0" tabSelected="1" zoomScale="115" zoomScaleNormal="115" workbookViewId="0">
      <selection activeCell="C3" sqref="C3"/>
    </sheetView>
  </sheetViews>
  <sheetFormatPr baseColWidth="10" defaultRowHeight="15" x14ac:dyDescent="0.25"/>
  <cols>
    <col min="1" max="1" width="4.5703125" customWidth="1"/>
    <col min="2" max="2" width="30.5703125" customWidth="1"/>
    <col min="3" max="3" width="14" bestFit="1" customWidth="1"/>
    <col min="4" max="4" width="12.140625" bestFit="1" customWidth="1"/>
    <col min="5" max="5" width="11.5703125" customWidth="1"/>
    <col min="6" max="6" width="13" bestFit="1" customWidth="1"/>
    <col min="7" max="7" width="13" customWidth="1"/>
    <col min="8" max="8" width="2.5703125" style="6" customWidth="1"/>
    <col min="9" max="9" width="12.7109375" customWidth="1"/>
    <col min="12" max="12" width="12.85546875" customWidth="1"/>
    <col min="14" max="14" width="2.5703125" style="6" customWidth="1"/>
    <col min="15" max="15" width="15.42578125" bestFit="1" customWidth="1"/>
    <col min="16" max="16" width="12.28515625" bestFit="1" customWidth="1"/>
    <col min="18" max="18" width="15.7109375" bestFit="1" customWidth="1"/>
    <col min="20" max="20" width="2.85546875" style="6" customWidth="1"/>
    <col min="26" max="26" width="3.140625" style="6" customWidth="1"/>
    <col min="27" max="27" width="13.85546875" customWidth="1"/>
    <col min="30" max="30" width="14" customWidth="1"/>
  </cols>
  <sheetData>
    <row r="1" spans="1:31" x14ac:dyDescent="0.25">
      <c r="H1"/>
      <c r="N1"/>
      <c r="T1" s="50"/>
      <c r="Z1" s="50"/>
    </row>
    <row r="2" spans="1:31" x14ac:dyDescent="0.25">
      <c r="C2" s="15" t="s">
        <v>2</v>
      </c>
      <c r="D2" s="16" t="s">
        <v>0</v>
      </c>
      <c r="E2" s="16" t="s">
        <v>1</v>
      </c>
      <c r="F2" s="16" t="s">
        <v>3</v>
      </c>
      <c r="G2" s="37" t="s">
        <v>20</v>
      </c>
      <c r="H2"/>
      <c r="N2"/>
      <c r="T2" s="50"/>
      <c r="Z2" s="50"/>
    </row>
    <row r="3" spans="1:31" x14ac:dyDescent="0.25">
      <c r="B3" s="25" t="str">
        <f>+B10</f>
        <v>EXTRACTO BBVA</v>
      </c>
      <c r="C3" s="14">
        <v>308611.89</v>
      </c>
      <c r="D3" s="14">
        <v>63012.6</v>
      </c>
      <c r="E3" s="14">
        <v>897.94844999999987</v>
      </c>
      <c r="F3" s="14">
        <v>3993.05</v>
      </c>
      <c r="G3" s="38">
        <v>9012.77</v>
      </c>
      <c r="H3"/>
      <c r="I3" t="s">
        <v>5</v>
      </c>
      <c r="N3"/>
      <c r="T3" s="50"/>
      <c r="Z3" s="50"/>
    </row>
    <row r="4" spans="1:31" x14ac:dyDescent="0.25">
      <c r="B4" s="25" t="str">
        <f>+I10</f>
        <v>Extracto santander</v>
      </c>
      <c r="C4" s="14">
        <v>72178.91</v>
      </c>
      <c r="D4" s="14">
        <v>15108.45</v>
      </c>
      <c r="E4" s="14">
        <v>24.560549999999999</v>
      </c>
      <c r="F4" s="14">
        <v>2158</v>
      </c>
      <c r="G4" s="14">
        <v>2158.35</v>
      </c>
      <c r="H4"/>
      <c r="N4"/>
      <c r="T4" s="50"/>
      <c r="Z4" s="50"/>
    </row>
    <row r="5" spans="1:31" x14ac:dyDescent="0.25">
      <c r="B5" s="25" t="s">
        <v>24</v>
      </c>
      <c r="C5" s="14">
        <v>7128.1</v>
      </c>
      <c r="D5" s="14">
        <v>1496.9010000000001</v>
      </c>
      <c r="E5" s="14">
        <v>0</v>
      </c>
      <c r="F5" s="14">
        <v>9334.93</v>
      </c>
      <c r="G5" s="14">
        <v>213.84</v>
      </c>
      <c r="H5"/>
      <c r="N5"/>
      <c r="T5" s="50"/>
      <c r="Z5" s="50"/>
    </row>
    <row r="6" spans="1:31" x14ac:dyDescent="0.25">
      <c r="B6" s="28" t="s">
        <v>22</v>
      </c>
      <c r="C6" s="14">
        <v>55721.72</v>
      </c>
      <c r="D6" s="14">
        <v>11550</v>
      </c>
      <c r="E6" s="14">
        <v>75.780600000000007</v>
      </c>
      <c r="F6" s="14">
        <v>1650</v>
      </c>
      <c r="G6" s="38">
        <v>1650</v>
      </c>
      <c r="H6"/>
      <c r="N6"/>
      <c r="T6" s="50"/>
      <c r="Z6" s="50"/>
    </row>
    <row r="7" spans="1:31" x14ac:dyDescent="0.25">
      <c r="B7" s="28" t="s">
        <v>13</v>
      </c>
      <c r="C7" s="14">
        <v>5289</v>
      </c>
      <c r="D7" s="14">
        <v>1110.69</v>
      </c>
      <c r="E7" s="14">
        <v>0</v>
      </c>
      <c r="F7" s="14">
        <v>378.17</v>
      </c>
      <c r="G7" s="38">
        <v>158.66999999999999</v>
      </c>
      <c r="H7"/>
      <c r="N7"/>
      <c r="T7" s="50"/>
      <c r="Z7" s="50"/>
    </row>
    <row r="8" spans="1:31" x14ac:dyDescent="0.25">
      <c r="A8" s="26"/>
      <c r="B8" s="26"/>
      <c r="C8" s="27">
        <f>SUM(C3:C7)</f>
        <v>448929.62</v>
      </c>
      <c r="D8" s="27">
        <f>SUM(D3:D7)</f>
        <v>92278.641000000003</v>
      </c>
      <c r="E8" s="27">
        <f>SUM(E3:E7)</f>
        <v>998.28959999999995</v>
      </c>
      <c r="F8" s="27">
        <f>SUM(F3:F7)</f>
        <v>17514.149999999998</v>
      </c>
      <c r="G8" s="27">
        <f>SUM(G3:G7)</f>
        <v>13193.630000000001</v>
      </c>
      <c r="H8"/>
      <c r="N8"/>
      <c r="T8" s="50"/>
      <c r="Z8" s="50"/>
    </row>
    <row r="9" spans="1:31" x14ac:dyDescent="0.25">
      <c r="A9" s="26"/>
      <c r="B9" s="26"/>
      <c r="H9"/>
      <c r="N9"/>
      <c r="T9" s="50"/>
      <c r="Z9" s="50"/>
    </row>
    <row r="10" spans="1:31" ht="16.5" customHeight="1" x14ac:dyDescent="0.3">
      <c r="B10" s="52" t="s">
        <v>14</v>
      </c>
      <c r="C10" s="52"/>
      <c r="D10" s="52"/>
      <c r="E10" s="52"/>
      <c r="F10" s="52"/>
      <c r="G10" s="39"/>
      <c r="I10" s="52" t="s">
        <v>23</v>
      </c>
      <c r="J10" s="52"/>
      <c r="K10" s="52"/>
      <c r="L10" s="52"/>
      <c r="M10" s="52"/>
      <c r="O10" s="52" t="s">
        <v>21</v>
      </c>
      <c r="P10" s="52"/>
      <c r="Q10" s="52"/>
      <c r="R10" s="52"/>
      <c r="S10" s="52"/>
      <c r="T10" s="43"/>
      <c r="U10" s="52" t="s">
        <v>24</v>
      </c>
      <c r="V10" s="52"/>
      <c r="W10" s="52"/>
      <c r="X10" s="52"/>
      <c r="Y10" s="52"/>
      <c r="AA10" s="52" t="s">
        <v>13</v>
      </c>
      <c r="AB10" s="52"/>
      <c r="AC10" s="52"/>
      <c r="AD10" s="52"/>
      <c r="AE10" s="52"/>
    </row>
    <row r="11" spans="1:31" s="5" customFormat="1" x14ac:dyDescent="0.25">
      <c r="B11" s="10" t="s">
        <v>2</v>
      </c>
      <c r="C11" s="9" t="s">
        <v>0</v>
      </c>
      <c r="D11" s="9" t="s">
        <v>1</v>
      </c>
      <c r="E11" s="9" t="s">
        <v>3</v>
      </c>
      <c r="F11" s="9" t="s">
        <v>4</v>
      </c>
      <c r="G11" s="9"/>
      <c r="H11" s="7"/>
      <c r="I11" s="12" t="s">
        <v>2</v>
      </c>
      <c r="J11" s="13" t="s">
        <v>0</v>
      </c>
      <c r="K11" s="13" t="s">
        <v>1</v>
      </c>
      <c r="L11" s="13" t="s">
        <v>3</v>
      </c>
      <c r="M11" s="13" t="s">
        <v>4</v>
      </c>
      <c r="N11" s="7"/>
      <c r="O11" s="12" t="s">
        <v>2</v>
      </c>
      <c r="P11" s="13" t="s">
        <v>0</v>
      </c>
      <c r="Q11" s="13" t="s">
        <v>1</v>
      </c>
      <c r="R11" s="13" t="s">
        <v>3</v>
      </c>
      <c r="S11" s="13" t="s">
        <v>4</v>
      </c>
      <c r="T11" s="44"/>
      <c r="U11" s="12" t="s">
        <v>2</v>
      </c>
      <c r="V11" s="13" t="s">
        <v>0</v>
      </c>
      <c r="W11" s="13" t="s">
        <v>1</v>
      </c>
      <c r="X11" s="13" t="s">
        <v>3</v>
      </c>
      <c r="Y11" s="13" t="s">
        <v>4</v>
      </c>
      <c r="Z11" s="51"/>
      <c r="AA11" s="5" t="s">
        <v>2</v>
      </c>
      <c r="AB11" s="5" t="s">
        <v>0</v>
      </c>
      <c r="AC11" s="5" t="s">
        <v>1</v>
      </c>
      <c r="AD11" s="5" t="s">
        <v>3</v>
      </c>
      <c r="AE11" s="5" t="s">
        <v>4</v>
      </c>
    </row>
    <row r="12" spans="1:31" x14ac:dyDescent="0.25">
      <c r="B12" s="2">
        <v>10</v>
      </c>
      <c r="C12" s="2">
        <f>Tabla1316243221222335262728221222324252626370779297[[#This Row],[COMISIONES]]*0.21</f>
        <v>2.1</v>
      </c>
      <c r="D12" s="3"/>
      <c r="E12" s="3">
        <v>256.55</v>
      </c>
      <c r="F12" s="1">
        <v>128.27000000000001</v>
      </c>
      <c r="G12" s="1"/>
      <c r="H12" s="8"/>
      <c r="I12" s="3">
        <v>233.91</v>
      </c>
      <c r="J12" s="11" t="s">
        <v>18</v>
      </c>
      <c r="K12" s="11">
        <f>Tabla351018263641424445464748441424344454646572789398[[#This Row],[COMISIONES]]*0.105</f>
        <v>24.560549999999999</v>
      </c>
      <c r="L12" s="1">
        <v>1725</v>
      </c>
      <c r="M12" s="1">
        <v>1725</v>
      </c>
      <c r="N12" s="8"/>
      <c r="O12" s="3">
        <v>55000</v>
      </c>
      <c r="P12" s="11">
        <f>Tabla3568131422304081828485868788881828384858686673799499[[#This Row],[COMISIONES]]*0.21</f>
        <v>11550</v>
      </c>
      <c r="Q12" s="11"/>
      <c r="R12" s="1">
        <v>1650</v>
      </c>
      <c r="S12" s="11">
        <v>1650</v>
      </c>
      <c r="T12" s="45"/>
      <c r="U12" s="11">
        <v>7128.1</v>
      </c>
      <c r="V12" s="11">
        <f>Tabla356111927344311213151617181911121314151617167758095100[[#This Row],[COMISIONES]]*0.21</f>
        <v>1496.9010000000001</v>
      </c>
      <c r="W12" s="11"/>
      <c r="X12" s="11">
        <v>1090.8800000000001</v>
      </c>
      <c r="Y12" s="11">
        <v>213.84</v>
      </c>
      <c r="AA12" s="3">
        <v>5289</v>
      </c>
      <c r="AB12" s="3">
        <f>Tabla7369768196101[[#This Row],[COMISIONES]]*0.21</f>
        <v>1110.69</v>
      </c>
      <c r="AC12" s="3"/>
      <c r="AD12" s="3">
        <v>378.17</v>
      </c>
      <c r="AE12" s="3">
        <v>158.66999999999999</v>
      </c>
    </row>
    <row r="13" spans="1:31" x14ac:dyDescent="0.25">
      <c r="B13" s="3">
        <v>8551.89</v>
      </c>
      <c r="C13" s="2"/>
      <c r="D13" s="3">
        <f>Tabla1316243221222335262728221222324252626370779297[[#This Row],[COMISIONES]]*0.105</f>
        <v>897.94844999999987</v>
      </c>
      <c r="E13" s="3">
        <v>1770</v>
      </c>
      <c r="F13" s="3">
        <v>1770</v>
      </c>
      <c r="G13" s="3"/>
      <c r="H13" s="8"/>
      <c r="I13" s="11">
        <v>57500</v>
      </c>
      <c r="J13" s="11">
        <f>Tabla351018263641424445464748441424344454646572789398[[#This Row],[COMISIONES]]*0.21</f>
        <v>12075</v>
      </c>
      <c r="K13" s="11"/>
      <c r="L13" s="1"/>
      <c r="N13" s="8"/>
      <c r="O13" s="11">
        <v>721.72</v>
      </c>
      <c r="P13" s="11"/>
      <c r="Q13" s="11">
        <f>Tabla3568131422304081828485868788881828384858686673799499[[#This Row],[COMISIONES]]*0.105</f>
        <v>75.780600000000007</v>
      </c>
      <c r="R13" s="11"/>
      <c r="S13" s="11"/>
      <c r="T13" s="45"/>
      <c r="U13" s="11"/>
      <c r="V13" s="11">
        <f>Tabla356111927344311213151617181911121314151617167758095100[[#This Row],[COMISIONES]]*0.21</f>
        <v>0</v>
      </c>
      <c r="W13" s="11"/>
      <c r="X13" s="11">
        <v>8244.0499999999993</v>
      </c>
      <c r="Y13" s="11" t="s">
        <v>18</v>
      </c>
      <c r="AA13" s="3"/>
      <c r="AB13" s="3">
        <f>Tabla7369768196101[[#This Row],[COMISIONES]]*0.21</f>
        <v>0</v>
      </c>
      <c r="AC13" s="3"/>
      <c r="AD13" s="3"/>
      <c r="AE13" s="3"/>
    </row>
    <row r="14" spans="1:31" x14ac:dyDescent="0.25">
      <c r="B14" s="3">
        <v>59000</v>
      </c>
      <c r="C14" s="2">
        <f>Tabla1316243221222335262728221222324252626370779297[[#This Row],[COMISIONES]]*0.21</f>
        <v>12390</v>
      </c>
      <c r="D14" s="3"/>
      <c r="E14" s="3">
        <v>1966.5</v>
      </c>
      <c r="F14" s="3">
        <v>1966.5</v>
      </c>
      <c r="G14" s="3"/>
      <c r="I14" s="1">
        <v>14445</v>
      </c>
      <c r="J14" s="11">
        <f>Tabla351018263641424445464748441424344454646572789398[[#This Row],[COMISIONES]]*0.21</f>
        <v>3033.45</v>
      </c>
      <c r="K14" s="11"/>
      <c r="L14" s="11">
        <v>433</v>
      </c>
      <c r="M14" s="23">
        <v>433.35</v>
      </c>
      <c r="O14" s="11"/>
      <c r="P14" s="11">
        <f>Tabla3568131422304081828485868788881828384858686673799499[[#This Row],[COMISIONES]]*0.21</f>
        <v>0</v>
      </c>
      <c r="Q14" s="11"/>
      <c r="R14" s="11"/>
      <c r="S14" s="11"/>
      <c r="T14" s="45"/>
      <c r="U14" s="11"/>
      <c r="V14" s="11">
        <f>Tabla356111927344311213151617181911121314151617167758095100[[#This Row],[COMISIONES]]*0.21</f>
        <v>0</v>
      </c>
      <c r="W14" s="11"/>
      <c r="X14" s="11"/>
      <c r="Y14" s="11"/>
      <c r="AA14" s="3"/>
      <c r="AB14" s="3">
        <f>Tabla7369768196101[[#This Row],[COMISIONES]]*0.21</f>
        <v>0</v>
      </c>
      <c r="AC14" s="3"/>
      <c r="AD14" s="3"/>
      <c r="AE14" s="3"/>
    </row>
    <row r="15" spans="1:31" x14ac:dyDescent="0.25">
      <c r="B15" s="3">
        <v>65550</v>
      </c>
      <c r="C15" s="2">
        <f>Tabla1316243221222335262728221222324252626370779297[[#This Row],[COMISIONES]]*0.21</f>
        <v>13765.5</v>
      </c>
      <c r="D15" s="3"/>
      <c r="E15" s="3"/>
      <c r="F15" s="3">
        <v>2574</v>
      </c>
      <c r="G15" s="3"/>
      <c r="H15" s="8"/>
      <c r="I15" s="1"/>
      <c r="J15" s="11">
        <f>Tabla351018263641424445464748441424344454646572789398[[#This Row],[COMISIONES]]*0.21</f>
        <v>0</v>
      </c>
      <c r="K15" s="11"/>
      <c r="L15" s="11"/>
      <c r="M15" s="23"/>
      <c r="N15" s="8"/>
      <c r="O15" s="11"/>
      <c r="P15" s="11">
        <f>Tabla3568131422304081828485868788881828384858686673799499[[#This Row],[COMISIONES]]*0.21</f>
        <v>0</v>
      </c>
      <c r="Q15" s="11"/>
      <c r="R15" s="11"/>
      <c r="S15" s="11"/>
      <c r="T15" s="45"/>
      <c r="U15" s="11"/>
      <c r="V15" s="11">
        <f>Tabla356111927344311213151617181911121314151617167758095100[[#This Row],[COMISIONES]]*0.21</f>
        <v>0</v>
      </c>
      <c r="W15" s="11"/>
      <c r="X15" s="11"/>
      <c r="Y15" s="11"/>
      <c r="AA15" s="3"/>
      <c r="AB15" s="3">
        <f>Tabla7369768196101[[#This Row],[COMISIONES]]*0.21</f>
        <v>0</v>
      </c>
      <c r="AC15" s="3"/>
      <c r="AD15" s="3"/>
      <c r="AE15" s="3"/>
    </row>
    <row r="16" spans="1:31" x14ac:dyDescent="0.25">
      <c r="B16" s="3">
        <v>300</v>
      </c>
      <c r="C16" s="2">
        <f>Tabla1316243221222335262728221222324252626370779297[[#This Row],[COMISIONES]]*0.21</f>
        <v>63</v>
      </c>
      <c r="D16" s="3"/>
      <c r="E16" s="3"/>
      <c r="F16" s="3">
        <v>1287</v>
      </c>
      <c r="G16" s="3"/>
      <c r="I16" s="1"/>
      <c r="J16" s="11">
        <f>Tabla351018263641424445464748441424344454646572789398[[#This Row],[COMISIONES]]*0.21</f>
        <v>0</v>
      </c>
      <c r="K16" s="11"/>
      <c r="L16" s="11"/>
      <c r="M16" s="23"/>
      <c r="O16" s="11"/>
      <c r="P16" s="11">
        <f>Tabla3568131422304081828485868788881828384858686673799499[[#This Row],[COMISIONES]]*0.21</f>
        <v>0</v>
      </c>
      <c r="Q16" s="11"/>
      <c r="R16" s="11"/>
      <c r="S16" s="11"/>
      <c r="T16" s="45"/>
      <c r="U16" s="11"/>
      <c r="V16" s="11">
        <f>Tabla356111927344311213151617181911121314151617167758095100[[#This Row],[COMISIONES]]*0.21</f>
        <v>0</v>
      </c>
      <c r="W16" s="11"/>
      <c r="X16" s="11"/>
      <c r="Y16" s="11"/>
      <c r="AA16" s="3"/>
      <c r="AB16" s="3">
        <f>Tabla7369768196101[[#This Row],[COMISIONES]]*0.21</f>
        <v>0</v>
      </c>
      <c r="AC16" s="3"/>
      <c r="AD16" s="3"/>
      <c r="AE16" s="3"/>
    </row>
    <row r="17" spans="2:31" x14ac:dyDescent="0.25">
      <c r="B17" s="3">
        <v>300</v>
      </c>
      <c r="C17" s="2">
        <f>Tabla1316243221222335262728221222324252626370779297[[#This Row],[COMISIONES]]*0.21</f>
        <v>63</v>
      </c>
      <c r="D17" s="3"/>
      <c r="E17" s="3"/>
      <c r="F17" s="3">
        <v>1287</v>
      </c>
      <c r="G17" s="3"/>
      <c r="I17" s="11"/>
      <c r="J17" s="11">
        <f>Tabla351018263641424445464748441424344454646572789398[[#This Row],[COMISIONES]]*0.21</f>
        <v>0</v>
      </c>
      <c r="K17" s="11"/>
      <c r="L17" s="11"/>
      <c r="M17" s="11"/>
      <c r="O17" s="11"/>
      <c r="P17" s="11">
        <f>Tabla3568131422304081828485868788881828384858686673799499[[#This Row],[COMISIONES]]*0.21</f>
        <v>0</v>
      </c>
      <c r="Q17" s="11"/>
      <c r="R17" s="11"/>
      <c r="S17" s="11"/>
      <c r="T17" s="45"/>
      <c r="U17" s="11"/>
      <c r="V17" s="11">
        <f>Tabla356111927344311213151617181911121314151617167758095100[[#This Row],[COMISIONES]]*0.21</f>
        <v>0</v>
      </c>
      <c r="W17" s="11"/>
      <c r="X17" s="11"/>
      <c r="Y17" s="11"/>
      <c r="AA17" s="3"/>
      <c r="AB17" s="3">
        <f>Tabla7369768196101[[#This Row],[COMISIONES]]*0.21</f>
        <v>0</v>
      </c>
      <c r="AC17" s="3"/>
      <c r="AD17" s="3"/>
      <c r="AE17" s="3"/>
    </row>
    <row r="18" spans="2:31" x14ac:dyDescent="0.25">
      <c r="B18" s="3">
        <v>300</v>
      </c>
      <c r="C18" s="2">
        <f>Tabla1316243221222335262728221222324252626370779297[[#This Row],[COMISIONES]]*0.21</f>
        <v>63</v>
      </c>
      <c r="D18" s="3"/>
      <c r="E18" s="3"/>
      <c r="F18" s="3"/>
      <c r="G18" s="3"/>
      <c r="I18" s="11"/>
      <c r="J18" s="11">
        <f>Tabla351018263641424445464748441424344454646572789398[[#This Row],[COMISIONES]]*0.21</f>
        <v>0</v>
      </c>
      <c r="K18" s="11"/>
      <c r="L18" s="11"/>
      <c r="M18" s="11"/>
      <c r="O18" s="11"/>
      <c r="P18" s="11">
        <f>Tabla3568131422304081828485868788881828384858686673799499[[#This Row],[COMISIONES]]*0.21</f>
        <v>0</v>
      </c>
      <c r="Q18" s="11"/>
      <c r="R18" s="11"/>
      <c r="S18" s="11"/>
      <c r="T18" s="45"/>
      <c r="U18" s="11"/>
      <c r="V18" s="11">
        <f>Tabla356111927344311213151617181911121314151617167758095100[[#This Row],[COMISIONES]]*0.21</f>
        <v>0</v>
      </c>
      <c r="W18" s="11"/>
      <c r="X18" s="11"/>
      <c r="Y18" s="11"/>
      <c r="AA18" s="3"/>
      <c r="AB18" s="3">
        <f>Tabla7369768196101[[#This Row],[COMISIONES]]*0.21</f>
        <v>0</v>
      </c>
      <c r="AC18" s="3"/>
      <c r="AD18" s="3"/>
      <c r="AE18" s="3"/>
    </row>
    <row r="19" spans="2:31" x14ac:dyDescent="0.25">
      <c r="B19" s="3">
        <v>300</v>
      </c>
      <c r="C19" s="2">
        <f>Tabla1316243221222335262728221222324252626370779297[[#This Row],[COMISIONES]]*0.21</f>
        <v>63</v>
      </c>
      <c r="D19" s="3"/>
      <c r="E19" s="3"/>
      <c r="F19" s="3"/>
      <c r="G19" s="3"/>
      <c r="I19" s="11"/>
      <c r="J19" s="11">
        <f>Tabla351018263641424445464748441424344454646572789398[[#This Row],[COMISIONES]]*0.21</f>
        <v>0</v>
      </c>
      <c r="K19" s="11"/>
      <c r="L19" s="11"/>
      <c r="M19" s="11"/>
      <c r="O19" s="11"/>
      <c r="P19" s="11">
        <f>Tabla3568131422304081828485868788881828384858686673799499[[#This Row],[COMISIONES]]*0.21</f>
        <v>0</v>
      </c>
      <c r="Q19" s="11"/>
      <c r="R19" s="11"/>
      <c r="S19" s="11"/>
      <c r="T19" s="45"/>
      <c r="U19" s="11"/>
      <c r="V19" s="11">
        <f>Tabla356111927344311213151617181911121314151617167758095100[[#This Row],[COMISIONES]]*0.21</f>
        <v>0</v>
      </c>
      <c r="W19" s="11"/>
      <c r="X19" s="11"/>
      <c r="Y19" s="11"/>
      <c r="AA19" s="3"/>
      <c r="AB19" s="3">
        <f>Tabla7369768196101[[#This Row],[COMISIONES]]*0.21</f>
        <v>0</v>
      </c>
      <c r="AC19" s="3"/>
      <c r="AD19" s="3"/>
      <c r="AE19" s="3"/>
    </row>
    <row r="20" spans="2:31" x14ac:dyDescent="0.25">
      <c r="B20" s="3">
        <v>300</v>
      </c>
      <c r="C20" s="2">
        <f>Tabla1316243221222335262728221222324252626370779297[[#This Row],[COMISIONES]]*0.21</f>
        <v>63</v>
      </c>
      <c r="D20" s="3"/>
      <c r="E20" s="3"/>
      <c r="F20" s="3"/>
      <c r="G20" s="3"/>
      <c r="I20" s="11"/>
      <c r="J20" s="11">
        <f>Tabla351018263641424445464748441424344454646572789398[[#This Row],[COMISIONES]]*0.21</f>
        <v>0</v>
      </c>
      <c r="K20" s="11"/>
      <c r="L20" s="11"/>
      <c r="M20" s="11"/>
      <c r="O20" s="11"/>
      <c r="P20" s="11">
        <f>Tabla3568131422304081828485868788881828384858686673799499[[#This Row],[COMISIONES]]*0.21</f>
        <v>0</v>
      </c>
      <c r="Q20" s="11"/>
      <c r="R20" s="11"/>
      <c r="S20" s="11"/>
      <c r="T20" s="45"/>
      <c r="U20" s="11"/>
      <c r="V20" s="11">
        <f>Tabla356111927344311213151617181911121314151617167758095100[[#This Row],[COMISIONES]]*0.21</f>
        <v>0</v>
      </c>
      <c r="W20" s="11"/>
      <c r="X20" s="11"/>
      <c r="Y20" s="11"/>
      <c r="AA20" s="3"/>
      <c r="AB20" s="3">
        <f>Tabla7369768196101[[#This Row],[COMISIONES]]*0.21</f>
        <v>0</v>
      </c>
      <c r="AC20" s="3"/>
      <c r="AD20" s="3"/>
      <c r="AE20" s="3"/>
    </row>
    <row r="21" spans="2:31" x14ac:dyDescent="0.25">
      <c r="B21" s="3">
        <v>300</v>
      </c>
      <c r="C21" s="2">
        <f>Tabla1316243221222335262728221222324252626370779297[[#This Row],[COMISIONES]]*0.21</f>
        <v>63</v>
      </c>
      <c r="D21" s="3"/>
      <c r="E21" s="3"/>
      <c r="F21" s="3"/>
      <c r="G21" s="3"/>
      <c r="I21" s="11"/>
      <c r="J21" s="11">
        <f>Tabla351018263641424445464748441424344454646572789398[[#This Row],[COMISIONES]]*0.21</f>
        <v>0</v>
      </c>
      <c r="K21" s="11"/>
      <c r="L21" s="11"/>
      <c r="M21" s="11"/>
      <c r="O21" s="11"/>
      <c r="P21" s="11">
        <f>Tabla3568131422304081828485868788881828384858686673799499[[#This Row],[COMISIONES]]*0.21</f>
        <v>0</v>
      </c>
      <c r="Q21" s="11"/>
      <c r="R21" s="11"/>
      <c r="S21" s="11"/>
      <c r="T21" s="45"/>
      <c r="U21" s="11"/>
      <c r="V21" s="11">
        <f>Tabla356111927344311213151617181911121314151617167758095100[[#This Row],[COMISIONES]]*0.21</f>
        <v>0</v>
      </c>
      <c r="W21" s="11"/>
      <c r="X21" s="11"/>
      <c r="Y21" s="11"/>
      <c r="AA21" s="3"/>
      <c r="AB21" s="3">
        <f>Tabla7369768196101[[#This Row],[COMISIONES]]*0.21</f>
        <v>0</v>
      </c>
      <c r="AC21" s="3"/>
      <c r="AD21" s="3"/>
      <c r="AE21" s="3"/>
    </row>
    <row r="22" spans="2:31" x14ac:dyDescent="0.25">
      <c r="B22" s="3">
        <v>300</v>
      </c>
      <c r="C22" s="2">
        <f>Tabla1316243221222335262728221222324252626370779297[[#This Row],[COMISIONES]]*0.21</f>
        <v>63</v>
      </c>
      <c r="D22" s="3"/>
      <c r="E22" s="3"/>
      <c r="F22" s="3"/>
      <c r="G22" s="3"/>
      <c r="I22" s="11"/>
      <c r="J22" s="11">
        <f>Tabla351018263641424445464748441424344454646572789398[[#This Row],[COMISIONES]]*0.21</f>
        <v>0</v>
      </c>
      <c r="K22" s="11"/>
      <c r="L22" s="11"/>
      <c r="M22" s="11"/>
      <c r="O22" s="40"/>
      <c r="P22" s="40">
        <f>Tabla3568131422304081828485868788881828384858686673799499[[#This Row],[COMISIONES]]*0.21</f>
        <v>0</v>
      </c>
      <c r="Q22" s="40"/>
      <c r="R22" s="40"/>
      <c r="S22" s="40"/>
      <c r="T22" s="46"/>
      <c r="U22" s="11"/>
      <c r="V22" s="11">
        <f>Tabla356111927344311213151617181911121314151617167758095100[[#This Row],[COMISIONES]]*0.21</f>
        <v>0</v>
      </c>
      <c r="W22" s="11"/>
      <c r="X22" s="11"/>
      <c r="Y22" s="11"/>
      <c r="AA22" s="3"/>
      <c r="AB22" s="3">
        <f>Tabla7369768196101[[#This Row],[COMISIONES]]*0.21</f>
        <v>0</v>
      </c>
      <c r="AC22" s="3"/>
      <c r="AD22" s="3"/>
      <c r="AE22" s="3"/>
    </row>
    <row r="23" spans="2:31" x14ac:dyDescent="0.25">
      <c r="B23" s="3">
        <v>300</v>
      </c>
      <c r="C23" s="2">
        <f>Tabla1316243221222335262728221222324252626370779297[[#This Row],[COMISIONES]]*0.21</f>
        <v>63</v>
      </c>
      <c r="D23" s="3"/>
      <c r="E23" s="3"/>
      <c r="F23" s="3"/>
      <c r="G23" s="3"/>
      <c r="I23" s="11"/>
      <c r="J23" s="11">
        <f>Tabla351018263641424445464748441424344454646572789398[[#This Row],[COMISIONES]]*0.21</f>
        <v>0</v>
      </c>
      <c r="K23" s="11"/>
      <c r="L23" s="11"/>
      <c r="M23" s="11"/>
      <c r="O23" s="40"/>
      <c r="P23" s="40">
        <f>Tabla3568131422304081828485868788881828384858686673799499[[#This Row],[COMISIONES]]*0.21</f>
        <v>0</v>
      </c>
      <c r="Q23" s="40"/>
      <c r="R23" s="40"/>
      <c r="S23" s="40"/>
      <c r="T23" s="46"/>
      <c r="U23" s="11"/>
      <c r="V23" s="11">
        <f>Tabla356111927344311213151617181911121314151617167758095100[[#This Row],[COMISIONES]]*0.21</f>
        <v>0</v>
      </c>
      <c r="W23" s="11"/>
      <c r="X23" s="11"/>
      <c r="Y23" s="11"/>
      <c r="AA23" s="3"/>
      <c r="AB23" s="3">
        <f>Tabla7369768196101[[#This Row],[COMISIONES]]*0.21</f>
        <v>0</v>
      </c>
      <c r="AC23" s="3"/>
      <c r="AD23" s="3"/>
      <c r="AE23" s="3"/>
    </row>
    <row r="24" spans="2:31" x14ac:dyDescent="0.25">
      <c r="B24" s="3">
        <v>300</v>
      </c>
      <c r="C24" s="2">
        <f>Tabla1316243221222335262728221222324252626370779297[[#This Row],[COMISIONES]]*0.21</f>
        <v>63</v>
      </c>
      <c r="D24" s="3"/>
      <c r="E24" s="3"/>
      <c r="F24" s="3"/>
      <c r="G24" s="3"/>
      <c r="I24" s="11"/>
      <c r="J24" s="11">
        <f>Tabla351018263641424445464748441424344454646572789398[[#This Row],[COMISIONES]]*0.21</f>
        <v>0</v>
      </c>
      <c r="K24" s="11"/>
      <c r="L24" s="11"/>
      <c r="M24" s="11"/>
      <c r="O24" s="40"/>
      <c r="P24" s="40">
        <f>Tabla3568131422304081828485868788881828384858686673799499[[#This Row],[COMISIONES]]*0.21</f>
        <v>0</v>
      </c>
      <c r="Q24" s="40"/>
      <c r="R24" s="40"/>
      <c r="S24" s="40"/>
      <c r="T24" s="46"/>
      <c r="U24" s="11"/>
      <c r="V24" s="11">
        <f>Tabla356111927344311213151617181911121314151617167758095100[[#This Row],[COMISIONES]]*0.21</f>
        <v>0</v>
      </c>
      <c r="W24" s="11"/>
      <c r="X24" s="11"/>
      <c r="Y24" s="11"/>
      <c r="AA24" s="3"/>
      <c r="AB24" s="3">
        <f>Tabla7369768196101[[#This Row],[COMISIONES]]*0.21</f>
        <v>0</v>
      </c>
      <c r="AC24" s="3"/>
      <c r="AD24" s="3"/>
      <c r="AE24" s="3"/>
    </row>
    <row r="25" spans="2:31" x14ac:dyDescent="0.25">
      <c r="B25" s="3">
        <v>300</v>
      </c>
      <c r="C25" s="2">
        <f>Tabla1316243221222335262728221222324252626370779297[[#This Row],[COMISIONES]]*0.21</f>
        <v>63</v>
      </c>
      <c r="D25" s="3"/>
      <c r="E25" s="3"/>
      <c r="F25" s="3"/>
      <c r="G25" s="3"/>
      <c r="I25" s="11"/>
      <c r="J25" s="11">
        <f>Tabla351018263641424445464748441424344454646572789398[[#This Row],[COMISIONES]]*0.21</f>
        <v>0</v>
      </c>
      <c r="K25" s="11"/>
      <c r="L25" s="11"/>
      <c r="M25" s="11"/>
      <c r="O25" s="41"/>
      <c r="P25" s="42">
        <f>Tabla3568131422304081828485868788881828384858686673799499[[#This Row],[COMISIONES]]*0.21</f>
        <v>0</v>
      </c>
      <c r="Q25" s="42"/>
      <c r="R25" s="42"/>
      <c r="S25" s="42"/>
      <c r="T25" s="47"/>
      <c r="U25" s="18"/>
      <c r="V25" s="18">
        <f>Tabla356111927344311213151617181911121314151617167758095100[[#This Row],[COMISIONES]]*0.21</f>
        <v>0</v>
      </c>
      <c r="W25" s="18"/>
      <c r="X25" s="18"/>
      <c r="Y25" s="18"/>
      <c r="AA25" s="3"/>
      <c r="AB25" s="3">
        <f>Tabla7369768196101[[#This Row],[COMISIONES]]*0.21</f>
        <v>0</v>
      </c>
      <c r="AC25" s="3"/>
      <c r="AD25" s="3"/>
      <c r="AE25" s="3"/>
    </row>
    <row r="26" spans="2:31" x14ac:dyDescent="0.25">
      <c r="B26" s="3">
        <v>85800</v>
      </c>
      <c r="C26" s="2">
        <f>Tabla1316243221222335262728221222324252626370779297[[#This Row],[COMISIONES]]*0.21</f>
        <v>18018</v>
      </c>
      <c r="D26" s="3"/>
      <c r="E26" s="3"/>
      <c r="F26" s="3"/>
      <c r="G26" s="3"/>
      <c r="I26" s="11"/>
      <c r="J26" s="11">
        <f>Tabla351018263641424445464748441424344454646572789398[[#This Row],[COMISIONES]]*0.21</f>
        <v>0</v>
      </c>
      <c r="K26" s="11"/>
      <c r="L26" s="11"/>
      <c r="M26" s="11"/>
      <c r="O26" s="40"/>
      <c r="P26" s="40">
        <f>Tabla3568131422304081828485868788881828384858686673799499[[#This Row],[COMISIONES]]*0.21</f>
        <v>0</v>
      </c>
      <c r="Q26" s="40"/>
      <c r="R26" s="40"/>
      <c r="S26" s="40"/>
      <c r="T26" s="46"/>
      <c r="U26" s="18"/>
      <c r="V26" s="18">
        <f>Tabla356111927344311213151617181911121314151617167758095100[[#This Row],[COMISIONES]]*0.21</f>
        <v>0</v>
      </c>
      <c r="W26" s="18"/>
      <c r="X26" s="18"/>
      <c r="Y26" s="18"/>
      <c r="AA26" s="3"/>
      <c r="AB26" s="3">
        <f>Tabla7369768196101[[#This Row],[COMISIONES]]*0.21</f>
        <v>0</v>
      </c>
      <c r="AC26" s="3"/>
      <c r="AD26" s="3"/>
      <c r="AE26" s="3"/>
    </row>
    <row r="27" spans="2:31" x14ac:dyDescent="0.25">
      <c r="B27" s="3">
        <v>42900</v>
      </c>
      <c r="C27" s="2">
        <f>Tabla1316243221222335262728221222324252626370779297[[#This Row],[COMISIONES]]*0.21</f>
        <v>9009</v>
      </c>
      <c r="D27" s="3"/>
      <c r="E27" s="1"/>
      <c r="F27" s="3"/>
      <c r="G27" s="3"/>
      <c r="I27" s="11"/>
      <c r="J27" s="11">
        <f>Tabla351018263641424445464748441424344454646572789398[[#This Row],[COMISIONES]]*0.21</f>
        <v>0</v>
      </c>
      <c r="K27" s="11"/>
      <c r="L27" s="11"/>
      <c r="M27" s="11"/>
      <c r="O27" s="40"/>
      <c r="P27" s="40">
        <f>Tabla3568131422304081828485868788881828384858686673799499[[#This Row],[COMISIONES]]*0.21</f>
        <v>0</v>
      </c>
      <c r="Q27" s="40"/>
      <c r="R27" s="40"/>
      <c r="S27" s="40"/>
      <c r="T27" s="46"/>
      <c r="U27" s="40"/>
      <c r="V27" s="40">
        <f>Tabla356111927344311213151617181911121314151617167758095100[[#This Row],[COMISIONES]]*0.21</f>
        <v>0</v>
      </c>
      <c r="W27" s="40"/>
      <c r="X27" s="40"/>
      <c r="Y27" s="40"/>
      <c r="AA27" s="4">
        <f>SUM(Tabla7369768196101[COMISIONES])</f>
        <v>5289</v>
      </c>
      <c r="AB27" s="4">
        <f>SUM(Tabla7369768196101[IVA 21])</f>
        <v>1110.69</v>
      </c>
      <c r="AC27" s="4">
        <f>SUM(Tabla7369768196101[IVA 10,5])</f>
        <v>0</v>
      </c>
      <c r="AD27" s="4">
        <f>SUM(Tabla7369768196101[Ret IIBB Caba])</f>
        <v>378.17</v>
      </c>
      <c r="AE27" s="4">
        <f>SUM(Tabla7369768196101[PERC IVA])</f>
        <v>158.66999999999999</v>
      </c>
    </row>
    <row r="28" spans="2:31" x14ac:dyDescent="0.25">
      <c r="B28" s="3">
        <v>42900</v>
      </c>
      <c r="C28" s="2">
        <f>Tabla1316243221222335262728221222324252626370779297[[#This Row],[COMISIONES]]*0.21</f>
        <v>9009</v>
      </c>
      <c r="D28" s="3"/>
      <c r="E28" s="3"/>
      <c r="F28" s="3"/>
      <c r="G28" s="3"/>
      <c r="I28" s="11"/>
      <c r="J28" s="11">
        <f>Tabla351018263641424445464748441424344454646572789398[[#This Row],[COMISIONES]]*0.21</f>
        <v>0</v>
      </c>
      <c r="K28" s="11"/>
      <c r="L28" s="11"/>
      <c r="M28" s="11"/>
      <c r="O28" s="40"/>
      <c r="P28" s="40">
        <f>Tabla3568131422304081828485868788881828384858686673799499[[#This Row],[COMISIONES]]*0.21</f>
        <v>0</v>
      </c>
      <c r="Q28" s="40"/>
      <c r="R28" s="40"/>
      <c r="S28" s="40"/>
      <c r="T28" s="46"/>
      <c r="U28" s="40"/>
      <c r="V28" s="40">
        <f>Tabla356111927344311213151617181911121314151617167758095100[[#This Row],[COMISIONES]]*0.21</f>
        <v>0</v>
      </c>
      <c r="W28" s="40"/>
      <c r="X28" s="40"/>
      <c r="Y28" s="40"/>
    </row>
    <row r="29" spans="2:31" x14ac:dyDescent="0.25">
      <c r="B29" s="3">
        <v>300</v>
      </c>
      <c r="C29" s="2">
        <f>Tabla1316243221222335262728221222324252626370779297[[#This Row],[COMISIONES]]*0.21</f>
        <v>63</v>
      </c>
      <c r="D29" s="3"/>
      <c r="E29" s="3"/>
      <c r="F29" s="3"/>
      <c r="G29" s="3"/>
      <c r="I29" s="11"/>
      <c r="J29" s="11">
        <f>Tabla351018263641424445464748441424344454646572789398[[#This Row],[COMISIONES]]*0.21</f>
        <v>0</v>
      </c>
      <c r="K29" s="11"/>
      <c r="L29" s="11"/>
      <c r="M29" s="11"/>
      <c r="O29" s="40"/>
      <c r="P29" s="40">
        <f>Tabla3568131422304081828485868788881828384858686673799499[[#This Row],[COMISIONES]]*0.21</f>
        <v>0</v>
      </c>
      <c r="Q29" s="40"/>
      <c r="R29" s="40"/>
      <c r="S29" s="40"/>
      <c r="T29" s="46"/>
      <c r="U29" s="40"/>
      <c r="V29" s="40">
        <f>Tabla356111927344311213151617181911121314151617167758095100[[#This Row],[COMISIONES]]*0.21</f>
        <v>0</v>
      </c>
      <c r="W29" s="40"/>
      <c r="X29" s="40"/>
      <c r="Y29" s="40"/>
    </row>
    <row r="30" spans="2:31" x14ac:dyDescent="0.25">
      <c r="B30" s="3">
        <v>300</v>
      </c>
      <c r="C30" s="2">
        <f>Tabla1316243221222335262728221222324252626370779297[[#This Row],[COMISIONES]]*0.21</f>
        <v>63</v>
      </c>
      <c r="D30" s="3"/>
      <c r="E30" s="3"/>
      <c r="F30" s="3"/>
      <c r="G30" s="3"/>
      <c r="I30" s="11"/>
      <c r="J30" s="11">
        <f>Tabla351018263641424445464748441424344454646572789398[[#This Row],[COMISIONES]]*0.21</f>
        <v>0</v>
      </c>
      <c r="K30" s="11"/>
      <c r="L30" s="11"/>
      <c r="M30" s="11"/>
      <c r="O30" s="40"/>
      <c r="P30" s="40">
        <f>Tabla3568131422304081828485868788881828384858686673799499[[#This Row],[COMISIONES]]*0.21</f>
        <v>0</v>
      </c>
      <c r="Q30" s="40"/>
      <c r="R30" s="40"/>
      <c r="S30" s="40"/>
      <c r="T30" s="46"/>
      <c r="U30" s="40"/>
      <c r="V30" s="40">
        <f>Tabla356111927344311213151617181911121314151617167758095100[[#This Row],[COMISIONES]]*0.21</f>
        <v>0</v>
      </c>
      <c r="W30" s="40"/>
      <c r="X30" s="40"/>
      <c r="Y30" s="40"/>
    </row>
    <row r="31" spans="2:31" x14ac:dyDescent="0.25">
      <c r="B31" s="3">
        <v>300</v>
      </c>
      <c r="C31" s="2">
        <f>Tabla1316243221222335262728221222324252626370779297[[#This Row],[COMISIONES]]*0.21</f>
        <v>63</v>
      </c>
      <c r="D31" s="3"/>
      <c r="E31" s="3"/>
      <c r="F31" s="3"/>
      <c r="G31" s="3"/>
      <c r="I31" s="11"/>
      <c r="J31" s="11">
        <f>Tabla351018263641424445464748441424344454646572789398[[#This Row],[COMISIONES]]*0.21</f>
        <v>0</v>
      </c>
      <c r="K31" s="11"/>
      <c r="L31" s="11"/>
      <c r="M31" s="11"/>
      <c r="O31" s="40"/>
      <c r="P31" s="40">
        <f>Tabla3568131422304081828485868788881828384858686673799499[[#This Row],[COMISIONES]]*0.21</f>
        <v>0</v>
      </c>
      <c r="Q31" s="40"/>
      <c r="R31" s="40"/>
      <c r="S31" s="40"/>
      <c r="T31" s="46"/>
      <c r="U31" s="40"/>
      <c r="V31" s="40">
        <f>Tabla356111927344311213151617181911121314151617167758095100[[#This Row],[COMISIONES]]*0.21</f>
        <v>0</v>
      </c>
      <c r="W31" s="40"/>
      <c r="X31" s="40"/>
      <c r="Y31" s="40"/>
    </row>
    <row r="32" spans="2:31" x14ac:dyDescent="0.25">
      <c r="B32" s="3"/>
      <c r="C32" s="2">
        <f>Tabla1316243221222335262728221222324252626370779297[[#This Row],[COMISIONES]]*0.21</f>
        <v>0</v>
      </c>
      <c r="D32" s="3"/>
      <c r="E32" s="3"/>
      <c r="F32" s="3"/>
      <c r="G32" s="3"/>
      <c r="I32" s="11"/>
      <c r="J32" s="11">
        <f>Tabla351018263641424445464748441424344454646572789398[[#This Row],[COMISIONES]]*0.21</f>
        <v>0</v>
      </c>
      <c r="K32" s="11"/>
      <c r="L32" s="11"/>
      <c r="M32" s="11"/>
      <c r="O32" s="40"/>
      <c r="P32" s="40">
        <f>Tabla3568131422304081828485868788881828384858686673799499[[#This Row],[COMISIONES]]*0.21</f>
        <v>0</v>
      </c>
      <c r="Q32" s="40"/>
      <c r="R32" s="40"/>
      <c r="S32" s="40"/>
      <c r="T32" s="46"/>
      <c r="U32" s="40"/>
      <c r="V32" s="40">
        <f>Tabla356111927344311213151617181911121314151617167758095100[[#This Row],[COMISIONES]]*0.21</f>
        <v>0</v>
      </c>
      <c r="W32" s="40"/>
      <c r="X32" s="40"/>
      <c r="Y32" s="40"/>
    </row>
    <row r="33" spans="1:25" x14ac:dyDescent="0.25">
      <c r="B33" s="3"/>
      <c r="C33" s="2">
        <f>Tabla1316243221222335262728221222324252626370779297[[#This Row],[COMISIONES]]*0.21</f>
        <v>0</v>
      </c>
      <c r="D33" s="3"/>
      <c r="E33" s="3"/>
      <c r="F33" s="3"/>
      <c r="G33" s="3"/>
      <c r="I33" s="11"/>
      <c r="J33" s="11">
        <f>Tabla351018263641424445464748441424344454646572789398[[#This Row],[COMISIONES]]*0.21</f>
        <v>0</v>
      </c>
      <c r="K33" s="11"/>
      <c r="L33" s="11"/>
      <c r="M33" s="11"/>
      <c r="O33" s="40"/>
      <c r="P33" s="40">
        <f>Tabla3568131422304081828485868788881828384858686673799499[[#This Row],[COMISIONES]]*0.21</f>
        <v>0</v>
      </c>
      <c r="Q33" s="40"/>
      <c r="R33" s="40"/>
      <c r="S33" s="40"/>
      <c r="T33" s="46"/>
      <c r="U33" s="40"/>
      <c r="V33" s="40">
        <f>Tabla356111927344311213151617181911121314151617167758095100[[#This Row],[COMISIONES]]*0.21</f>
        <v>0</v>
      </c>
      <c r="W33" s="40"/>
      <c r="X33" s="40"/>
      <c r="Y33" s="40"/>
    </row>
    <row r="34" spans="1:25" x14ac:dyDescent="0.25">
      <c r="B34" s="3"/>
      <c r="C34" s="2">
        <f>Tabla1316243221222335262728221222324252626370779297[[#This Row],[COMISIONES]]*0.21</f>
        <v>0</v>
      </c>
      <c r="D34" s="3"/>
      <c r="E34" s="3"/>
      <c r="F34" s="3"/>
      <c r="G34" s="3"/>
      <c r="I34" s="11"/>
      <c r="J34" s="11">
        <f>Tabla351018263641424445464748441424344454646572789398[[#This Row],[COMISIONES]]*0.21</f>
        <v>0</v>
      </c>
      <c r="K34" s="11"/>
      <c r="L34" s="11"/>
      <c r="M34" s="11"/>
      <c r="O34" s="40"/>
      <c r="P34" s="40">
        <f>Tabla3568131422304081828485868788881828384858686673799499[[#This Row],[COMISIONES]]*0.21</f>
        <v>0</v>
      </c>
      <c r="Q34" s="40"/>
      <c r="R34" s="40"/>
      <c r="S34" s="40"/>
      <c r="T34" s="46"/>
      <c r="U34" s="40"/>
      <c r="V34" s="40">
        <f>Tabla356111927344311213151617181911121314151617167758095100[[#This Row],[COMISIONES]]*0.21</f>
        <v>0</v>
      </c>
      <c r="W34" s="40"/>
      <c r="X34" s="40"/>
      <c r="Y34" s="40"/>
    </row>
    <row r="35" spans="1:25" x14ac:dyDescent="0.25">
      <c r="B35" s="3"/>
      <c r="C35" s="2">
        <f>Tabla1316243221222335262728221222324252626370779297[[#This Row],[COMISIONES]]*0.21</f>
        <v>0</v>
      </c>
      <c r="D35" s="3"/>
      <c r="E35" s="3"/>
      <c r="F35" s="3"/>
      <c r="G35" s="3"/>
      <c r="I35" s="11"/>
      <c r="J35" s="11">
        <f>Tabla351018263641424445464748441424344454646572789398[[#This Row],[COMISIONES]]*0.21</f>
        <v>0</v>
      </c>
      <c r="K35" s="11"/>
      <c r="L35" s="11"/>
      <c r="M35" s="11"/>
      <c r="O35" s="40"/>
      <c r="P35" s="40">
        <f>Tabla3568131422304081828485868788881828384858686673799499[[#This Row],[COMISIONES]]*0.21</f>
        <v>0</v>
      </c>
      <c r="Q35" s="40"/>
      <c r="R35" s="40"/>
      <c r="S35" s="40"/>
      <c r="T35" s="46"/>
      <c r="U35" s="40"/>
      <c r="V35" s="40">
        <f>Tabla356111927344311213151617181911121314151617167758095100[[#This Row],[COMISIONES]]*0.21</f>
        <v>0</v>
      </c>
      <c r="W35" s="40"/>
      <c r="X35" s="40"/>
      <c r="Y35" s="40"/>
    </row>
    <row r="36" spans="1:25" x14ac:dyDescent="0.25">
      <c r="B36" s="3"/>
      <c r="C36" s="2">
        <f>Tabla1316243221222335262728221222324252626370779297[[#This Row],[COMISIONES]]*0.21</f>
        <v>0</v>
      </c>
      <c r="D36" s="3"/>
      <c r="E36" s="3"/>
      <c r="F36" s="3"/>
      <c r="G36" s="3"/>
      <c r="I36" s="11"/>
      <c r="J36" s="11">
        <f>Tabla351018263641424445464748441424344454646572789398[[#This Row],[COMISIONES]]*0.21</f>
        <v>0</v>
      </c>
      <c r="K36" s="11"/>
      <c r="L36" s="11"/>
      <c r="M36" s="11"/>
      <c r="O36" s="40"/>
      <c r="P36" s="40">
        <f>Tabla3568131422304081828485868788881828384858686673799499[[#This Row],[COMISIONES]]*0.21</f>
        <v>0</v>
      </c>
      <c r="Q36" s="40"/>
      <c r="R36" s="40"/>
      <c r="S36" s="40"/>
      <c r="T36" s="46"/>
      <c r="U36" s="40"/>
      <c r="V36" s="40">
        <f>Tabla356111927344311213151617181911121314151617167758095100[[#This Row],[COMISIONES]]*0.21</f>
        <v>0</v>
      </c>
      <c r="W36" s="40"/>
      <c r="X36" s="40"/>
      <c r="Y36" s="40"/>
    </row>
    <row r="37" spans="1:25" x14ac:dyDescent="0.25">
      <c r="B37" s="3"/>
      <c r="C37" s="2">
        <f>Tabla1316243221222335262728221222324252626370779297[[#This Row],[COMISIONES]]*0.21</f>
        <v>0</v>
      </c>
      <c r="D37" s="3"/>
      <c r="E37" s="3"/>
      <c r="F37" s="3"/>
      <c r="G37" s="3"/>
      <c r="I37" s="11"/>
      <c r="J37" s="11">
        <f>Tabla351018263641424445464748441424344454646572789398[[#This Row],[COMISIONES]]*0.21</f>
        <v>0</v>
      </c>
      <c r="K37" s="11"/>
      <c r="L37" s="11"/>
      <c r="M37" s="11"/>
      <c r="O37" s="40"/>
      <c r="P37" s="40">
        <f>Tabla3568131422304081828485868788881828384858686673799499[[#This Row],[COMISIONES]]*0.21</f>
        <v>0</v>
      </c>
      <c r="Q37" s="40"/>
      <c r="R37" s="40"/>
      <c r="S37" s="40"/>
      <c r="T37" s="46"/>
      <c r="U37" s="40"/>
      <c r="V37" s="40">
        <f>Tabla356111927344311213151617181911121314151617167758095100[[#This Row],[COMISIONES]]*0.21</f>
        <v>0</v>
      </c>
      <c r="W37" s="40"/>
      <c r="X37" s="40"/>
      <c r="Y37" s="40"/>
    </row>
    <row r="38" spans="1:25" x14ac:dyDescent="0.25">
      <c r="B38" s="3"/>
      <c r="C38" s="2">
        <f>Tabla1316243221222335262728221222324252626370779297[[#This Row],[COMISIONES]]*0.21</f>
        <v>0</v>
      </c>
      <c r="D38" s="3"/>
      <c r="E38" s="3"/>
      <c r="F38" s="3"/>
      <c r="G38" s="3"/>
      <c r="I38" s="11"/>
      <c r="J38" s="11">
        <f>Tabla351018263641424445464748441424344454646572789398[[#This Row],[COMISIONES]]*0.21</f>
        <v>0</v>
      </c>
      <c r="K38" s="11"/>
      <c r="L38" s="11"/>
      <c r="M38" s="11"/>
      <c r="O38" s="40"/>
      <c r="P38" s="40">
        <f>Tabla3568131422304081828485868788881828384858686673799499[[#This Row],[COMISIONES]]*0.21</f>
        <v>0</v>
      </c>
      <c r="Q38" s="40"/>
      <c r="R38" s="40"/>
      <c r="S38" s="40"/>
      <c r="T38" s="46"/>
      <c r="U38" s="40"/>
      <c r="V38" s="40">
        <f>Tabla356111927344311213151617181911121314151617167758095100[[#This Row],[COMISIONES]]*0.21</f>
        <v>0</v>
      </c>
      <c r="W38" s="40"/>
      <c r="X38" s="40"/>
      <c r="Y38" s="40"/>
    </row>
    <row r="39" spans="1:25" x14ac:dyDescent="0.25">
      <c r="B39" s="3"/>
      <c r="C39" s="2">
        <f>Tabla1316243221222335262728221222324252626370779297[[#This Row],[COMISIONES]]*0.21</f>
        <v>0</v>
      </c>
      <c r="D39" s="3"/>
      <c r="E39" s="3"/>
      <c r="F39" s="3"/>
      <c r="G39" s="3"/>
      <c r="H39" s="8"/>
      <c r="I39" s="11"/>
      <c r="J39" s="11">
        <f>Tabla351018263641424445464748441424344454646572789398[[#This Row],[COMISIONES]]*0.21</f>
        <v>0</v>
      </c>
      <c r="K39" s="11"/>
      <c r="L39" s="11"/>
      <c r="M39" s="11"/>
      <c r="N39" s="8"/>
      <c r="O39" s="40"/>
      <c r="P39" s="40">
        <f>Tabla3568131422304081828485868788881828384858686673799499[[#This Row],[COMISIONES]]*0.21</f>
        <v>0</v>
      </c>
      <c r="Q39" s="40"/>
      <c r="R39" s="40"/>
      <c r="S39" s="40"/>
      <c r="T39" s="46"/>
      <c r="U39" s="40"/>
      <c r="V39" s="40">
        <f>Tabla356111927344311213151617181911121314151617167758095100[[#This Row],[COMISIONES]]*0.21</f>
        <v>0</v>
      </c>
      <c r="W39" s="40"/>
      <c r="X39" s="40"/>
      <c r="Y39" s="40"/>
    </row>
    <row r="40" spans="1:25" x14ac:dyDescent="0.25">
      <c r="B40" s="3"/>
      <c r="C40" s="2">
        <f>Tabla1316243221222335262728221222324252626370779297[[#This Row],[COMISIONES]]*0.21</f>
        <v>0</v>
      </c>
      <c r="D40" s="3"/>
      <c r="E40" s="3"/>
      <c r="F40" s="3"/>
      <c r="G40" s="3"/>
      <c r="I40" s="11"/>
      <c r="J40" s="11">
        <f>Tabla351018263641424445464748441424344454646572789398[[#This Row],[COMISIONES]]*0.21</f>
        <v>0</v>
      </c>
      <c r="K40" s="11"/>
      <c r="L40" s="11"/>
      <c r="M40" s="11"/>
      <c r="O40" s="40"/>
      <c r="P40" s="40">
        <f>Tabla3568131422304081828485868788881828384858686673799499[[#This Row],[COMISIONES]]*0.21</f>
        <v>0</v>
      </c>
      <c r="Q40" s="40"/>
      <c r="R40" s="40"/>
      <c r="S40" s="40"/>
      <c r="T40" s="46"/>
      <c r="U40" s="40"/>
      <c r="V40" s="40">
        <f>Tabla356111927344311213151617181911121314151617167758095100[[#This Row],[COMISIONES]]*0.21</f>
        <v>0</v>
      </c>
      <c r="W40" s="40"/>
      <c r="X40" s="40"/>
      <c r="Y40" s="40"/>
    </row>
    <row r="41" spans="1:25" x14ac:dyDescent="0.25">
      <c r="B41" s="3"/>
      <c r="C41" s="2">
        <f>Tabla1316243221222335262728221222324252626370779297[[#This Row],[COMISIONES]]*0.21</f>
        <v>0</v>
      </c>
      <c r="D41" s="3"/>
      <c r="E41" s="3"/>
      <c r="F41" s="3"/>
      <c r="G41" s="3"/>
      <c r="I41" s="11"/>
      <c r="J41" s="11">
        <f>Tabla351018263641424445464748441424344454646572789398[[#This Row],[COMISIONES]]*0.21</f>
        <v>0</v>
      </c>
      <c r="K41" s="11"/>
      <c r="L41" s="11"/>
      <c r="M41" s="11"/>
      <c r="O41" s="40"/>
      <c r="P41" s="40">
        <f>Tabla3568131422304081828485868788881828384858686673799499[[#This Row],[COMISIONES]]*0.21</f>
        <v>0</v>
      </c>
      <c r="Q41" s="40"/>
      <c r="R41" s="40"/>
      <c r="S41" s="40"/>
      <c r="T41" s="46"/>
      <c r="U41" s="40"/>
      <c r="V41" s="40">
        <f>Tabla356111927344311213151617181911121314151617167758095100[[#This Row],[COMISIONES]]*0.21</f>
        <v>0</v>
      </c>
      <c r="W41" s="40"/>
      <c r="X41" s="40"/>
      <c r="Y41" s="40"/>
    </row>
    <row r="42" spans="1:25" x14ac:dyDescent="0.25">
      <c r="B42" s="3"/>
      <c r="C42" s="2">
        <f>Tabla1316243221222335262728221222324252626370779297[[#This Row],[COMISIONES]]*0.21</f>
        <v>0</v>
      </c>
      <c r="D42" s="3"/>
      <c r="E42" s="3"/>
      <c r="F42" s="3"/>
      <c r="G42" s="3"/>
      <c r="I42" s="11"/>
      <c r="J42" s="11">
        <f>Tabla351018263641424445464748441424344454646572789398[[#This Row],[COMISIONES]]*0.21</f>
        <v>0</v>
      </c>
      <c r="K42" s="11"/>
      <c r="L42" s="11"/>
      <c r="M42" s="11"/>
      <c r="O42" s="40"/>
      <c r="P42" s="40">
        <f>Tabla3568131422304081828485868788881828384858686673799499[[#This Row],[COMISIONES]]*0.21</f>
        <v>0</v>
      </c>
      <c r="Q42" s="40"/>
      <c r="R42" s="40"/>
      <c r="S42" s="40"/>
      <c r="T42" s="46"/>
      <c r="U42" s="40"/>
      <c r="V42" s="40">
        <f>Tabla356111927344311213151617181911121314151617167758095100[[#This Row],[COMISIONES]]*0.21</f>
        <v>0</v>
      </c>
      <c r="W42" s="40"/>
      <c r="X42" s="40"/>
      <c r="Y42" s="40"/>
    </row>
    <row r="43" spans="1:25" x14ac:dyDescent="0.25">
      <c r="B43" s="3"/>
      <c r="C43" s="2">
        <f>Tabla1316243221222335262728221222324252626370779297[[#This Row],[COMISIONES]]*0.21</f>
        <v>0</v>
      </c>
      <c r="D43" s="3"/>
      <c r="E43" s="3"/>
      <c r="F43" s="3"/>
      <c r="G43" s="3"/>
      <c r="I43" s="11"/>
      <c r="J43" s="11">
        <f>Tabla351018263641424445464748441424344454646572789398[[#This Row],[COMISIONES]]*0.21</f>
        <v>0</v>
      </c>
      <c r="K43" s="11"/>
      <c r="L43" s="11"/>
      <c r="M43" s="11"/>
      <c r="O43" s="40"/>
      <c r="P43" s="40">
        <f>Tabla3568131422304081828485868788881828384858686673799499[[#This Row],[COMISIONES]]*0.21</f>
        <v>0</v>
      </c>
      <c r="Q43" s="40"/>
      <c r="R43" s="40"/>
      <c r="S43" s="40"/>
      <c r="T43" s="46"/>
      <c r="U43" s="40"/>
      <c r="V43" s="40">
        <f>Tabla356111927344311213151617181911121314151617167758095100[[#This Row],[COMISIONES]]*0.21</f>
        <v>0</v>
      </c>
      <c r="W43" s="40"/>
      <c r="X43" s="40"/>
      <c r="Y43" s="40"/>
    </row>
    <row r="44" spans="1:25" x14ac:dyDescent="0.25">
      <c r="B44" s="3"/>
      <c r="C44" s="2">
        <f>Tabla1316243221222335262728221222324252626370779297[[#This Row],[COMISIONES]]*0.21</f>
        <v>0</v>
      </c>
      <c r="D44" s="3"/>
      <c r="E44" s="3"/>
      <c r="F44" s="3"/>
      <c r="G44" s="3"/>
      <c r="I44" s="11"/>
      <c r="J44" s="11">
        <f>Tabla351018263641424445464748441424344454646572789398[[#This Row],[COMISIONES]]*0.21</f>
        <v>0</v>
      </c>
      <c r="K44" s="11"/>
      <c r="L44" s="11"/>
      <c r="M44" s="11"/>
      <c r="O44" s="40"/>
      <c r="P44" s="40">
        <f>Tabla3568131422304081828485868788881828384858686673799499[[#This Row],[COMISIONES]]*0.21</f>
        <v>0</v>
      </c>
      <c r="Q44" s="40"/>
      <c r="R44" s="40"/>
      <c r="S44" s="40"/>
      <c r="T44" s="46"/>
      <c r="U44" s="40"/>
      <c r="V44" s="40">
        <f>Tabla356111927344311213151617181911121314151617167758095100[[#This Row],[COMISIONES]]*0.21</f>
        <v>0</v>
      </c>
      <c r="W44" s="40"/>
      <c r="X44" s="40"/>
      <c r="Y44" s="40"/>
    </row>
    <row r="45" spans="1:25" x14ac:dyDescent="0.25">
      <c r="B45" s="3"/>
      <c r="C45" s="2">
        <f>Tabla1316243221222335262728221222324252626370779297[[#This Row],[COMISIONES]]*0.21</f>
        <v>0</v>
      </c>
      <c r="D45" s="3"/>
      <c r="E45" s="3"/>
      <c r="F45" s="3"/>
      <c r="G45" s="3"/>
      <c r="I45" s="11"/>
      <c r="J45" s="11">
        <f>Tabla351018263641424445464748441424344454646572789398[[#This Row],[COMISIONES]]*0.21</f>
        <v>0</v>
      </c>
      <c r="K45" s="11"/>
      <c r="L45" s="11"/>
      <c r="M45" s="11"/>
      <c r="O45" s="40"/>
      <c r="P45" s="40">
        <f>Tabla3568131422304081828485868788881828384858686673799499[[#This Row],[COMISIONES]]*0.21</f>
        <v>0</v>
      </c>
      <c r="Q45" s="40"/>
      <c r="R45" s="40"/>
      <c r="S45" s="40"/>
      <c r="T45" s="46"/>
      <c r="U45" s="40"/>
      <c r="V45" s="40">
        <f>Tabla356111927344311213151617181911121314151617167758095100[[#This Row],[COMISIONES]]*0.21</f>
        <v>0</v>
      </c>
      <c r="W45" s="40"/>
      <c r="X45" s="40"/>
      <c r="Y45" s="40"/>
    </row>
    <row r="46" spans="1:25" s="6" customFormat="1" x14ac:dyDescent="0.25">
      <c r="A46"/>
      <c r="B46" s="3"/>
      <c r="C46" s="2">
        <f>Tabla1316243221222335262728221222324252626370779297[[#This Row],[COMISIONES]]*0.21</f>
        <v>0</v>
      </c>
      <c r="D46" s="3"/>
      <c r="E46" s="3"/>
      <c r="F46" s="3"/>
      <c r="G46" s="3"/>
      <c r="I46" s="11"/>
      <c r="J46" s="11">
        <f>Tabla351018263641424445464748441424344454646572789398[[#This Row],[COMISIONES]]*0.21</f>
        <v>0</v>
      </c>
      <c r="K46" s="11"/>
      <c r="L46" s="11"/>
      <c r="M46" s="11"/>
      <c r="O46" s="40"/>
      <c r="P46" s="40">
        <f>Tabla3568131422304081828485868788881828384858686673799499[[#This Row],[COMISIONES]]*0.21</f>
        <v>0</v>
      </c>
      <c r="Q46" s="40"/>
      <c r="R46" s="40"/>
      <c r="S46" s="40"/>
      <c r="T46" s="46"/>
      <c r="U46" s="40"/>
      <c r="V46" s="40">
        <f>Tabla356111927344311213151617181911121314151617167758095100[[#This Row],[COMISIONES]]*0.21</f>
        <v>0</v>
      </c>
      <c r="W46" s="40"/>
      <c r="X46" s="40"/>
      <c r="Y46" s="40"/>
    </row>
    <row r="47" spans="1:25" s="6" customFormat="1" x14ac:dyDescent="0.25">
      <c r="A47"/>
      <c r="B47" s="2"/>
      <c r="C47" s="2">
        <f>Tabla1316243221222335262728221222324252626370779297[[#This Row],[COMISIONES]]*0.21</f>
        <v>0</v>
      </c>
      <c r="D47" s="2"/>
      <c r="E47" s="2"/>
      <c r="F47"/>
      <c r="G47"/>
      <c r="I47" s="11"/>
      <c r="J47" s="11">
        <f>Tabla351018263641424445464748441424344454646572789398[[#This Row],[COMISIONES]]*0.21</f>
        <v>0</v>
      </c>
      <c r="K47" s="11"/>
      <c r="L47" s="11"/>
      <c r="M47" s="11"/>
      <c r="O47" s="40"/>
      <c r="P47" s="40">
        <f>Tabla3568131422304081828485868788881828384858686673799499[[#This Row],[COMISIONES]]*0.21</f>
        <v>0</v>
      </c>
      <c r="Q47" s="40"/>
      <c r="R47" s="40"/>
      <c r="S47" s="40"/>
      <c r="T47" s="46"/>
      <c r="U47" s="40"/>
      <c r="V47" s="40">
        <f>Tabla356111927344311213151617181911121314151617167758095100[[#This Row],[COMISIONES]]*0.21</f>
        <v>0</v>
      </c>
      <c r="W47" s="40"/>
      <c r="X47" s="40"/>
      <c r="Y47" s="40"/>
    </row>
    <row r="48" spans="1:25" s="6" customFormat="1" x14ac:dyDescent="0.25">
      <c r="A48"/>
      <c r="B48" s="2"/>
      <c r="C48" s="2">
        <f>Tabla1316243221222335262728221222324252626370779297[[#This Row],[COMISIONES]]*0.21</f>
        <v>0</v>
      </c>
      <c r="D48" s="2"/>
      <c r="E48" s="2"/>
      <c r="F48"/>
      <c r="G48"/>
      <c r="I48" s="11"/>
      <c r="J48" s="11">
        <f>Tabla351018263641424445464748441424344454646572789398[[#This Row],[COMISIONES]]*0.21</f>
        <v>0</v>
      </c>
      <c r="K48" s="11"/>
      <c r="L48" s="11"/>
      <c r="M48" s="11"/>
      <c r="O48" s="40"/>
      <c r="P48" s="40">
        <f>Tabla3568131422304081828485868788881828384858686673799499[[#This Row],[COMISIONES]]*0.21</f>
        <v>0</v>
      </c>
      <c r="Q48" s="40"/>
      <c r="R48" s="40"/>
      <c r="S48" s="40"/>
      <c r="T48" s="46"/>
      <c r="U48" s="40"/>
      <c r="V48" s="40">
        <f>Tabla356111927344311213151617181911121314151617167758095100[[#This Row],[COMISIONES]]*0.21</f>
        <v>0</v>
      </c>
      <c r="W48" s="40"/>
      <c r="X48" s="40"/>
      <c r="Y48" s="40"/>
    </row>
    <row r="49" spans="1:25" s="6" customFormat="1" x14ac:dyDescent="0.25">
      <c r="A49"/>
      <c r="B49" s="2"/>
      <c r="C49" s="2">
        <f>Tabla1316243221222335262728221222324252626370779297[[#This Row],[COMISIONES]]*0.21</f>
        <v>0</v>
      </c>
      <c r="D49" s="2"/>
      <c r="E49" s="2"/>
      <c r="F49"/>
      <c r="G49"/>
      <c r="I49" s="11"/>
      <c r="J49" s="11">
        <f>Tabla351018263641424445464748441424344454646572789398[[#This Row],[COMISIONES]]*0.21</f>
        <v>0</v>
      </c>
      <c r="K49" s="11"/>
      <c r="L49" s="11"/>
      <c r="M49" s="11"/>
      <c r="O49" s="40"/>
      <c r="P49" s="40">
        <f>Tabla3568131422304081828485868788881828384858686673799499[[#This Row],[COMISIONES]]*0.21</f>
        <v>0</v>
      </c>
      <c r="Q49" s="40"/>
      <c r="R49" s="40"/>
      <c r="S49" s="40"/>
      <c r="T49" s="46"/>
      <c r="U49" s="40"/>
      <c r="V49" s="40">
        <f>Tabla356111927344311213151617181911121314151617167758095100[[#This Row],[COMISIONES]]*0.21</f>
        <v>0</v>
      </c>
      <c r="W49" s="40"/>
      <c r="X49" s="40"/>
      <c r="Y49" s="40"/>
    </row>
    <row r="50" spans="1:25" s="6" customFormat="1" x14ac:dyDescent="0.25">
      <c r="A50"/>
      <c r="B50" s="2"/>
      <c r="C50" s="2">
        <f>Tabla1316243221222335262728221222324252626370779297[[#This Row],[COMISIONES]]*0.21</f>
        <v>0</v>
      </c>
      <c r="D50" s="2"/>
      <c r="E50" s="2"/>
      <c r="F50"/>
      <c r="G50"/>
      <c r="I50" s="11"/>
      <c r="J50" s="11">
        <f>Tabla351018263641424445464748441424344454646572789398[[#This Row],[COMISIONES]]*0.21</f>
        <v>0</v>
      </c>
      <c r="K50" s="11"/>
      <c r="L50" s="11"/>
      <c r="M50" s="11"/>
      <c r="O50" s="40"/>
      <c r="P50" s="40">
        <f>Tabla3568131422304081828485868788881828384858686673799499[[#This Row],[COMISIONES]]*0.21</f>
        <v>0</v>
      </c>
      <c r="Q50" s="40"/>
      <c r="R50" s="40"/>
      <c r="S50" s="40"/>
      <c r="T50" s="46"/>
      <c r="U50" s="40"/>
      <c r="V50" s="40">
        <f>Tabla356111927344311213151617181911121314151617167758095100[[#This Row],[COMISIONES]]*0.21</f>
        <v>0</v>
      </c>
      <c r="W50" s="40"/>
      <c r="X50" s="40"/>
      <c r="Y50" s="40"/>
    </row>
    <row r="51" spans="1:25" s="6" customFormat="1" x14ac:dyDescent="0.25">
      <c r="A51"/>
      <c r="B51" s="2"/>
      <c r="C51" s="2">
        <f>Tabla1316243221222335262728221222324252626370779297[[#This Row],[COMISIONES]]*0.21</f>
        <v>0</v>
      </c>
      <c r="D51" s="2"/>
      <c r="E51" s="2"/>
      <c r="F51"/>
      <c r="G51"/>
      <c r="I51" s="11"/>
      <c r="J51" s="11">
        <f>Tabla351018263641424445464748441424344454646572789398[[#This Row],[COMISIONES]]*0.21</f>
        <v>0</v>
      </c>
      <c r="K51" s="11"/>
      <c r="L51" s="11"/>
      <c r="M51" s="11"/>
      <c r="O51" s="40"/>
      <c r="P51" s="40">
        <f>Tabla3568131422304081828485868788881828384858686673799499[[#This Row],[COMISIONES]]*0.21</f>
        <v>0</v>
      </c>
      <c r="Q51" s="40"/>
      <c r="R51" s="40"/>
      <c r="S51" s="40"/>
      <c r="T51" s="48"/>
      <c r="U51" s="4">
        <f>SUBTOTAL(109,Tabla356111927344311213151617181911121314151617167758095100[COMISIONES])</f>
        <v>7128.1</v>
      </c>
      <c r="V51" s="4">
        <f>SUBTOTAL(109,Tabla356111927344311213151617181911121314151617167758095100[IVA 21])</f>
        <v>1496.9010000000001</v>
      </c>
      <c r="W51" s="4">
        <f>SUBTOTAL(109,Tabla356111927344311213151617181911121314151617167758095100[IVA 10,5])</f>
        <v>0</v>
      </c>
      <c r="X51" s="4">
        <f>SUBTOTAL(109,Tabla356111927344311213151617181911121314151617167758095100[Ret IIBB Caba])</f>
        <v>9334.93</v>
      </c>
      <c r="Y51" s="4">
        <f>SUBTOTAL(109,Tabla356111927344311213151617181911121314151617167758095100[PERC IVA])</f>
        <v>213.84</v>
      </c>
    </row>
    <row r="52" spans="1:25" s="6" customFormat="1" x14ac:dyDescent="0.25">
      <c r="A52"/>
      <c r="B52" s="2"/>
      <c r="C52" s="2">
        <f>Tabla1316243221222335262728221222324252626370779297[[#This Row],[COMISIONES]]*0.21</f>
        <v>0</v>
      </c>
      <c r="D52" s="2"/>
      <c r="E52" s="2"/>
      <c r="F52"/>
      <c r="G52"/>
      <c r="I52" s="11"/>
      <c r="J52" s="11">
        <f>Tabla351018263641424445464748441424344454646572789398[[#This Row],[COMISIONES]]*0.21</f>
        <v>0</v>
      </c>
      <c r="K52" s="11"/>
      <c r="L52" s="11"/>
      <c r="M52" s="11"/>
      <c r="O52" s="40"/>
      <c r="P52" s="40">
        <f>Tabla3568131422304081828485868788881828384858686673799499[[#This Row],[COMISIONES]]*0.21</f>
        <v>0</v>
      </c>
      <c r="Q52" s="40"/>
      <c r="R52" s="40"/>
      <c r="S52" s="40"/>
      <c r="T52" s="48"/>
      <c r="U52"/>
      <c r="V52"/>
      <c r="W52"/>
      <c r="X52"/>
      <c r="Y52"/>
    </row>
    <row r="53" spans="1:25" s="6" customFormat="1" x14ac:dyDescent="0.25">
      <c r="A53"/>
      <c r="B53" s="2"/>
      <c r="C53" s="2">
        <f>Tabla1316243221222335262728221222324252626370779297[[#This Row],[COMISIONES]]*0.21</f>
        <v>0</v>
      </c>
      <c r="D53" s="2"/>
      <c r="E53" s="2"/>
      <c r="F53"/>
      <c r="G53"/>
      <c r="I53" s="11"/>
      <c r="J53" s="11">
        <f>Tabla351018263641424445464748441424344454646572789398[[#This Row],[COMISIONES]]*0.21</f>
        <v>0</v>
      </c>
      <c r="K53" s="11"/>
      <c r="L53" s="11"/>
      <c r="M53" s="11"/>
      <c r="O53" s="40"/>
      <c r="P53" s="40">
        <f>Tabla3568131422304081828485868788881828384858686673799499[[#This Row],[COMISIONES]]*0.21</f>
        <v>0</v>
      </c>
      <c r="Q53" s="40"/>
      <c r="R53" s="40"/>
      <c r="S53" s="40"/>
      <c r="T53" s="48"/>
      <c r="U53"/>
      <c r="V53"/>
      <c r="W53"/>
      <c r="X53"/>
      <c r="Y53"/>
    </row>
    <row r="54" spans="1:25" s="6" customFormat="1" x14ac:dyDescent="0.25">
      <c r="A54"/>
      <c r="B54" s="2"/>
      <c r="C54" s="2">
        <f>Tabla1316243221222335262728221222324252626370779297[[#This Row],[COMISIONES]]*0.21</f>
        <v>0</v>
      </c>
      <c r="D54" s="1"/>
      <c r="E54" s="2"/>
      <c r="F54"/>
      <c r="G54"/>
      <c r="I54" s="11"/>
      <c r="J54" s="11">
        <f>Tabla351018263641424445464748441424344454646572789398[[#This Row],[COMISIONES]]*0.21</f>
        <v>0</v>
      </c>
      <c r="K54" s="11"/>
      <c r="L54" s="11"/>
      <c r="M54" s="11"/>
      <c r="O54" s="40"/>
      <c r="P54" s="40">
        <f>Tabla3568131422304081828485868788881828384858686673799499[[#This Row],[COMISIONES]]*0.21</f>
        <v>0</v>
      </c>
      <c r="Q54" s="40"/>
      <c r="R54" s="40"/>
      <c r="S54" s="40"/>
      <c r="T54" s="48"/>
      <c r="U54"/>
      <c r="V54"/>
      <c r="W54"/>
      <c r="X54"/>
      <c r="Y54"/>
    </row>
    <row r="55" spans="1:25" s="6" customFormat="1" x14ac:dyDescent="0.25">
      <c r="A55"/>
      <c r="B55" s="2"/>
      <c r="C55" s="2">
        <f>Tabla1316243221222335262728221222324252626370779297[[#This Row],[COMISIONES]]*0.21</f>
        <v>0</v>
      </c>
      <c r="D55" s="2"/>
      <c r="E55" s="2"/>
      <c r="F55"/>
      <c r="G55"/>
      <c r="I55" s="11"/>
      <c r="J55" s="11">
        <f>Tabla351018263641424445464748441424344454646572789398[[#This Row],[COMISIONES]]*0.21</f>
        <v>0</v>
      </c>
      <c r="K55" s="11"/>
      <c r="L55" s="11"/>
      <c r="M55" s="11"/>
      <c r="O55" s="40"/>
      <c r="P55" s="40">
        <f>Tabla3568131422304081828485868788881828384858686673799499[[#This Row],[COMISIONES]]*0.21</f>
        <v>0</v>
      </c>
      <c r="Q55" s="40"/>
      <c r="R55" s="40"/>
      <c r="S55" s="40"/>
      <c r="T55" s="48"/>
      <c r="U55"/>
      <c r="V55"/>
      <c r="W55"/>
      <c r="X55"/>
      <c r="Y55"/>
    </row>
    <row r="56" spans="1:25" s="6" customFormat="1" x14ac:dyDescent="0.25">
      <c r="A56"/>
      <c r="B56" s="2"/>
      <c r="C56" s="2">
        <f>Tabla1316243221222335262728221222324252626370779297[[#This Row],[COMISIONES]]*0.21</f>
        <v>0</v>
      </c>
      <c r="D56" s="2"/>
      <c r="E56" s="2"/>
      <c r="F56"/>
      <c r="G56"/>
      <c r="I56" s="11"/>
      <c r="J56" s="11">
        <f>Tabla351018263641424445464748441424344454646572789398[[#This Row],[COMISIONES]]*0.21</f>
        <v>0</v>
      </c>
      <c r="K56" s="11"/>
      <c r="L56" s="11"/>
      <c r="M56" s="11"/>
      <c r="O56" s="40"/>
      <c r="P56" s="40">
        <f>Tabla3568131422304081828485868788881828384858686673799499[[#This Row],[COMISIONES]]*0.21</f>
        <v>0</v>
      </c>
      <c r="Q56" s="40"/>
      <c r="R56" s="40"/>
      <c r="S56" s="40"/>
      <c r="T56" s="48"/>
      <c r="U56"/>
      <c r="V56"/>
      <c r="W56"/>
      <c r="X56"/>
      <c r="Y56"/>
    </row>
    <row r="57" spans="1:25" s="6" customFormat="1" x14ac:dyDescent="0.25">
      <c r="A57"/>
      <c r="B57" s="4">
        <f>SUBTOTAL(109,Tabla1316243221222335262728221222324252626370779297[COMISIONES])</f>
        <v>308611.89</v>
      </c>
      <c r="C57" s="4">
        <f>SUBTOTAL(109,Tabla1316243221222335262728221222324252626370779297[IVA 21])</f>
        <v>63012.6</v>
      </c>
      <c r="D57" s="4">
        <f>SUBTOTAL(109,Tabla1316243221222335262728221222324252626370779297[IVA 10,5])</f>
        <v>897.94844999999987</v>
      </c>
      <c r="E57" s="4">
        <f>SUBTOTAL(109,Tabla1316243221222335262728221222324252626370779297[Ret IIBB Caba])</f>
        <v>3993.05</v>
      </c>
      <c r="F57" s="4">
        <f>SUBTOTAL(109,Tabla1316243221222335262728221222324252626370779297[PERC IVA])</f>
        <v>9012.77</v>
      </c>
      <c r="G57" s="4"/>
      <c r="I57" s="11"/>
      <c r="J57" s="11">
        <f>Tabla351018263641424445464748441424344454646572789398[[#This Row],[COMISIONES]]*0.21</f>
        <v>0</v>
      </c>
      <c r="K57" s="11"/>
      <c r="L57" s="11"/>
      <c r="M57" s="11"/>
      <c r="O57" s="40"/>
      <c r="P57" s="40">
        <f>Tabla3568131422304081828485868788881828384858686673799499[[#This Row],[COMISIONES]]*0.21</f>
        <v>0</v>
      </c>
      <c r="Q57" s="40"/>
      <c r="R57" s="40"/>
      <c r="S57" s="40"/>
      <c r="T57" s="48"/>
      <c r="U57"/>
      <c r="V57"/>
      <c r="W57"/>
      <c r="X57"/>
      <c r="Y57"/>
    </row>
    <row r="58" spans="1:25" s="6" customFormat="1" x14ac:dyDescent="0.25">
      <c r="A58"/>
      <c r="B58"/>
      <c r="C58"/>
      <c r="D58"/>
      <c r="E58"/>
      <c r="F58"/>
      <c r="G58"/>
      <c r="I58" s="11"/>
      <c r="J58" s="11">
        <f>Tabla351018263641424445464748441424344454646572789398[[#This Row],[COMISIONES]]*0.21</f>
        <v>0</v>
      </c>
      <c r="K58" s="11"/>
      <c r="L58" s="11"/>
      <c r="M58" s="11"/>
      <c r="O58" s="40"/>
      <c r="P58" s="40">
        <f>Tabla3568131422304081828485868788881828384858686673799499[[#This Row],[COMISIONES]]*0.21</f>
        <v>0</v>
      </c>
      <c r="Q58" s="40"/>
      <c r="R58" s="40"/>
      <c r="S58" s="40"/>
      <c r="T58" s="48"/>
      <c r="U58"/>
      <c r="V58"/>
      <c r="W58"/>
      <c r="X58"/>
      <c r="Y58"/>
    </row>
    <row r="59" spans="1:25" s="6" customFormat="1" x14ac:dyDescent="0.25">
      <c r="A59"/>
      <c r="B59"/>
      <c r="C59"/>
      <c r="D59"/>
      <c r="E59"/>
      <c r="F59"/>
      <c r="G59"/>
      <c r="I59" s="11"/>
      <c r="J59" s="11">
        <f>Tabla351018263641424445464748441424344454646572789398[[#This Row],[COMISIONES]]*0.21</f>
        <v>0</v>
      </c>
      <c r="K59" s="11"/>
      <c r="L59" s="11"/>
      <c r="M59" s="11"/>
      <c r="O59" s="40"/>
      <c r="P59" s="40">
        <f>Tabla3568131422304081828485868788881828384858686673799499[[#This Row],[COMISIONES]]*0.21</f>
        <v>0</v>
      </c>
      <c r="Q59" s="40"/>
      <c r="R59" s="40"/>
      <c r="S59" s="40"/>
      <c r="T59" s="48"/>
      <c r="U59"/>
      <c r="V59"/>
      <c r="W59"/>
      <c r="X59"/>
      <c r="Y59"/>
    </row>
    <row r="60" spans="1:25" s="6" customFormat="1" x14ac:dyDescent="0.25">
      <c r="A60"/>
      <c r="B60"/>
      <c r="C60"/>
      <c r="D60"/>
      <c r="E60"/>
      <c r="F60"/>
      <c r="G60"/>
      <c r="I60" s="11"/>
      <c r="J60" s="11">
        <f>Tabla351018263641424445464748441424344454646572789398[[#This Row],[COMISIONES]]*0.21</f>
        <v>0</v>
      </c>
      <c r="K60" s="11"/>
      <c r="L60" s="11"/>
      <c r="M60" s="11"/>
      <c r="O60" s="40"/>
      <c r="P60" s="40">
        <f>Tabla3568131422304081828485868788881828384858686673799499[[#This Row],[COMISIONES]]*0.21</f>
        <v>0</v>
      </c>
      <c r="Q60" s="40"/>
      <c r="R60" s="40"/>
      <c r="S60" s="40"/>
      <c r="T60" s="48"/>
      <c r="U60"/>
      <c r="V60"/>
      <c r="W60"/>
      <c r="X60"/>
      <c r="Y60"/>
    </row>
    <row r="61" spans="1:25" s="6" customFormat="1" x14ac:dyDescent="0.25">
      <c r="A61"/>
      <c r="B61"/>
      <c r="C61"/>
      <c r="D61"/>
      <c r="E61"/>
      <c r="F61"/>
      <c r="G61"/>
      <c r="I61" s="11"/>
      <c r="J61" s="11">
        <f>Tabla351018263641424445464748441424344454646572789398[[#This Row],[COMISIONES]]*0.21</f>
        <v>0</v>
      </c>
      <c r="K61" s="11"/>
      <c r="L61" s="11"/>
      <c r="M61" s="11"/>
      <c r="O61" s="40"/>
      <c r="P61" s="40">
        <f>Tabla3568131422304081828485868788881828384858686673799499[[#This Row],[COMISIONES]]*0.21</f>
        <v>0</v>
      </c>
      <c r="Q61" s="40"/>
      <c r="R61" s="40"/>
      <c r="S61" s="40"/>
      <c r="T61" s="48"/>
      <c r="U61"/>
      <c r="V61"/>
      <c r="W61"/>
      <c r="X61"/>
      <c r="Y61"/>
    </row>
    <row r="62" spans="1:25" s="6" customFormat="1" x14ac:dyDescent="0.25">
      <c r="A62"/>
      <c r="B62"/>
      <c r="C62"/>
      <c r="D62"/>
      <c r="E62"/>
      <c r="F62"/>
      <c r="G62"/>
      <c r="I62" s="11"/>
      <c r="J62" s="11">
        <f>Tabla351018263641424445464748441424344454646572789398[[#This Row],[COMISIONES]]*0.21</f>
        <v>0</v>
      </c>
      <c r="K62" s="11"/>
      <c r="L62" s="11"/>
      <c r="M62" s="11"/>
      <c r="O62" s="40"/>
      <c r="P62" s="40">
        <f>Tabla3568131422304081828485868788881828384858686673799499[[#This Row],[COMISIONES]]*0.21</f>
        <v>0</v>
      </c>
      <c r="Q62" s="40"/>
      <c r="R62" s="40"/>
      <c r="S62" s="40"/>
      <c r="T62" s="48"/>
      <c r="U62"/>
      <c r="V62"/>
      <c r="W62"/>
      <c r="X62"/>
      <c r="Y62"/>
    </row>
    <row r="63" spans="1:25" s="6" customFormat="1" x14ac:dyDescent="0.25">
      <c r="A63"/>
      <c r="B63"/>
      <c r="C63"/>
      <c r="D63"/>
      <c r="E63"/>
      <c r="F63"/>
      <c r="G63"/>
      <c r="I63" s="18"/>
      <c r="J63" s="11">
        <f>Tabla351018263641424445464748441424344454646572789398[[#This Row],[COMISIONES]]*0.21</f>
        <v>0</v>
      </c>
      <c r="K63" s="18"/>
      <c r="L63" s="18"/>
      <c r="M63" s="18"/>
      <c r="O63" s="40"/>
      <c r="P63" s="40">
        <f>Tabla3568131422304081828485868788881828384858686673799499[[#This Row],[COMISIONES]]*0.21</f>
        <v>0</v>
      </c>
      <c r="Q63" s="40"/>
      <c r="R63" s="40"/>
      <c r="S63" s="40"/>
      <c r="T63" s="48"/>
      <c r="U63"/>
      <c r="V63"/>
      <c r="W63"/>
      <c r="X63"/>
      <c r="Y63"/>
    </row>
    <row r="64" spans="1:25" s="6" customFormat="1" x14ac:dyDescent="0.25">
      <c r="A64"/>
      <c r="B64"/>
      <c r="C64"/>
      <c r="D64"/>
      <c r="E64"/>
      <c r="F64"/>
      <c r="G64"/>
      <c r="I64" s="18"/>
      <c r="J64" s="11">
        <f>Tabla351018263641424445464748441424344454646572789398[[#This Row],[COMISIONES]]*0.21</f>
        <v>0</v>
      </c>
      <c r="K64" s="18"/>
      <c r="L64" s="18"/>
      <c r="M64" s="18"/>
      <c r="O64" s="40"/>
      <c r="P64" s="40">
        <f>Tabla3568131422304081828485868788881828384858686673799499[[#This Row],[COMISIONES]]*0.21</f>
        <v>0</v>
      </c>
      <c r="Q64" s="40"/>
      <c r="R64" s="40"/>
      <c r="S64" s="40"/>
      <c r="T64" s="49"/>
      <c r="U64"/>
      <c r="V64"/>
      <c r="W64"/>
      <c r="X64"/>
      <c r="Y64"/>
    </row>
    <row r="65" spans="1:25" s="6" customFormat="1" x14ac:dyDescent="0.25">
      <c r="A65"/>
      <c r="B65"/>
      <c r="C65"/>
      <c r="D65"/>
      <c r="E65"/>
      <c r="F65"/>
      <c r="G65"/>
      <c r="I65" s="18"/>
      <c r="J65" s="11">
        <f>Tabla351018263641424445464748441424344454646572789398[[#This Row],[COMISIONES]]*0.21</f>
        <v>0</v>
      </c>
      <c r="K65" s="18"/>
      <c r="L65" s="18"/>
      <c r="M65" s="18"/>
      <c r="O65" s="40"/>
      <c r="P65" s="40">
        <f>Tabla3568131422304081828485868788881828384858686673799499[[#This Row],[COMISIONES]]*0.21</f>
        <v>0</v>
      </c>
      <c r="Q65" s="40"/>
      <c r="R65" s="40"/>
      <c r="S65" s="40"/>
      <c r="U65"/>
      <c r="V65"/>
      <c r="W65"/>
      <c r="X65"/>
      <c r="Y65"/>
    </row>
    <row r="66" spans="1:25" s="6" customFormat="1" x14ac:dyDescent="0.25">
      <c r="A66"/>
      <c r="B66"/>
      <c r="C66"/>
      <c r="D66"/>
      <c r="E66"/>
      <c r="F66"/>
      <c r="G66"/>
      <c r="I66" s="18"/>
      <c r="J66" s="11">
        <f>Tabla351018263641424445464748441424344454646572789398[[#This Row],[COMISIONES]]*0.21</f>
        <v>0</v>
      </c>
      <c r="K66" s="18"/>
      <c r="L66" s="18"/>
      <c r="M66" s="18"/>
      <c r="O66" s="40"/>
      <c r="P66" s="40">
        <f>Tabla3568131422304081828485868788881828384858686673799499[[#This Row],[COMISIONES]]*0.21</f>
        <v>0</v>
      </c>
      <c r="Q66" s="40"/>
      <c r="R66" s="40"/>
      <c r="S66" s="40"/>
      <c r="U66"/>
      <c r="V66"/>
      <c r="W66"/>
      <c r="X66"/>
      <c r="Y66"/>
    </row>
    <row r="67" spans="1:25" s="6" customFormat="1" x14ac:dyDescent="0.25">
      <c r="A67"/>
      <c r="B67"/>
      <c r="C67"/>
      <c r="D67"/>
      <c r="E67"/>
      <c r="F67"/>
      <c r="G67"/>
      <c r="I67" s="18"/>
      <c r="J67" s="11">
        <f>Tabla351018263641424445464748441424344454646572789398[[#This Row],[COMISIONES]]*0.21</f>
        <v>0</v>
      </c>
      <c r="K67" s="18"/>
      <c r="L67" s="18"/>
      <c r="M67" s="18"/>
      <c r="O67" s="40"/>
      <c r="P67" s="40">
        <f>Tabla3568131422304081828485868788881828384858686673799499[[#This Row],[COMISIONES]]*0.21</f>
        <v>0</v>
      </c>
      <c r="Q67" s="40"/>
      <c r="R67" s="40"/>
      <c r="S67" s="40"/>
      <c r="U67"/>
      <c r="V67"/>
      <c r="W67"/>
      <c r="X67"/>
      <c r="Y67"/>
    </row>
    <row r="68" spans="1:25" s="6" customFormat="1" x14ac:dyDescent="0.25">
      <c r="A68"/>
      <c r="B68"/>
      <c r="C68"/>
      <c r="D68"/>
      <c r="E68"/>
      <c r="F68"/>
      <c r="G68"/>
      <c r="I68" s="18"/>
      <c r="J68" s="11">
        <f>Tabla351018263641424445464748441424344454646572789398[[#This Row],[COMISIONES]]*0.21</f>
        <v>0</v>
      </c>
      <c r="K68" s="18"/>
      <c r="L68" s="18"/>
      <c r="M68" s="18"/>
      <c r="O68" s="40"/>
      <c r="P68" s="40">
        <f>Tabla3568131422304081828485868788881828384858686673799499[[#This Row],[COMISIONES]]*0.21</f>
        <v>0</v>
      </c>
      <c r="Q68" s="40"/>
      <c r="R68" s="40"/>
      <c r="S68" s="40"/>
      <c r="U68"/>
      <c r="V68"/>
      <c r="W68"/>
      <c r="X68"/>
      <c r="Y68"/>
    </row>
    <row r="69" spans="1:25" s="6" customFormat="1" x14ac:dyDescent="0.25">
      <c r="A69"/>
      <c r="B69"/>
      <c r="C69"/>
      <c r="D69"/>
      <c r="E69"/>
      <c r="F69"/>
      <c r="G69"/>
      <c r="I69" s="18"/>
      <c r="J69" s="11">
        <f>Tabla351018263641424445464748441424344454646572789398[[#This Row],[COMISIONES]]*0.21</f>
        <v>0</v>
      </c>
      <c r="K69" s="18"/>
      <c r="L69" s="18"/>
      <c r="M69" s="18"/>
      <c r="O69" s="40"/>
      <c r="P69" s="40">
        <f>Tabla3568131422304081828485868788881828384858686673799499[[#This Row],[COMISIONES]]*0.21</f>
        <v>0</v>
      </c>
      <c r="Q69" s="40"/>
      <c r="R69" s="40"/>
      <c r="S69" s="40"/>
      <c r="U69"/>
      <c r="V69"/>
      <c r="W69"/>
      <c r="X69"/>
      <c r="Y69"/>
    </row>
    <row r="70" spans="1:25" s="6" customFormat="1" x14ac:dyDescent="0.25">
      <c r="A70"/>
      <c r="B70"/>
      <c r="C70"/>
      <c r="D70"/>
      <c r="E70"/>
      <c r="F70"/>
      <c r="G70"/>
      <c r="I70" s="18"/>
      <c r="J70" s="11">
        <f>Tabla351018263641424445464748441424344454646572789398[[#This Row],[COMISIONES]]*0.21</f>
        <v>0</v>
      </c>
      <c r="K70" s="18"/>
      <c r="L70" s="18"/>
      <c r="M70" s="18"/>
      <c r="O70" s="40"/>
      <c r="P70" s="40">
        <f>Tabla3568131422304081828485868788881828384858686673799499[[#This Row],[COMISIONES]]*0.21</f>
        <v>0</v>
      </c>
      <c r="Q70" s="40"/>
      <c r="R70" s="40"/>
      <c r="S70" s="40"/>
      <c r="U70"/>
      <c r="V70"/>
      <c r="W70"/>
      <c r="X70"/>
      <c r="Y70"/>
    </row>
    <row r="71" spans="1:25" s="6" customFormat="1" x14ac:dyDescent="0.25">
      <c r="A71"/>
      <c r="B71"/>
      <c r="C71"/>
      <c r="D71"/>
      <c r="E71"/>
      <c r="F71"/>
      <c r="G71"/>
      <c r="I71" s="18"/>
      <c r="J71" s="11">
        <f>Tabla351018263641424445464748441424344454646572789398[[#This Row],[COMISIONES]]*0.21</f>
        <v>0</v>
      </c>
      <c r="K71" s="18"/>
      <c r="L71" s="18"/>
      <c r="M71" s="18"/>
      <c r="O71" s="40"/>
      <c r="P71" s="40">
        <f>Tabla3568131422304081828485868788881828384858686673799499[[#This Row],[COMISIONES]]*0.21</f>
        <v>0</v>
      </c>
      <c r="Q71" s="40"/>
      <c r="R71" s="40"/>
      <c r="S71" s="40"/>
      <c r="U71"/>
      <c r="V71"/>
      <c r="W71"/>
      <c r="X71"/>
      <c r="Y71"/>
    </row>
    <row r="72" spans="1:25" s="6" customFormat="1" x14ac:dyDescent="0.25">
      <c r="A72"/>
      <c r="B72"/>
      <c r="C72"/>
      <c r="D72"/>
      <c r="E72"/>
      <c r="F72"/>
      <c r="G72"/>
      <c r="I72" s="18"/>
      <c r="J72" s="11">
        <f>Tabla351018263641424445464748441424344454646572789398[[#This Row],[COMISIONES]]*0.21</f>
        <v>0</v>
      </c>
      <c r="K72" s="18"/>
      <c r="L72" s="18"/>
      <c r="M72" s="18"/>
      <c r="O72" s="40"/>
      <c r="P72" s="40">
        <f>Tabla3568131422304081828485868788881828384858686673799499[[#This Row],[COMISIONES]]*0.21</f>
        <v>0</v>
      </c>
      <c r="Q72" s="40"/>
      <c r="R72" s="40"/>
      <c r="S72" s="40"/>
      <c r="U72"/>
      <c r="V72"/>
      <c r="W72"/>
      <c r="X72"/>
      <c r="Y72"/>
    </row>
    <row r="73" spans="1:25" s="6" customFormat="1" x14ac:dyDescent="0.25">
      <c r="A73"/>
      <c r="B73"/>
      <c r="C73"/>
      <c r="D73"/>
      <c r="E73"/>
      <c r="F73"/>
      <c r="G73"/>
      <c r="I73" s="18"/>
      <c r="J73" s="11">
        <f>Tabla351018263641424445464748441424344454646572789398[[#This Row],[COMISIONES]]*0.21</f>
        <v>0</v>
      </c>
      <c r="K73" s="18"/>
      <c r="L73" s="18"/>
      <c r="M73" s="18"/>
      <c r="O73" s="40"/>
      <c r="P73" s="40">
        <f>Tabla3568131422304081828485868788881828384858686673799499[[#This Row],[COMISIONES]]*0.21</f>
        <v>0</v>
      </c>
      <c r="Q73" s="40"/>
      <c r="R73" s="40"/>
      <c r="S73" s="40"/>
      <c r="U73"/>
      <c r="V73"/>
      <c r="W73"/>
      <c r="X73"/>
      <c r="Y73"/>
    </row>
    <row r="74" spans="1:25" s="6" customFormat="1" x14ac:dyDescent="0.25">
      <c r="A74"/>
      <c r="B74"/>
      <c r="C74"/>
      <c r="D74"/>
      <c r="E74"/>
      <c r="F74"/>
      <c r="G74"/>
      <c r="I74" s="18"/>
      <c r="J74" s="11">
        <f>Tabla351018263641424445464748441424344454646572789398[[#This Row],[COMISIONES]]*0.21</f>
        <v>0</v>
      </c>
      <c r="K74" s="18"/>
      <c r="L74" s="18"/>
      <c r="M74" s="18"/>
      <c r="O74" s="40"/>
      <c r="P74" s="40">
        <f>Tabla3568131422304081828485868788881828384858686673799499[[#This Row],[COMISIONES]]*0.21</f>
        <v>0</v>
      </c>
      <c r="Q74" s="40"/>
      <c r="R74" s="40"/>
      <c r="S74" s="40"/>
      <c r="U74"/>
      <c r="V74"/>
      <c r="W74"/>
      <c r="X74"/>
      <c r="Y74"/>
    </row>
    <row r="75" spans="1:25" s="6" customFormat="1" x14ac:dyDescent="0.25">
      <c r="A75"/>
      <c r="B75"/>
      <c r="C75"/>
      <c r="D75"/>
      <c r="E75"/>
      <c r="F75"/>
      <c r="G75"/>
      <c r="I75" s="18"/>
      <c r="J75" s="11">
        <f>Tabla351018263641424445464748441424344454646572789398[[#This Row],[COMISIONES]]*0.21</f>
        <v>0</v>
      </c>
      <c r="K75" s="18"/>
      <c r="L75" s="18"/>
      <c r="M75" s="18"/>
      <c r="O75" s="40"/>
      <c r="P75" s="40">
        <f>Tabla3568131422304081828485868788881828384858686673799499[[#This Row],[COMISIONES]]*0.21</f>
        <v>0</v>
      </c>
      <c r="Q75" s="40"/>
      <c r="R75" s="40"/>
      <c r="S75" s="40"/>
      <c r="U75"/>
      <c r="V75"/>
      <c r="W75"/>
      <c r="X75"/>
      <c r="Y75"/>
    </row>
    <row r="76" spans="1:25" s="6" customFormat="1" x14ac:dyDescent="0.25">
      <c r="A76"/>
      <c r="B76"/>
      <c r="C76"/>
      <c r="D76"/>
      <c r="E76"/>
      <c r="F76"/>
      <c r="G76"/>
      <c r="I76" s="18"/>
      <c r="J76" s="11">
        <f>Tabla351018263641424445464748441424344454646572789398[[#This Row],[COMISIONES]]*0.21</f>
        <v>0</v>
      </c>
      <c r="K76" s="18"/>
      <c r="L76" s="18"/>
      <c r="M76" s="18"/>
      <c r="O76" s="40"/>
      <c r="P76" s="40">
        <f>Tabla3568131422304081828485868788881828384858686673799499[[#This Row],[COMISIONES]]*0.21</f>
        <v>0</v>
      </c>
      <c r="Q76" s="40"/>
      <c r="R76" s="40"/>
      <c r="S76" s="40"/>
      <c r="U76"/>
      <c r="V76"/>
      <c r="W76"/>
      <c r="X76"/>
      <c r="Y76"/>
    </row>
    <row r="77" spans="1:25" s="6" customFormat="1" x14ac:dyDescent="0.25">
      <c r="A77"/>
      <c r="B77"/>
      <c r="C77"/>
      <c r="D77"/>
      <c r="E77"/>
      <c r="F77"/>
      <c r="G77"/>
      <c r="I77" s="18"/>
      <c r="J77" s="11">
        <f>Tabla351018263641424445464748441424344454646572789398[[#This Row],[COMISIONES]]*0.21</f>
        <v>0</v>
      </c>
      <c r="K77" s="18"/>
      <c r="L77" s="18"/>
      <c r="M77" s="18"/>
      <c r="O77" s="4">
        <f>SUBTOTAL(109,Tabla3568131422304081828485868788881828384858686673799499[COMISIONES])</f>
        <v>55721.72</v>
      </c>
      <c r="P77" s="4">
        <f>SUBTOTAL(109,Tabla3568131422304081828485868788881828384858686673799499[IVA 21])</f>
        <v>11550</v>
      </c>
      <c r="Q77" s="4">
        <f>SUBTOTAL(109,Tabla3568131422304081828485868788881828384858686673799499[IVA 10,5])</f>
        <v>75.780600000000007</v>
      </c>
      <c r="R77" s="4">
        <f>SUBTOTAL(109,Tabla3568131422304081828485868788881828384858686673799499[Ret IIBB Caba])</f>
        <v>1650</v>
      </c>
      <c r="S77" s="4">
        <f>SUBTOTAL(109,Tabla3568131422304081828485868788881828384858686673799499[PERC IVA])</f>
        <v>1650</v>
      </c>
      <c r="U77"/>
      <c r="V77"/>
      <c r="W77"/>
      <c r="X77"/>
      <c r="Y77"/>
    </row>
    <row r="78" spans="1:25" s="6" customFormat="1" x14ac:dyDescent="0.25">
      <c r="A78"/>
      <c r="B78"/>
      <c r="C78"/>
      <c r="D78"/>
      <c r="E78"/>
      <c r="F78"/>
      <c r="G78"/>
      <c r="I78" s="4">
        <f>SUBTOTAL(109,Tabla351018263641424445464748441424344454646572789398[COMISIONES])</f>
        <v>72178.91</v>
      </c>
      <c r="J78" s="4">
        <f>SUBTOTAL(109,Tabla351018263641424445464748441424344454646572789398[IVA 21])</f>
        <v>15108.45</v>
      </c>
      <c r="K78" s="4">
        <f>SUBTOTAL(109,Tabla351018263641424445464748441424344454646572789398[IVA 10,5])</f>
        <v>24.560549999999999</v>
      </c>
      <c r="L78" s="4">
        <f>SUBTOTAL(109,Tabla351018263641424445464748441424344454646572789398[Ret IIBB Caba])</f>
        <v>2158</v>
      </c>
      <c r="M78" s="4">
        <f>SUBTOTAL(109,Tabla351018263641424445464748441424344454646572789398[PERC IVA])</f>
        <v>2158.35</v>
      </c>
      <c r="O78"/>
      <c r="P78"/>
      <c r="Q78"/>
      <c r="R78"/>
      <c r="S78"/>
      <c r="U78"/>
      <c r="V78"/>
      <c r="W78"/>
      <c r="X78"/>
      <c r="Y78"/>
    </row>
    <row r="79" spans="1:25" s="6" customFormat="1" x14ac:dyDescent="0.25">
      <c r="A79"/>
      <c r="B79"/>
      <c r="C79"/>
      <c r="D79"/>
      <c r="E79"/>
      <c r="F79"/>
      <c r="G79"/>
      <c r="I79"/>
      <c r="J79"/>
      <c r="K79"/>
      <c r="L79"/>
      <c r="M79"/>
      <c r="O79"/>
      <c r="P79"/>
      <c r="Q79"/>
      <c r="R79"/>
      <c r="S79"/>
      <c r="U79"/>
      <c r="V79"/>
      <c r="W79"/>
      <c r="X79"/>
      <c r="Y79"/>
    </row>
    <row r="80" spans="1:25" s="6" customFormat="1" x14ac:dyDescent="0.25">
      <c r="A80"/>
      <c r="B80"/>
      <c r="C80"/>
      <c r="D80"/>
      <c r="E80"/>
      <c r="F80"/>
      <c r="G80"/>
      <c r="I80"/>
      <c r="J80"/>
      <c r="K80"/>
      <c r="L80"/>
      <c r="M80"/>
      <c r="O80"/>
      <c r="P80"/>
      <c r="Q80"/>
      <c r="R80"/>
      <c r="S80"/>
      <c r="U80"/>
      <c r="V80"/>
      <c r="W80"/>
      <c r="X80"/>
      <c r="Y80"/>
    </row>
    <row r="81" spans="1:25" s="6" customFormat="1" x14ac:dyDescent="0.25">
      <c r="A81"/>
      <c r="B81"/>
      <c r="C81"/>
      <c r="D81"/>
      <c r="E81"/>
      <c r="F81"/>
      <c r="G81"/>
      <c r="I81"/>
      <c r="J81"/>
      <c r="K81"/>
      <c r="L81"/>
      <c r="M81"/>
      <c r="O81"/>
      <c r="P81"/>
      <c r="Q81"/>
      <c r="R81"/>
      <c r="S81"/>
      <c r="U81"/>
      <c r="V81"/>
      <c r="W81"/>
      <c r="X81"/>
      <c r="Y81"/>
    </row>
    <row r="82" spans="1:25" s="6" customFormat="1" x14ac:dyDescent="0.25">
      <c r="A82"/>
      <c r="B82"/>
      <c r="C82"/>
      <c r="D82"/>
      <c r="E82"/>
      <c r="F82"/>
      <c r="G82"/>
      <c r="I82"/>
      <c r="J82"/>
      <c r="K82"/>
      <c r="L82"/>
      <c r="M82"/>
      <c r="O82"/>
      <c r="P82"/>
      <c r="Q82"/>
      <c r="R82"/>
      <c r="S82"/>
      <c r="U82"/>
      <c r="V82"/>
      <c r="W82"/>
      <c r="X82"/>
      <c r="Y82"/>
    </row>
    <row r="83" spans="1:25" s="6" customFormat="1" x14ac:dyDescent="0.25">
      <c r="A83"/>
      <c r="B83"/>
      <c r="C83"/>
      <c r="D83"/>
      <c r="E83"/>
      <c r="F83"/>
      <c r="G83"/>
      <c r="I83"/>
      <c r="J83"/>
      <c r="K83"/>
      <c r="L83"/>
      <c r="M83"/>
      <c r="O83"/>
      <c r="P83"/>
      <c r="Q83"/>
      <c r="R83"/>
      <c r="S83"/>
      <c r="U83"/>
      <c r="V83"/>
      <c r="W83"/>
      <c r="X83"/>
      <c r="Y83"/>
    </row>
    <row r="84" spans="1:25" s="6" customFormat="1" x14ac:dyDescent="0.25">
      <c r="A84"/>
      <c r="B84"/>
      <c r="C84"/>
      <c r="D84"/>
      <c r="E84"/>
      <c r="F84"/>
      <c r="G84"/>
      <c r="I84"/>
      <c r="J84"/>
      <c r="K84"/>
      <c r="L84"/>
      <c r="M84"/>
      <c r="O84"/>
      <c r="P84"/>
      <c r="Q84"/>
      <c r="R84"/>
      <c r="S84"/>
      <c r="U84"/>
      <c r="V84"/>
      <c r="W84"/>
      <c r="X84"/>
      <c r="Y84"/>
    </row>
    <row r="85" spans="1:25" s="6" customFormat="1" x14ac:dyDescent="0.25">
      <c r="A85"/>
      <c r="B85"/>
      <c r="C85"/>
      <c r="D85"/>
      <c r="E85"/>
      <c r="F85"/>
      <c r="G85"/>
      <c r="I85"/>
      <c r="J85"/>
      <c r="K85"/>
      <c r="L85"/>
      <c r="M85"/>
      <c r="O85"/>
      <c r="P85"/>
      <c r="Q85"/>
      <c r="R85"/>
      <c r="S85"/>
      <c r="U85"/>
      <c r="V85"/>
      <c r="W85"/>
      <c r="X85"/>
      <c r="Y85"/>
    </row>
    <row r="86" spans="1:25" s="6" customFormat="1" x14ac:dyDescent="0.25">
      <c r="A86"/>
      <c r="B86"/>
      <c r="C86"/>
      <c r="D86"/>
      <c r="E86"/>
      <c r="F86"/>
      <c r="G86"/>
      <c r="I86"/>
      <c r="J86"/>
      <c r="K86"/>
      <c r="L86"/>
      <c r="M86"/>
      <c r="O86"/>
      <c r="P86"/>
      <c r="Q86"/>
      <c r="R86"/>
      <c r="S86"/>
      <c r="U86"/>
      <c r="V86"/>
      <c r="W86"/>
      <c r="X86"/>
      <c r="Y86"/>
    </row>
    <row r="87" spans="1:25" s="6" customFormat="1" x14ac:dyDescent="0.25">
      <c r="A87"/>
      <c r="B87"/>
      <c r="C87"/>
      <c r="D87"/>
      <c r="E87"/>
      <c r="F87"/>
      <c r="G87"/>
      <c r="I87"/>
      <c r="J87"/>
      <c r="K87"/>
      <c r="L87"/>
      <c r="M87"/>
      <c r="O87"/>
      <c r="P87"/>
      <c r="Q87"/>
      <c r="R87"/>
      <c r="S87"/>
      <c r="U87"/>
      <c r="V87"/>
      <c r="W87"/>
      <c r="X87"/>
      <c r="Y87"/>
    </row>
    <row r="88" spans="1:25" s="6" customFormat="1" x14ac:dyDescent="0.25">
      <c r="A88"/>
      <c r="B88"/>
      <c r="C88"/>
      <c r="D88"/>
      <c r="E88"/>
      <c r="F88"/>
      <c r="G88"/>
      <c r="I88"/>
      <c r="J88"/>
      <c r="K88"/>
      <c r="L88"/>
      <c r="M88"/>
      <c r="O88"/>
      <c r="P88"/>
      <c r="Q88"/>
      <c r="R88"/>
      <c r="S88"/>
      <c r="U88"/>
      <c r="V88"/>
      <c r="W88"/>
      <c r="X88"/>
      <c r="Y88"/>
    </row>
    <row r="89" spans="1:25" s="6" customFormat="1" x14ac:dyDescent="0.25">
      <c r="A89"/>
      <c r="B89"/>
      <c r="C89"/>
      <c r="D89"/>
      <c r="E89"/>
      <c r="F89"/>
      <c r="G89"/>
      <c r="I89"/>
      <c r="J89"/>
      <c r="K89"/>
      <c r="L89"/>
      <c r="M89"/>
      <c r="O89"/>
      <c r="P89"/>
      <c r="Q89"/>
      <c r="R89"/>
      <c r="S89"/>
      <c r="U89"/>
      <c r="V89"/>
      <c r="W89"/>
      <c r="X89"/>
      <c r="Y89"/>
    </row>
    <row r="90" spans="1:25" s="6" customFormat="1" x14ac:dyDescent="0.25">
      <c r="A90"/>
      <c r="B90"/>
      <c r="C90"/>
      <c r="D90"/>
      <c r="E90"/>
      <c r="F90"/>
      <c r="G90"/>
      <c r="I90"/>
      <c r="J90"/>
      <c r="K90"/>
      <c r="L90"/>
      <c r="M90"/>
      <c r="O90"/>
      <c r="P90"/>
      <c r="Q90"/>
      <c r="R90"/>
      <c r="S90"/>
      <c r="U90"/>
      <c r="V90"/>
      <c r="W90"/>
      <c r="X90"/>
      <c r="Y90"/>
    </row>
    <row r="91" spans="1:25" s="6" customFormat="1" x14ac:dyDescent="0.25">
      <c r="A91"/>
      <c r="B91"/>
      <c r="C91"/>
      <c r="D91"/>
      <c r="E91"/>
      <c r="F91"/>
      <c r="G91"/>
      <c r="I91"/>
      <c r="J91"/>
      <c r="K91"/>
      <c r="L91"/>
      <c r="M91"/>
      <c r="O91"/>
      <c r="P91"/>
      <c r="Q91"/>
      <c r="R91"/>
      <c r="S91"/>
      <c r="U91"/>
      <c r="V91"/>
      <c r="W91"/>
      <c r="X91"/>
      <c r="Y91"/>
    </row>
    <row r="92" spans="1:25" s="6" customFormat="1" x14ac:dyDescent="0.25">
      <c r="A92"/>
      <c r="B92"/>
      <c r="C92"/>
      <c r="D92"/>
      <c r="E92"/>
      <c r="F92"/>
      <c r="G92"/>
      <c r="I92"/>
      <c r="J92"/>
      <c r="K92"/>
      <c r="L92"/>
      <c r="M92"/>
      <c r="O92"/>
      <c r="P92"/>
      <c r="Q92"/>
      <c r="R92"/>
      <c r="S92"/>
      <c r="U92"/>
      <c r="V92"/>
      <c r="W92"/>
      <c r="X92"/>
      <c r="Y92"/>
    </row>
    <row r="93" spans="1:25" s="6" customFormat="1" x14ac:dyDescent="0.25">
      <c r="A93"/>
      <c r="B93"/>
      <c r="C93"/>
      <c r="D93"/>
      <c r="E93"/>
      <c r="F93"/>
      <c r="G93"/>
      <c r="I93"/>
      <c r="J93"/>
      <c r="K93"/>
      <c r="L93"/>
      <c r="M93"/>
      <c r="O93"/>
      <c r="P93"/>
      <c r="Q93"/>
      <c r="R93"/>
      <c r="S93"/>
      <c r="U93"/>
      <c r="V93"/>
      <c r="W93"/>
      <c r="X93"/>
      <c r="Y93"/>
    </row>
    <row r="94" spans="1:25" s="6" customFormat="1" x14ac:dyDescent="0.25">
      <c r="A94"/>
      <c r="B94"/>
      <c r="C94"/>
      <c r="D94"/>
      <c r="E94"/>
      <c r="F94"/>
      <c r="G94"/>
      <c r="I94"/>
      <c r="J94"/>
      <c r="K94"/>
      <c r="L94"/>
      <c r="M94"/>
      <c r="O94"/>
      <c r="P94"/>
      <c r="Q94"/>
      <c r="R94"/>
      <c r="S94"/>
      <c r="U94"/>
      <c r="V94"/>
      <c r="W94"/>
      <c r="X94"/>
      <c r="Y94"/>
    </row>
    <row r="95" spans="1:25" s="6" customFormat="1" x14ac:dyDescent="0.25">
      <c r="A95"/>
      <c r="B95"/>
      <c r="C95"/>
      <c r="D95"/>
      <c r="E95"/>
      <c r="F95"/>
      <c r="G95"/>
      <c r="I95"/>
      <c r="J95"/>
      <c r="K95"/>
      <c r="L95"/>
      <c r="M95"/>
      <c r="O95"/>
      <c r="P95"/>
      <c r="Q95"/>
      <c r="R95"/>
      <c r="S95"/>
      <c r="U95"/>
      <c r="V95"/>
      <c r="W95"/>
      <c r="X95"/>
      <c r="Y95"/>
    </row>
    <row r="96" spans="1:25" s="6" customFormat="1" x14ac:dyDescent="0.25">
      <c r="A96"/>
      <c r="B96"/>
      <c r="C96"/>
      <c r="D96"/>
      <c r="E96"/>
      <c r="F96"/>
      <c r="G96"/>
      <c r="I96"/>
      <c r="J96"/>
      <c r="K96"/>
      <c r="L96"/>
      <c r="M96"/>
      <c r="O96"/>
      <c r="P96"/>
      <c r="Q96"/>
      <c r="R96"/>
      <c r="S96"/>
      <c r="U96"/>
      <c r="V96"/>
      <c r="W96"/>
      <c r="X96"/>
      <c r="Y96"/>
    </row>
    <row r="97" spans="1:25" s="6" customFormat="1" x14ac:dyDescent="0.25">
      <c r="A97"/>
      <c r="B97"/>
      <c r="C97"/>
      <c r="D97"/>
      <c r="E97"/>
      <c r="F97"/>
      <c r="G97"/>
      <c r="I97"/>
      <c r="J97"/>
      <c r="K97"/>
      <c r="L97"/>
      <c r="M97"/>
      <c r="O97"/>
      <c r="P97"/>
      <c r="Q97"/>
      <c r="R97"/>
      <c r="S97"/>
      <c r="U97"/>
      <c r="V97"/>
      <c r="W97"/>
      <c r="X97"/>
      <c r="Y97"/>
    </row>
    <row r="98" spans="1:25" s="6" customFormat="1" x14ac:dyDescent="0.25">
      <c r="A98"/>
      <c r="B98"/>
      <c r="C98"/>
      <c r="D98"/>
      <c r="E98"/>
      <c r="F98"/>
      <c r="G98"/>
      <c r="I98"/>
      <c r="J98"/>
      <c r="K98"/>
      <c r="L98"/>
      <c r="M98"/>
      <c r="O98"/>
      <c r="P98"/>
      <c r="Q98"/>
      <c r="R98"/>
      <c r="S98"/>
      <c r="U98"/>
      <c r="V98"/>
      <c r="W98"/>
      <c r="X98"/>
      <c r="Y98"/>
    </row>
    <row r="99" spans="1:25" s="6" customFormat="1" x14ac:dyDescent="0.25">
      <c r="A99"/>
      <c r="B99"/>
      <c r="C99"/>
      <c r="D99"/>
      <c r="E99"/>
      <c r="F99"/>
      <c r="G99"/>
      <c r="I99"/>
      <c r="J99"/>
      <c r="K99"/>
      <c r="L99"/>
      <c r="M99"/>
      <c r="O99"/>
      <c r="P99"/>
      <c r="Q99"/>
      <c r="R99"/>
      <c r="S99"/>
      <c r="U99"/>
      <c r="V99"/>
      <c r="W99"/>
      <c r="X99"/>
      <c r="Y99"/>
    </row>
    <row r="100" spans="1:25" s="6" customFormat="1" x14ac:dyDescent="0.25">
      <c r="A100"/>
      <c r="B100"/>
      <c r="C100"/>
      <c r="D100"/>
      <c r="E100"/>
      <c r="F100"/>
      <c r="G100"/>
      <c r="I100"/>
      <c r="J100"/>
      <c r="K100"/>
      <c r="L100"/>
      <c r="M100"/>
      <c r="O100"/>
      <c r="P100"/>
      <c r="Q100"/>
      <c r="R100"/>
      <c r="S100"/>
      <c r="U100"/>
      <c r="V100"/>
      <c r="W100"/>
      <c r="X100"/>
      <c r="Y100"/>
    </row>
    <row r="101" spans="1:25" s="6" customFormat="1" x14ac:dyDescent="0.25">
      <c r="A101"/>
      <c r="B101"/>
      <c r="C101"/>
      <c r="D101"/>
      <c r="E101"/>
      <c r="F101"/>
      <c r="G101"/>
      <c r="I101"/>
      <c r="J101"/>
      <c r="K101"/>
      <c r="L101"/>
      <c r="M101"/>
      <c r="O101"/>
      <c r="P101"/>
      <c r="Q101"/>
      <c r="R101"/>
      <c r="S101"/>
      <c r="U101"/>
      <c r="V101"/>
      <c r="W101"/>
      <c r="X101"/>
      <c r="Y101"/>
    </row>
    <row r="102" spans="1:25" s="6" customFormat="1" x14ac:dyDescent="0.25">
      <c r="A102"/>
      <c r="B102"/>
      <c r="C102"/>
      <c r="D102"/>
      <c r="E102"/>
      <c r="F102"/>
      <c r="G102"/>
      <c r="I102"/>
      <c r="J102"/>
      <c r="K102"/>
      <c r="L102"/>
      <c r="M102"/>
      <c r="O102"/>
      <c r="P102"/>
      <c r="Q102"/>
      <c r="R102"/>
      <c r="S102"/>
      <c r="U102"/>
      <c r="V102"/>
      <c r="W102"/>
      <c r="X102"/>
      <c r="Y102"/>
    </row>
    <row r="103" spans="1:25" s="6" customFormat="1" x14ac:dyDescent="0.25">
      <c r="A103"/>
      <c r="B103"/>
      <c r="C103"/>
      <c r="D103"/>
      <c r="E103"/>
      <c r="F103"/>
      <c r="G103"/>
      <c r="I103"/>
      <c r="J103"/>
      <c r="K103"/>
      <c r="L103"/>
      <c r="M103"/>
      <c r="O103"/>
      <c r="P103"/>
      <c r="Q103"/>
      <c r="R103"/>
      <c r="S103"/>
      <c r="U103"/>
      <c r="V103"/>
      <c r="W103"/>
      <c r="X103"/>
      <c r="Y103"/>
    </row>
    <row r="104" spans="1:25" s="6" customFormat="1" x14ac:dyDescent="0.25">
      <c r="A104"/>
      <c r="B104"/>
      <c r="C104"/>
      <c r="D104"/>
      <c r="E104"/>
      <c r="F104"/>
      <c r="G104"/>
      <c r="I104"/>
      <c r="J104"/>
      <c r="K104"/>
      <c r="L104"/>
      <c r="M104"/>
      <c r="O104"/>
      <c r="P104"/>
      <c r="Q104"/>
      <c r="R104"/>
      <c r="S104"/>
      <c r="U104"/>
      <c r="V104"/>
      <c r="W104"/>
      <c r="X104"/>
      <c r="Y104"/>
    </row>
    <row r="105" spans="1:25" s="6" customFormat="1" x14ac:dyDescent="0.25">
      <c r="A105"/>
      <c r="B105"/>
      <c r="C105"/>
      <c r="D105"/>
      <c r="E105"/>
      <c r="F105"/>
      <c r="G105"/>
      <c r="I105"/>
      <c r="J105"/>
      <c r="K105"/>
      <c r="L105"/>
      <c r="M105"/>
      <c r="O105"/>
      <c r="P105"/>
      <c r="Q105"/>
      <c r="R105"/>
      <c r="S105"/>
      <c r="U105"/>
      <c r="V105"/>
      <c r="W105"/>
      <c r="X105"/>
      <c r="Y105"/>
    </row>
    <row r="106" spans="1:25" s="6" customFormat="1" x14ac:dyDescent="0.25">
      <c r="A106"/>
      <c r="B106"/>
      <c r="C106"/>
      <c r="D106"/>
      <c r="E106"/>
      <c r="F106"/>
      <c r="G106"/>
      <c r="I106"/>
      <c r="J106"/>
      <c r="K106"/>
      <c r="L106"/>
      <c r="M106"/>
      <c r="O106"/>
      <c r="P106"/>
      <c r="Q106"/>
      <c r="R106"/>
      <c r="S106"/>
      <c r="U106"/>
      <c r="V106"/>
      <c r="W106"/>
      <c r="X106"/>
      <c r="Y106"/>
    </row>
    <row r="107" spans="1:25" s="6" customFormat="1" x14ac:dyDescent="0.25">
      <c r="A107"/>
      <c r="B107"/>
      <c r="C107"/>
      <c r="D107"/>
      <c r="E107"/>
      <c r="F107"/>
      <c r="G107"/>
      <c r="I107"/>
      <c r="J107"/>
      <c r="K107"/>
      <c r="L107"/>
      <c r="M107"/>
      <c r="O107"/>
      <c r="P107"/>
      <c r="Q107"/>
      <c r="R107"/>
      <c r="S107"/>
      <c r="U107"/>
      <c r="V107"/>
      <c r="W107"/>
      <c r="X107"/>
      <c r="Y107"/>
    </row>
    <row r="108" spans="1:25" s="6" customFormat="1" x14ac:dyDescent="0.25">
      <c r="A108"/>
      <c r="B108"/>
      <c r="C108"/>
      <c r="D108"/>
      <c r="E108"/>
      <c r="F108"/>
      <c r="G108"/>
      <c r="I108"/>
      <c r="J108"/>
      <c r="K108"/>
      <c r="L108"/>
      <c r="M108"/>
      <c r="O108"/>
      <c r="P108"/>
      <c r="Q108"/>
      <c r="R108"/>
      <c r="S108"/>
      <c r="U108"/>
      <c r="V108"/>
      <c r="W108"/>
      <c r="X108"/>
      <c r="Y108"/>
    </row>
    <row r="109" spans="1:25" s="6" customFormat="1" x14ac:dyDescent="0.25">
      <c r="A109"/>
      <c r="B109"/>
      <c r="C109"/>
      <c r="D109"/>
      <c r="E109"/>
      <c r="F109"/>
      <c r="G109"/>
      <c r="I109"/>
      <c r="J109"/>
      <c r="K109"/>
      <c r="L109"/>
      <c r="M109"/>
      <c r="O109"/>
      <c r="P109"/>
      <c r="Q109"/>
      <c r="R109"/>
      <c r="S109"/>
      <c r="U109"/>
      <c r="V109"/>
      <c r="W109"/>
      <c r="X109"/>
      <c r="Y109"/>
    </row>
    <row r="110" spans="1:25" s="6" customFormat="1" x14ac:dyDescent="0.25">
      <c r="A110"/>
      <c r="B110"/>
      <c r="C110"/>
      <c r="D110"/>
      <c r="E110"/>
      <c r="F110"/>
      <c r="G110"/>
      <c r="I110"/>
      <c r="J110"/>
      <c r="K110"/>
      <c r="L110"/>
      <c r="M110"/>
      <c r="O110"/>
      <c r="P110"/>
      <c r="Q110"/>
      <c r="R110"/>
      <c r="S110"/>
      <c r="U110"/>
      <c r="V110"/>
      <c r="W110"/>
      <c r="X110"/>
      <c r="Y110"/>
    </row>
    <row r="111" spans="1:25" s="6" customFormat="1" x14ac:dyDescent="0.25">
      <c r="A111"/>
      <c r="B111"/>
      <c r="C111"/>
      <c r="D111"/>
      <c r="E111"/>
      <c r="F111"/>
      <c r="G111"/>
      <c r="I111"/>
      <c r="J111"/>
      <c r="K111"/>
      <c r="L111"/>
      <c r="M111"/>
      <c r="O111"/>
      <c r="P111"/>
      <c r="Q111"/>
      <c r="R111"/>
      <c r="S111"/>
      <c r="U111"/>
      <c r="V111"/>
      <c r="W111"/>
      <c r="X111"/>
      <c r="Y111"/>
    </row>
    <row r="112" spans="1:25" s="6" customFormat="1" x14ac:dyDescent="0.25">
      <c r="A112"/>
      <c r="B112"/>
      <c r="C112"/>
      <c r="D112"/>
      <c r="E112"/>
      <c r="F112"/>
      <c r="G112"/>
      <c r="I112"/>
      <c r="J112"/>
      <c r="K112"/>
      <c r="L112"/>
      <c r="M112"/>
      <c r="O112"/>
      <c r="P112"/>
      <c r="Q112"/>
      <c r="R112"/>
      <c r="S112"/>
      <c r="U112"/>
      <c r="V112"/>
      <c r="W112"/>
      <c r="X112"/>
      <c r="Y112"/>
    </row>
    <row r="184" spans="1:31" s="6" customFormat="1" x14ac:dyDescent="0.25">
      <c r="A184"/>
      <c r="B184"/>
      <c r="C184"/>
      <c r="D184"/>
      <c r="E184"/>
      <c r="F184"/>
      <c r="G184"/>
      <c r="I184"/>
      <c r="J184"/>
      <c r="K184"/>
      <c r="L184"/>
      <c r="M184"/>
      <c r="O184"/>
      <c r="P184"/>
      <c r="Q184"/>
      <c r="R184"/>
      <c r="S184"/>
      <c r="U184"/>
      <c r="V184"/>
      <c r="W184"/>
      <c r="X184"/>
      <c r="Y184"/>
      <c r="AA184"/>
      <c r="AB184"/>
      <c r="AC184"/>
      <c r="AD184"/>
      <c r="AE184"/>
    </row>
    <row r="185" spans="1:31" s="6" customFormat="1" x14ac:dyDescent="0.25">
      <c r="A185"/>
      <c r="B185"/>
      <c r="C185"/>
      <c r="D185"/>
      <c r="E185"/>
      <c r="F185"/>
      <c r="G185"/>
      <c r="I185"/>
      <c r="J185"/>
      <c r="K185"/>
      <c r="L185"/>
      <c r="M185"/>
      <c r="O185"/>
      <c r="P185"/>
      <c r="Q185"/>
      <c r="R185"/>
      <c r="S185"/>
      <c r="U185"/>
      <c r="V185"/>
      <c r="W185"/>
      <c r="X185"/>
      <c r="Y185"/>
      <c r="AA185"/>
      <c r="AB185"/>
      <c r="AC185"/>
      <c r="AD185"/>
      <c r="AE185"/>
    </row>
    <row r="186" spans="1:31" s="6" customFormat="1" x14ac:dyDescent="0.25">
      <c r="A186"/>
      <c r="B186"/>
      <c r="C186"/>
      <c r="D186"/>
      <c r="E186"/>
      <c r="F186"/>
      <c r="G186"/>
      <c r="I186"/>
      <c r="J186"/>
      <c r="K186"/>
      <c r="L186"/>
      <c r="M186"/>
      <c r="O186"/>
      <c r="P186"/>
      <c r="Q186"/>
      <c r="R186"/>
      <c r="S186"/>
      <c r="U186"/>
      <c r="V186"/>
      <c r="W186"/>
      <c r="X186"/>
      <c r="Y186"/>
      <c r="AA186"/>
      <c r="AB186"/>
      <c r="AC186"/>
      <c r="AD186"/>
      <c r="AE186"/>
    </row>
    <row r="187" spans="1:31" s="6" customFormat="1" x14ac:dyDescent="0.25">
      <c r="A187"/>
      <c r="B187"/>
      <c r="C187"/>
      <c r="D187"/>
      <c r="E187"/>
      <c r="F187"/>
      <c r="G187"/>
      <c r="I187"/>
      <c r="J187"/>
      <c r="K187"/>
      <c r="L187"/>
      <c r="M187"/>
      <c r="O187"/>
      <c r="P187"/>
      <c r="Q187"/>
      <c r="R187"/>
      <c r="S187"/>
      <c r="U187"/>
      <c r="V187"/>
      <c r="W187"/>
      <c r="X187"/>
      <c r="Y187"/>
      <c r="AA187"/>
      <c r="AB187"/>
      <c r="AC187"/>
      <c r="AD187"/>
      <c r="AE187"/>
    </row>
    <row r="188" spans="1:31" s="6" customFormat="1" x14ac:dyDescent="0.25">
      <c r="A188"/>
      <c r="B188"/>
      <c r="C188"/>
      <c r="D188"/>
      <c r="E188"/>
      <c r="F188"/>
      <c r="G188"/>
      <c r="I188"/>
      <c r="J188"/>
      <c r="K188"/>
      <c r="L188"/>
      <c r="M188"/>
      <c r="O188"/>
      <c r="P188"/>
      <c r="Q188"/>
      <c r="R188"/>
      <c r="S188"/>
      <c r="U188"/>
      <c r="V188"/>
      <c r="W188"/>
      <c r="X188"/>
      <c r="Y188"/>
      <c r="AA188"/>
      <c r="AB188"/>
      <c r="AC188"/>
      <c r="AD188"/>
      <c r="AE188"/>
    </row>
    <row r="189" spans="1:31" s="6" customFormat="1" x14ac:dyDescent="0.25">
      <c r="A189"/>
      <c r="B189"/>
      <c r="C189"/>
      <c r="D189"/>
      <c r="E189"/>
      <c r="F189"/>
      <c r="G189"/>
      <c r="I189"/>
      <c r="J189"/>
      <c r="K189"/>
      <c r="L189"/>
      <c r="M189"/>
      <c r="O189"/>
      <c r="P189"/>
      <c r="Q189"/>
      <c r="R189"/>
      <c r="S189"/>
      <c r="U189"/>
      <c r="V189"/>
      <c r="W189"/>
      <c r="X189"/>
      <c r="Y189"/>
      <c r="AA189"/>
      <c r="AB189"/>
      <c r="AC189"/>
      <c r="AD189"/>
      <c r="AE189"/>
    </row>
    <row r="190" spans="1:31" s="6" customFormat="1" x14ac:dyDescent="0.25">
      <c r="A190"/>
      <c r="B190"/>
      <c r="C190"/>
      <c r="D190"/>
      <c r="E190"/>
      <c r="F190"/>
      <c r="G190"/>
      <c r="I190"/>
      <c r="J190"/>
      <c r="K190"/>
      <c r="L190"/>
      <c r="M190"/>
      <c r="O190"/>
      <c r="P190"/>
      <c r="Q190"/>
      <c r="R190"/>
      <c r="S190"/>
      <c r="U190"/>
      <c r="V190"/>
      <c r="W190"/>
      <c r="X190"/>
      <c r="Y190"/>
      <c r="AA190"/>
      <c r="AB190"/>
      <c r="AC190"/>
      <c r="AD190"/>
      <c r="AE190"/>
    </row>
    <row r="191" spans="1:31" s="6" customFormat="1" x14ac:dyDescent="0.25">
      <c r="A191"/>
      <c r="B191"/>
      <c r="C191"/>
      <c r="D191"/>
      <c r="E191"/>
      <c r="F191"/>
      <c r="G191"/>
      <c r="I191"/>
      <c r="J191"/>
      <c r="K191"/>
      <c r="L191"/>
      <c r="M191"/>
      <c r="O191"/>
      <c r="P191"/>
      <c r="Q191"/>
      <c r="R191"/>
      <c r="S191"/>
      <c r="U191"/>
      <c r="V191"/>
      <c r="W191"/>
      <c r="X191"/>
      <c r="Y191"/>
      <c r="AA191"/>
      <c r="AB191"/>
      <c r="AC191"/>
      <c r="AD191"/>
      <c r="AE191"/>
    </row>
    <row r="192" spans="1:31" s="6" customFormat="1" x14ac:dyDescent="0.25">
      <c r="A192"/>
      <c r="B192"/>
      <c r="C192"/>
      <c r="D192"/>
      <c r="E192"/>
      <c r="F192"/>
      <c r="G192"/>
      <c r="I192"/>
      <c r="J192"/>
      <c r="K192"/>
      <c r="L192"/>
      <c r="M192"/>
      <c r="O192"/>
      <c r="P192"/>
      <c r="Q192"/>
      <c r="R192"/>
      <c r="S192"/>
      <c r="U192"/>
      <c r="V192"/>
      <c r="W192"/>
      <c r="X192"/>
      <c r="Y192"/>
      <c r="AA192"/>
      <c r="AB192"/>
      <c r="AC192"/>
      <c r="AD192"/>
      <c r="AE192"/>
    </row>
    <row r="193" spans="1:31" s="6" customFormat="1" x14ac:dyDescent="0.25">
      <c r="A193"/>
      <c r="B193"/>
      <c r="C193"/>
      <c r="D193"/>
      <c r="E193"/>
      <c r="F193"/>
      <c r="G193"/>
      <c r="I193"/>
      <c r="J193"/>
      <c r="K193"/>
      <c r="L193"/>
      <c r="M193"/>
      <c r="O193"/>
      <c r="P193"/>
      <c r="Q193"/>
      <c r="R193"/>
      <c r="S193"/>
      <c r="U193"/>
      <c r="V193"/>
      <c r="W193"/>
      <c r="X193"/>
      <c r="Y193"/>
      <c r="AA193"/>
      <c r="AB193"/>
      <c r="AC193"/>
      <c r="AD193"/>
      <c r="AE193"/>
    </row>
    <row r="194" spans="1:31" s="6" customFormat="1" x14ac:dyDescent="0.25">
      <c r="A194"/>
      <c r="B194"/>
      <c r="C194"/>
      <c r="D194"/>
      <c r="E194"/>
      <c r="F194"/>
      <c r="G194"/>
      <c r="I194"/>
      <c r="J194"/>
      <c r="K194"/>
      <c r="L194"/>
      <c r="M194"/>
      <c r="O194"/>
      <c r="P194"/>
      <c r="Q194"/>
      <c r="R194"/>
      <c r="S194"/>
      <c r="U194"/>
      <c r="V194"/>
      <c r="W194"/>
      <c r="X194"/>
      <c r="Y194"/>
      <c r="AA194"/>
      <c r="AB194"/>
      <c r="AC194"/>
      <c r="AD194"/>
      <c r="AE194"/>
    </row>
    <row r="195" spans="1:31" s="6" customFormat="1" x14ac:dyDescent="0.25">
      <c r="A195"/>
      <c r="B195"/>
      <c r="C195"/>
      <c r="D195"/>
      <c r="E195"/>
      <c r="F195"/>
      <c r="G195"/>
      <c r="I195"/>
      <c r="J195"/>
      <c r="K195"/>
      <c r="L195"/>
      <c r="M195"/>
      <c r="O195"/>
      <c r="P195"/>
      <c r="Q195"/>
      <c r="R195"/>
      <c r="S195"/>
      <c r="U195"/>
      <c r="V195"/>
      <c r="W195"/>
      <c r="X195"/>
      <c r="Y195"/>
      <c r="AA195"/>
      <c r="AB195"/>
      <c r="AC195"/>
      <c r="AD195"/>
      <c r="AE195"/>
    </row>
    <row r="196" spans="1:31" s="6" customFormat="1" x14ac:dyDescent="0.25">
      <c r="A196"/>
      <c r="B196"/>
      <c r="C196"/>
      <c r="D196"/>
      <c r="E196"/>
      <c r="F196"/>
      <c r="G196"/>
      <c r="I196"/>
      <c r="J196"/>
      <c r="K196"/>
      <c r="L196"/>
      <c r="M196"/>
      <c r="O196"/>
      <c r="P196"/>
      <c r="Q196"/>
      <c r="R196"/>
      <c r="S196"/>
      <c r="U196"/>
      <c r="V196"/>
      <c r="W196"/>
      <c r="X196"/>
      <c r="Y196"/>
      <c r="AA196"/>
      <c r="AB196"/>
      <c r="AC196"/>
      <c r="AD196"/>
      <c r="AE196"/>
    </row>
  </sheetData>
  <mergeCells count="5">
    <mergeCell ref="B10:F10"/>
    <mergeCell ref="I10:M10"/>
    <mergeCell ref="O10:S10"/>
    <mergeCell ref="U10:Y10"/>
    <mergeCell ref="AA10:AE10"/>
  </mergeCells>
  <pageMargins left="0.7" right="0.7" top="0.75" bottom="0.75" header="0.3" footer="0.3"/>
  <pageSetup paperSize="9" orientation="portrait" horizontalDpi="300" r:id="rId1"/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01-2025</vt:lpstr>
      <vt:lpstr>02-2025</vt:lpstr>
      <vt:lpstr>03-2025</vt:lpstr>
      <vt:lpstr>04-2025</vt:lpstr>
      <vt:lpstr>05-2025</vt:lpstr>
      <vt:lpstr>06-2025</vt:lpstr>
      <vt:lpstr>07-2025</vt:lpstr>
      <vt:lpstr>08-2025</vt:lpstr>
      <vt:lpstr>09-2025</vt:lpstr>
      <vt:lpstr>10-2025</vt:lpstr>
      <vt:lpstr>11-2025</vt:lpstr>
      <vt:lpstr>12-2025</vt:lpstr>
      <vt:lpstr>01-2026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xxx3</dc:creator>
  <cp:lastModifiedBy>Mercedes Botindari</cp:lastModifiedBy>
  <dcterms:created xsi:type="dcterms:W3CDTF">2019-12-17T14:01:30Z</dcterms:created>
  <dcterms:modified xsi:type="dcterms:W3CDTF">2026-02-11T15:28:02Z</dcterms:modified>
</cp:coreProperties>
</file>